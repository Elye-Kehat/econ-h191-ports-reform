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דוחות מטענים\‏‏‏‏‏‏דוחות תנועת מטענים - אוגוסט 2025\"/>
    </mc:Choice>
  </mc:AlternateContent>
  <xr:revisionPtr revIDLastSave="0" documentId="13_ncr:1_{388EDBEA-9359-4810-B85E-7599B1BD5A86}" xr6:coauthVersionLast="47" xr6:coauthVersionMax="47" xr10:uidLastSave="{00000000-0000-0000-0000-000000000000}"/>
  <bookViews>
    <workbookView xWindow="-120" yWindow="-120" windowWidth="29040" windowHeight="15720" tabRatio="975" firstSheet="4" activeTab="4" xr2:uid="{00000000-000D-0000-FFFF-FFFF00000000}"/>
  </bookViews>
  <sheets>
    <sheet name="סה&quot;כ מטענים - מגמה" sheetId="30" state="hidden" r:id="rId1"/>
    <sheet name="סה&quot;כ מטענים - טבלה " sheetId="28" state="hidden" r:id="rId2"/>
    <sheet name="לא להפצה" sheetId="5" state="hidden" r:id="rId3"/>
    <sheet name="גיליון3" sheetId="27" state="hidden" r:id="rId4"/>
    <sheet name="סה&quot;כ תנועת מטענים - טבלה" sheetId="36" r:id="rId5"/>
    <sheet name="סה&quot;כ פריקת מטענים - טבלה " sheetId="37" r:id="rId6"/>
    <sheet name="סה&quot;כ טעינת מטענים - טבלה" sheetId="38" r:id="rId7"/>
    <sheet name="פילוח שנתי לפי חברות " sheetId="40" r:id="rId8"/>
    <sheet name=" מטענים רבעוני- מגמה" sheetId="29" r:id="rId9"/>
    <sheet name=" מטענים מצטבר- הסטוגרמה " sheetId="31" r:id="rId10"/>
    <sheet name="התפלגות תאגידים H1-2025 " sheetId="39" r:id="rId11"/>
  </sheets>
  <definedNames>
    <definedName name="_xlnm._FilterDatabase" localSheetId="3" hidden="1">גיליון3!$A$92:$E$92</definedName>
    <definedName name="_xlnm._FilterDatabase" localSheetId="6" hidden="1">'סה"כ טעינת מטענים - טבלה'!#REF!</definedName>
    <definedName name="_xlnm._FilterDatabase" localSheetId="1" hidden="1">'סה"כ מטענים - טבלה '!#REF!</definedName>
    <definedName name="_xlnm._FilterDatabase" localSheetId="5" hidden="1">'סה"כ פריקת מטענים - טבלה '!#REF!</definedName>
    <definedName name="_xlnm._FilterDatabase" localSheetId="4" hidden="1">'סה"כ תנועת מטענים - טבלה'!#REF!</definedName>
    <definedName name="_Regression_Int" localSheetId="6" hidden="1">1</definedName>
    <definedName name="_Regression_Int" localSheetId="1" hidden="1">1</definedName>
    <definedName name="_Regression_Int" localSheetId="5" hidden="1">1</definedName>
    <definedName name="_Regression_Int" localSheetId="4" hidden="1">1</definedName>
    <definedName name="Print_Area_MI" localSheetId="6">'סה"כ טעינת מטענים - טבלה'!#REF!</definedName>
    <definedName name="Print_Area_MI" localSheetId="1">'סה"כ מטענים - טבלה '!$B$3:$R$39</definedName>
    <definedName name="Print_Area_MI" localSheetId="5">'סה"כ פריקת מטענים - טבלה '!#REF!</definedName>
    <definedName name="Print_Area_MI" localSheetId="4">'סה"כ תנועת מטענים - טבלה'!#REF!</definedName>
    <definedName name="_xlnm.Print_Area" localSheetId="2">'לא להפצה'!$A$4:$U$23</definedName>
    <definedName name="_xlnm.Print_Area" localSheetId="1">'סה"כ מטענים - טבלה '!$A$1:$R$282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4" i="38" l="1"/>
  <c r="I34" i="38"/>
  <c r="H34" i="38"/>
  <c r="G34" i="38"/>
  <c r="F34" i="38"/>
  <c r="E34" i="38"/>
  <c r="D34" i="38"/>
  <c r="C34" i="38"/>
  <c r="B34" i="38"/>
  <c r="A34" i="38"/>
  <c r="K34" i="38"/>
  <c r="J34" i="37"/>
  <c r="I34" i="37"/>
  <c r="H34" i="37"/>
  <c r="G34" i="37"/>
  <c r="F34" i="37"/>
  <c r="E34" i="37"/>
  <c r="D34" i="37"/>
  <c r="C34" i="37"/>
  <c r="B34" i="37"/>
  <c r="A34" i="37"/>
  <c r="K34" i="37"/>
  <c r="J34" i="36"/>
  <c r="I34" i="36"/>
  <c r="H34" i="36"/>
  <c r="G34" i="36"/>
  <c r="F34" i="36"/>
  <c r="E34" i="36"/>
  <c r="D34" i="36"/>
  <c r="C34" i="36"/>
  <c r="B34" i="36"/>
  <c r="A34" i="36"/>
  <c r="K34" i="36"/>
  <c r="K349" i="38"/>
  <c r="K349" i="37"/>
  <c r="K349" i="36"/>
  <c r="X111" i="27" l="1"/>
  <c r="K348" i="38" l="1"/>
  <c r="K348" i="37"/>
  <c r="K348" i="36"/>
  <c r="K340" i="36"/>
  <c r="V111" i="27" l="1"/>
  <c r="AA90" i="27"/>
  <c r="R111" i="27" l="1"/>
  <c r="S111" i="27"/>
  <c r="T111" i="27"/>
  <c r="U111" i="27"/>
  <c r="W111" i="27"/>
  <c r="Y111" i="27"/>
  <c r="Z111" i="27"/>
  <c r="Q111" i="27"/>
  <c r="Q110" i="27"/>
  <c r="AA111" i="27"/>
  <c r="H110" i="27"/>
  <c r="C111" i="27"/>
  <c r="D111" i="27"/>
  <c r="E111" i="27"/>
  <c r="F111" i="27"/>
  <c r="G111" i="27"/>
  <c r="B111" i="27"/>
  <c r="B110" i="27"/>
  <c r="H90" i="27"/>
  <c r="F347" i="36"/>
  <c r="A347" i="38" l="1"/>
  <c r="B347" i="38"/>
  <c r="C347" i="38"/>
  <c r="D347" i="38"/>
  <c r="E347" i="38"/>
  <c r="F347" i="38"/>
  <c r="G347" i="38"/>
  <c r="H347" i="38"/>
  <c r="J347" i="38"/>
  <c r="A347" i="37"/>
  <c r="B347" i="37"/>
  <c r="C347" i="37"/>
  <c r="D347" i="37"/>
  <c r="E347" i="37"/>
  <c r="F347" i="37"/>
  <c r="G347" i="37"/>
  <c r="H347" i="37"/>
  <c r="I347" i="37"/>
  <c r="A347" i="36"/>
  <c r="B347" i="36"/>
  <c r="C347" i="36"/>
  <c r="D347" i="36"/>
  <c r="E347" i="36"/>
  <c r="G347" i="36"/>
  <c r="H347" i="36"/>
  <c r="I347" i="36"/>
  <c r="K346" i="36"/>
  <c r="K346" i="37"/>
  <c r="K344" i="37" l="1"/>
  <c r="K344" i="36"/>
  <c r="K342" i="38" l="1"/>
  <c r="K340" i="38" l="1"/>
  <c r="H89" i="27" l="1"/>
  <c r="H111" i="27" s="1"/>
  <c r="AA89" i="27"/>
  <c r="A343" i="36" l="1"/>
  <c r="B343" i="36"/>
  <c r="C343" i="36"/>
  <c r="D343" i="36"/>
  <c r="E343" i="36"/>
  <c r="F343" i="36"/>
  <c r="G343" i="36"/>
  <c r="H343" i="36"/>
  <c r="I343" i="36"/>
  <c r="J343" i="36"/>
  <c r="A343" i="37"/>
  <c r="B343" i="37"/>
  <c r="C343" i="37"/>
  <c r="D343" i="37"/>
  <c r="E343" i="37"/>
  <c r="F343" i="37"/>
  <c r="G343" i="37"/>
  <c r="H343" i="37"/>
  <c r="I343" i="37"/>
  <c r="J343" i="37"/>
  <c r="K342" i="37"/>
  <c r="A343" i="38"/>
  <c r="B343" i="38"/>
  <c r="C343" i="38"/>
  <c r="D343" i="38"/>
  <c r="E343" i="38"/>
  <c r="F343" i="38"/>
  <c r="G343" i="38"/>
  <c r="H343" i="38"/>
  <c r="I343" i="38"/>
  <c r="J343" i="38"/>
  <c r="K342" i="36"/>
  <c r="I344" i="38" l="1"/>
  <c r="K341" i="38"/>
  <c r="K344" i="38" l="1"/>
  <c r="I345" i="38"/>
  <c r="K343" i="38"/>
  <c r="K340" i="37"/>
  <c r="K345" i="38" l="1"/>
  <c r="I346" i="38"/>
  <c r="R110" i="27"/>
  <c r="S110" i="27"/>
  <c r="T110" i="27"/>
  <c r="U110" i="27"/>
  <c r="V110" i="27"/>
  <c r="W110" i="27"/>
  <c r="X110" i="27"/>
  <c r="Y110" i="27"/>
  <c r="Z110" i="27"/>
  <c r="C110" i="27"/>
  <c r="E110" i="27"/>
  <c r="F110" i="27"/>
  <c r="AA88" i="27"/>
  <c r="H88" i="27"/>
  <c r="K346" i="38" l="1"/>
  <c r="K347" i="38" s="1"/>
  <c r="I347" i="38"/>
  <c r="A338" i="36"/>
  <c r="B338" i="36"/>
  <c r="C338" i="36"/>
  <c r="D338" i="36"/>
  <c r="E338" i="36"/>
  <c r="F338" i="36"/>
  <c r="G338" i="36"/>
  <c r="H338" i="36"/>
  <c r="I338" i="36"/>
  <c r="J338" i="36"/>
  <c r="K337" i="36"/>
  <c r="A338" i="37"/>
  <c r="B338" i="37"/>
  <c r="C338" i="37"/>
  <c r="D338" i="37"/>
  <c r="E338" i="37"/>
  <c r="F338" i="37"/>
  <c r="G338" i="37"/>
  <c r="H338" i="37"/>
  <c r="I338" i="37"/>
  <c r="A338" i="38"/>
  <c r="B338" i="38"/>
  <c r="C338" i="38"/>
  <c r="D338" i="38"/>
  <c r="E338" i="38"/>
  <c r="F338" i="38"/>
  <c r="G338" i="38"/>
  <c r="H338" i="38"/>
  <c r="I338" i="38"/>
  <c r="J338" i="38"/>
  <c r="K337" i="38"/>
  <c r="K336" i="38" l="1"/>
  <c r="K336" i="37"/>
  <c r="K336" i="36"/>
  <c r="K335" i="38" l="1"/>
  <c r="K338" i="38" s="1"/>
  <c r="K335" i="37"/>
  <c r="K335" i="36"/>
  <c r="K338" i="36" s="1"/>
  <c r="AA87" i="27" l="1"/>
  <c r="G87" i="27"/>
  <c r="D87" i="27"/>
  <c r="H87" i="27" l="1"/>
  <c r="A334" i="38"/>
  <c r="B334" i="38"/>
  <c r="C334" i="38"/>
  <c r="D334" i="38"/>
  <c r="E334" i="38"/>
  <c r="F334" i="38"/>
  <c r="G334" i="38"/>
  <c r="H334" i="38"/>
  <c r="J334" i="38"/>
  <c r="A334" i="37"/>
  <c r="B334" i="37"/>
  <c r="C334" i="37"/>
  <c r="D334" i="37"/>
  <c r="E334" i="37"/>
  <c r="F334" i="37"/>
  <c r="G334" i="37"/>
  <c r="H334" i="37"/>
  <c r="I334" i="37"/>
  <c r="J334" i="37"/>
  <c r="A334" i="36"/>
  <c r="B334" i="36"/>
  <c r="C334" i="36"/>
  <c r="D334" i="36"/>
  <c r="E334" i="36"/>
  <c r="F334" i="36"/>
  <c r="G334" i="36"/>
  <c r="H334" i="36"/>
  <c r="I334" i="36"/>
  <c r="J334" i="36"/>
  <c r="K333" i="37"/>
  <c r="K331" i="36" l="1"/>
  <c r="E84" i="27" l="1"/>
  <c r="D85" i="27"/>
  <c r="Q109" i="27"/>
  <c r="K331" i="37" l="1"/>
  <c r="AA110" i="27" l="1"/>
  <c r="B330" i="36"/>
  <c r="AA86" i="27" l="1"/>
  <c r="G86" i="27"/>
  <c r="D86" i="27"/>
  <c r="D110" i="27" s="1"/>
  <c r="B85" i="27"/>
  <c r="H86" i="27" l="1"/>
  <c r="A330" i="38"/>
  <c r="B330" i="38"/>
  <c r="C330" i="38"/>
  <c r="D330" i="38"/>
  <c r="E330" i="38"/>
  <c r="F330" i="38"/>
  <c r="G330" i="38"/>
  <c r="H330" i="38"/>
  <c r="I330" i="38"/>
  <c r="J330" i="38"/>
  <c r="A330" i="37"/>
  <c r="B330" i="37"/>
  <c r="C330" i="37"/>
  <c r="D330" i="37"/>
  <c r="E330" i="37"/>
  <c r="F330" i="37"/>
  <c r="G330" i="37"/>
  <c r="H330" i="37"/>
  <c r="I330" i="37"/>
  <c r="J330" i="37"/>
  <c r="A330" i="36"/>
  <c r="C330" i="36"/>
  <c r="D330" i="36"/>
  <c r="E330" i="36"/>
  <c r="F330" i="36"/>
  <c r="G330" i="36"/>
  <c r="H330" i="36"/>
  <c r="I330" i="36"/>
  <c r="I331" i="38" l="1"/>
  <c r="K329" i="38"/>
  <c r="K329" i="37"/>
  <c r="I332" i="38" l="1"/>
  <c r="K332" i="38" s="1"/>
  <c r="K331" i="38"/>
  <c r="K328" i="36"/>
  <c r="K328" i="37"/>
  <c r="K328" i="38"/>
  <c r="I333" i="38" l="1"/>
  <c r="K333" i="38" s="1"/>
  <c r="K334" i="38" s="1"/>
  <c r="K327" i="38"/>
  <c r="K330" i="38" s="1"/>
  <c r="K327" i="37"/>
  <c r="K330" i="37" s="1"/>
  <c r="K327" i="36"/>
  <c r="I334" i="38" l="1"/>
  <c r="G85" i="27"/>
  <c r="G110" i="27" s="1"/>
  <c r="AA85" i="27" l="1"/>
  <c r="H85" i="27" l="1"/>
  <c r="A326" i="38"/>
  <c r="A33" i="38" s="1"/>
  <c r="B326" i="38"/>
  <c r="B33" i="38" s="1"/>
  <c r="C326" i="38"/>
  <c r="C33" i="38" s="1"/>
  <c r="D326" i="38"/>
  <c r="D33" i="38" s="1"/>
  <c r="E326" i="38"/>
  <c r="E33" i="38" s="1"/>
  <c r="F326" i="38"/>
  <c r="F33" i="38" s="1"/>
  <c r="G326" i="38"/>
  <c r="G33" i="38" s="1"/>
  <c r="H326" i="38"/>
  <c r="H33" i="38" s="1"/>
  <c r="J326" i="38"/>
  <c r="J33" i="38" s="1"/>
  <c r="A326" i="36"/>
  <c r="A33" i="36" s="1"/>
  <c r="B326" i="36"/>
  <c r="B33" i="36" s="1"/>
  <c r="C326" i="36"/>
  <c r="C33" i="36" s="1"/>
  <c r="D326" i="36"/>
  <c r="D33" i="36" s="1"/>
  <c r="E326" i="36"/>
  <c r="E33" i="36" s="1"/>
  <c r="F326" i="36"/>
  <c r="F33" i="36" s="1"/>
  <c r="G326" i="36"/>
  <c r="G33" i="36" s="1"/>
  <c r="H326" i="36"/>
  <c r="H33" i="36" s="1"/>
  <c r="I326" i="36"/>
  <c r="I33" i="36" s="1"/>
  <c r="A326" i="37"/>
  <c r="A33" i="37" s="1"/>
  <c r="B326" i="37"/>
  <c r="B33" i="37" s="1"/>
  <c r="C326" i="37"/>
  <c r="C33" i="37" s="1"/>
  <c r="D326" i="37"/>
  <c r="D33" i="37" s="1"/>
  <c r="E326" i="37"/>
  <c r="E33" i="37" s="1"/>
  <c r="F326" i="37"/>
  <c r="F33" i="37" s="1"/>
  <c r="G326" i="37"/>
  <c r="G33" i="37" s="1"/>
  <c r="H326" i="37"/>
  <c r="H33" i="37" s="1"/>
  <c r="I326" i="37"/>
  <c r="I33" i="37" s="1"/>
  <c r="K325" i="37"/>
  <c r="K324" i="36" l="1"/>
  <c r="K323" i="37" l="1"/>
  <c r="K323" i="36"/>
  <c r="R109" i="27" l="1"/>
  <c r="G73" i="27"/>
  <c r="G74" i="27"/>
  <c r="G75" i="27"/>
  <c r="G76" i="27"/>
  <c r="G77" i="27"/>
  <c r="G78" i="27"/>
  <c r="G79" i="27"/>
  <c r="G80" i="27"/>
  <c r="G81" i="27"/>
  <c r="G82" i="27"/>
  <c r="G83" i="27"/>
  <c r="G84" i="27"/>
  <c r="F75" i="27"/>
  <c r="F76" i="27"/>
  <c r="F77" i="27"/>
  <c r="F78" i="27"/>
  <c r="F79" i="27"/>
  <c r="F80" i="27"/>
  <c r="F82" i="27"/>
  <c r="F83" i="27"/>
  <c r="F84" i="27"/>
  <c r="E83" i="27"/>
  <c r="E82" i="27"/>
  <c r="E81" i="27"/>
  <c r="E80" i="27"/>
  <c r="E79" i="27"/>
  <c r="D80" i="27"/>
  <c r="D81" i="27"/>
  <c r="D82" i="27"/>
  <c r="D83" i="27"/>
  <c r="D84" i="27"/>
  <c r="C80" i="27"/>
  <c r="C81" i="27"/>
  <c r="C82" i="27"/>
  <c r="C83" i="27"/>
  <c r="C84" i="27"/>
  <c r="C79" i="27"/>
  <c r="B84" i="27"/>
  <c r="B83" i="27"/>
  <c r="AA84" i="27"/>
  <c r="H84" i="27" l="1"/>
  <c r="K319" i="36"/>
  <c r="S109" i="27" l="1"/>
  <c r="T109" i="27"/>
  <c r="U109" i="27"/>
  <c r="V109" i="27"/>
  <c r="W109" i="27"/>
  <c r="X109" i="27"/>
  <c r="Y109" i="27"/>
  <c r="Z109" i="27"/>
  <c r="C109" i="27"/>
  <c r="AA109" i="27" l="1"/>
  <c r="A321" i="36"/>
  <c r="B321" i="36"/>
  <c r="C321" i="36"/>
  <c r="D321" i="36"/>
  <c r="E321" i="36"/>
  <c r="F321" i="36"/>
  <c r="G321" i="36"/>
  <c r="H321" i="36"/>
  <c r="I321" i="36"/>
  <c r="J321" i="36"/>
  <c r="K320" i="36"/>
  <c r="A321" i="38"/>
  <c r="B321" i="38"/>
  <c r="C321" i="38"/>
  <c r="D321" i="38"/>
  <c r="E321" i="38"/>
  <c r="F321" i="38"/>
  <c r="G321" i="38"/>
  <c r="H321" i="38"/>
  <c r="I321" i="38"/>
  <c r="I323" i="38" s="1"/>
  <c r="K323" i="38" s="1"/>
  <c r="J321" i="38"/>
  <c r="K320" i="38"/>
  <c r="A321" i="37"/>
  <c r="B321" i="37"/>
  <c r="C321" i="37"/>
  <c r="D321" i="37"/>
  <c r="E321" i="37"/>
  <c r="F321" i="37"/>
  <c r="G321" i="37"/>
  <c r="H321" i="37"/>
  <c r="I321" i="37"/>
  <c r="J321" i="37"/>
  <c r="K320" i="37"/>
  <c r="I324" i="38" l="1"/>
  <c r="K324" i="38" s="1"/>
  <c r="K319" i="37"/>
  <c r="G283" i="37"/>
  <c r="K319" i="38"/>
  <c r="I325" i="38" l="1"/>
  <c r="K325" i="38" s="1"/>
  <c r="K326" i="38" s="1"/>
  <c r="K33" i="38" s="1"/>
  <c r="K318" i="36"/>
  <c r="K321" i="36" s="1"/>
  <c r="K318" i="37"/>
  <c r="K321" i="37" s="1"/>
  <c r="K318" i="38"/>
  <c r="K321" i="38" s="1"/>
  <c r="I326" i="38" l="1"/>
  <c r="I33" i="38" s="1"/>
  <c r="B82" i="27"/>
  <c r="AA83" i="27" l="1"/>
  <c r="H83" i="27"/>
  <c r="B81" i="27"/>
  <c r="B109" i="27" l="1"/>
  <c r="A317" i="38"/>
  <c r="B317" i="38"/>
  <c r="C317" i="38"/>
  <c r="D317" i="38"/>
  <c r="E317" i="38"/>
  <c r="F317" i="38"/>
  <c r="G317" i="38"/>
  <c r="H317" i="38"/>
  <c r="J317" i="38"/>
  <c r="A317" i="37"/>
  <c r="B317" i="37"/>
  <c r="C317" i="37"/>
  <c r="D317" i="37"/>
  <c r="E317" i="37"/>
  <c r="F317" i="37"/>
  <c r="G317" i="37"/>
  <c r="H317" i="37"/>
  <c r="I317" i="37"/>
  <c r="J317" i="37"/>
  <c r="H317" i="36"/>
  <c r="J317" i="36"/>
  <c r="A317" i="36"/>
  <c r="B317" i="36"/>
  <c r="C317" i="36"/>
  <c r="D317" i="36"/>
  <c r="E317" i="36"/>
  <c r="F317" i="36"/>
  <c r="G317" i="36"/>
  <c r="I317" i="36"/>
  <c r="K316" i="36" l="1"/>
  <c r="K316" i="37"/>
  <c r="K315" i="36" l="1"/>
  <c r="K315" i="37"/>
  <c r="K314" i="37" l="1"/>
  <c r="K317" i="37" s="1"/>
  <c r="K314" i="36"/>
  <c r="K317" i="36" s="1"/>
  <c r="F81" i="27" l="1"/>
  <c r="G109" i="27"/>
  <c r="F109" i="27" l="1"/>
  <c r="H81" i="27"/>
  <c r="E105" i="27"/>
  <c r="B106" i="27"/>
  <c r="D105" i="27"/>
  <c r="B105" i="27"/>
  <c r="B80" i="27"/>
  <c r="H80" i="27" s="1"/>
  <c r="AA82" i="27"/>
  <c r="B75" i="27"/>
  <c r="B76" i="27"/>
  <c r="B77" i="27"/>
  <c r="B78" i="27"/>
  <c r="B79" i="27"/>
  <c r="C76" i="27"/>
  <c r="C75" i="27"/>
  <c r="C77" i="27"/>
  <c r="C78" i="27"/>
  <c r="E109" i="27"/>
  <c r="D75" i="27"/>
  <c r="D76" i="27"/>
  <c r="D77" i="27"/>
  <c r="D78" i="27"/>
  <c r="D79" i="27"/>
  <c r="D109" i="27"/>
  <c r="AA81" i="27"/>
  <c r="E73" i="27"/>
  <c r="H73" i="27" s="1"/>
  <c r="E74" i="27"/>
  <c r="H74" i="27" s="1"/>
  <c r="E75" i="27"/>
  <c r="E76" i="27"/>
  <c r="E77" i="27"/>
  <c r="E78" i="27"/>
  <c r="AA73" i="27"/>
  <c r="AA74" i="27"/>
  <c r="AA75" i="27"/>
  <c r="AA76" i="27"/>
  <c r="AA78" i="27"/>
  <c r="AA79" i="27"/>
  <c r="AA80" i="27"/>
  <c r="AA77" i="27"/>
  <c r="H66" i="27"/>
  <c r="H67" i="27"/>
  <c r="H68" i="27"/>
  <c r="H69" i="27"/>
  <c r="H70" i="27"/>
  <c r="H71" i="27"/>
  <c r="H72" i="27"/>
  <c r="H65" i="27"/>
  <c r="D100" i="27"/>
  <c r="D101" i="27"/>
  <c r="D102" i="27"/>
  <c r="D103" i="27"/>
  <c r="D104" i="27"/>
  <c r="D98" i="27"/>
  <c r="D106" i="27"/>
  <c r="F108" i="27"/>
  <c r="F107" i="27"/>
  <c r="G105" i="27"/>
  <c r="G106" i="27"/>
  <c r="G107" i="27"/>
  <c r="G108" i="27"/>
  <c r="D108" i="27" l="1"/>
  <c r="C107" i="27"/>
  <c r="D107" i="27"/>
  <c r="H78" i="27"/>
  <c r="H79" i="27"/>
  <c r="H77" i="27"/>
  <c r="H76" i="27"/>
  <c r="B107" i="27"/>
  <c r="B108" i="27"/>
  <c r="H75" i="27"/>
  <c r="C108" i="27"/>
  <c r="H82" i="27"/>
  <c r="H109" i="27" l="1"/>
  <c r="A313" i="38"/>
  <c r="B313" i="38"/>
  <c r="C313" i="38"/>
  <c r="D313" i="38"/>
  <c r="E313" i="38"/>
  <c r="F313" i="38"/>
  <c r="G313" i="38"/>
  <c r="H313" i="38"/>
  <c r="I313" i="38"/>
  <c r="J313" i="38"/>
  <c r="A313" i="37"/>
  <c r="B313" i="37"/>
  <c r="C313" i="37"/>
  <c r="D313" i="37"/>
  <c r="E313" i="37"/>
  <c r="F313" i="37"/>
  <c r="G313" i="37"/>
  <c r="H313" i="37"/>
  <c r="I313" i="37"/>
  <c r="J313" i="37"/>
  <c r="J313" i="36"/>
  <c r="I313" i="36"/>
  <c r="H313" i="36"/>
  <c r="G313" i="36"/>
  <c r="F313" i="36"/>
  <c r="E313" i="36"/>
  <c r="D313" i="36"/>
  <c r="C313" i="36"/>
  <c r="B313" i="36"/>
  <c r="A313" i="36"/>
  <c r="K312" i="38"/>
  <c r="K312" i="37"/>
  <c r="K312" i="36"/>
  <c r="I314" i="38" l="1"/>
  <c r="F309" i="38"/>
  <c r="F32" i="38" s="1"/>
  <c r="K314" i="38" l="1"/>
  <c r="I315" i="38"/>
  <c r="C309" i="36"/>
  <c r="C32" i="36" s="1"/>
  <c r="K315" i="38" l="1"/>
  <c r="I316" i="38"/>
  <c r="K316" i="38" s="1"/>
  <c r="K310" i="36"/>
  <c r="K311" i="36"/>
  <c r="I317" i="38" l="1"/>
  <c r="K317" i="38"/>
  <c r="K313" i="36"/>
  <c r="K311" i="37" l="1"/>
  <c r="K311" i="38"/>
  <c r="K310" i="38" l="1"/>
  <c r="K313" i="38" s="1"/>
  <c r="K310" i="37"/>
  <c r="K313" i="37" s="1"/>
  <c r="K308" i="36" l="1"/>
  <c r="Q108" i="27" l="1"/>
  <c r="J309" i="36"/>
  <c r="J32" i="36" s="1"/>
  <c r="A309" i="36"/>
  <c r="A32" i="36" s="1"/>
  <c r="B309" i="36"/>
  <c r="B32" i="36" s="1"/>
  <c r="D309" i="36"/>
  <c r="D32" i="36" s="1"/>
  <c r="I309" i="36"/>
  <c r="I32" i="36" s="1"/>
  <c r="A309" i="38"/>
  <c r="A32" i="38" s="1"/>
  <c r="B309" i="38"/>
  <c r="B32" i="38" s="1"/>
  <c r="C309" i="38"/>
  <c r="C32" i="38" s="1"/>
  <c r="D309" i="38"/>
  <c r="D32" i="38" s="1"/>
  <c r="E309" i="38"/>
  <c r="E32" i="38" s="1"/>
  <c r="G309" i="38"/>
  <c r="G32" i="38" s="1"/>
  <c r="H309" i="38"/>
  <c r="H32" i="38" s="1"/>
  <c r="I309" i="38"/>
  <c r="I32" i="38" s="1"/>
  <c r="J309" i="38"/>
  <c r="J32" i="38" s="1"/>
  <c r="K308" i="38"/>
  <c r="A309" i="37"/>
  <c r="A32" i="37" s="1"/>
  <c r="B309" i="37"/>
  <c r="B32" i="37" s="1"/>
  <c r="C309" i="37"/>
  <c r="C32" i="37" s="1"/>
  <c r="D309" i="37"/>
  <c r="D32" i="37" s="1"/>
  <c r="E309" i="37"/>
  <c r="E32" i="37" s="1"/>
  <c r="F309" i="37"/>
  <c r="F32" i="37" s="1"/>
  <c r="G309" i="37"/>
  <c r="G32" i="37" s="1"/>
  <c r="H309" i="37"/>
  <c r="H32" i="37" s="1"/>
  <c r="I309" i="37"/>
  <c r="I32" i="37" s="1"/>
  <c r="J309" i="37"/>
  <c r="J32" i="37" s="1"/>
  <c r="K308" i="37"/>
  <c r="E309" i="36"/>
  <c r="E32" i="36" s="1"/>
  <c r="F309" i="36"/>
  <c r="F32" i="36" s="1"/>
  <c r="G309" i="36"/>
  <c r="G32" i="36" s="1"/>
  <c r="H309" i="36"/>
  <c r="H32" i="36" s="1"/>
  <c r="K307" i="36" l="1"/>
  <c r="K306" i="36"/>
  <c r="K309" i="36" l="1"/>
  <c r="K32" i="36" s="1"/>
  <c r="K307" i="38"/>
  <c r="K307" i="37"/>
  <c r="K306" i="38" l="1"/>
  <c r="K309" i="38" s="1"/>
  <c r="K32" i="38" s="1"/>
  <c r="K306" i="37"/>
  <c r="K309" i="37" s="1"/>
  <c r="K32" i="37" s="1"/>
  <c r="U108" i="27" l="1"/>
  <c r="F300" i="36" l="1"/>
  <c r="W108" i="27" l="1"/>
  <c r="R108" i="27"/>
  <c r="S108" i="27"/>
  <c r="T108" i="27"/>
  <c r="V108" i="27"/>
  <c r="X108" i="27"/>
  <c r="Y108" i="27"/>
  <c r="Z108" i="27"/>
  <c r="E108" i="27"/>
  <c r="AA108" i="27" l="1"/>
  <c r="A304" i="38"/>
  <c r="B304" i="38"/>
  <c r="C304" i="38"/>
  <c r="D304" i="38"/>
  <c r="E304" i="38"/>
  <c r="F304" i="38"/>
  <c r="G304" i="38"/>
  <c r="H304" i="38"/>
  <c r="J304" i="38"/>
  <c r="A304" i="37"/>
  <c r="B304" i="37"/>
  <c r="C304" i="37"/>
  <c r="D304" i="37"/>
  <c r="E304" i="37"/>
  <c r="F304" i="37"/>
  <c r="G304" i="37"/>
  <c r="H304" i="37"/>
  <c r="I304" i="37"/>
  <c r="J304" i="37"/>
  <c r="K303" i="37"/>
  <c r="A304" i="36"/>
  <c r="B304" i="36"/>
  <c r="C304" i="36"/>
  <c r="D304" i="36"/>
  <c r="E304" i="36"/>
  <c r="F304" i="36"/>
  <c r="G304" i="36"/>
  <c r="H304" i="36"/>
  <c r="I304" i="36"/>
  <c r="J304" i="36"/>
  <c r="K303" i="36"/>
  <c r="K302" i="37" l="1"/>
  <c r="K302" i="36"/>
  <c r="K301" i="36"/>
  <c r="K304" i="36" l="1"/>
  <c r="K301" i="37"/>
  <c r="K304" i="37" s="1"/>
  <c r="A300" i="38" l="1"/>
  <c r="B300" i="38"/>
  <c r="C300" i="38"/>
  <c r="D300" i="38"/>
  <c r="E300" i="38"/>
  <c r="F300" i="38"/>
  <c r="G300" i="38"/>
  <c r="H300" i="38"/>
  <c r="J300" i="38"/>
  <c r="A300" i="37"/>
  <c r="B300" i="37"/>
  <c r="C300" i="37"/>
  <c r="D300" i="37"/>
  <c r="E300" i="37"/>
  <c r="F300" i="37"/>
  <c r="G300" i="37"/>
  <c r="H300" i="37"/>
  <c r="I300" i="37"/>
  <c r="J300" i="37"/>
  <c r="J300" i="36"/>
  <c r="A300" i="36"/>
  <c r="B300" i="36"/>
  <c r="C300" i="36"/>
  <c r="D300" i="36"/>
  <c r="E300" i="36"/>
  <c r="G300" i="36"/>
  <c r="H300" i="36"/>
  <c r="I300" i="36"/>
  <c r="K299" i="36"/>
  <c r="K299" i="37"/>
  <c r="K299" i="38"/>
  <c r="K298" i="38"/>
  <c r="Q107" i="27" l="1"/>
  <c r="B296" i="36" l="1"/>
  <c r="K298" i="37" l="1"/>
  <c r="K298" i="36"/>
  <c r="K297" i="37" l="1"/>
  <c r="K300" i="37" s="1"/>
  <c r="K297" i="36"/>
  <c r="K300" i="36" s="1"/>
  <c r="K295" i="36"/>
  <c r="F292" i="36" l="1"/>
  <c r="F292" i="37"/>
  <c r="A296" i="38" l="1"/>
  <c r="B296" i="38"/>
  <c r="C296" i="38"/>
  <c r="D296" i="38"/>
  <c r="E296" i="38"/>
  <c r="F296" i="38"/>
  <c r="G296" i="38"/>
  <c r="H296" i="38"/>
  <c r="J296" i="38"/>
  <c r="A296" i="37"/>
  <c r="B296" i="37"/>
  <c r="B31" i="37" s="1"/>
  <c r="C296" i="37"/>
  <c r="D296" i="37"/>
  <c r="E296" i="37"/>
  <c r="F296" i="37"/>
  <c r="F31" i="37" s="1"/>
  <c r="G296" i="37"/>
  <c r="H296" i="37"/>
  <c r="I296" i="37"/>
  <c r="J296" i="37"/>
  <c r="A296" i="36"/>
  <c r="C296" i="36"/>
  <c r="D296" i="36"/>
  <c r="E296" i="36"/>
  <c r="F296" i="36"/>
  <c r="F31" i="36" s="1"/>
  <c r="G296" i="36"/>
  <c r="H296" i="36"/>
  <c r="I296" i="36"/>
  <c r="J296" i="36"/>
  <c r="K295" i="37"/>
  <c r="O278" i="37" l="1"/>
  <c r="O277" i="37"/>
  <c r="O276" i="37"/>
  <c r="H108" i="27" l="1"/>
  <c r="W107" i="27"/>
  <c r="Y107" i="27"/>
  <c r="U107" i="27"/>
  <c r="K291" i="36"/>
  <c r="K289" i="36"/>
  <c r="K290" i="36"/>
  <c r="K292" i="36" l="1"/>
  <c r="H292" i="36"/>
  <c r="H31" i="36" s="1"/>
  <c r="I292" i="36"/>
  <c r="I31" i="36" s="1"/>
  <c r="J292" i="36"/>
  <c r="J31" i="36" s="1"/>
  <c r="K293" i="36"/>
  <c r="K294" i="37"/>
  <c r="K293" i="37"/>
  <c r="J292" i="38"/>
  <c r="J31" i="38" s="1"/>
  <c r="K296" i="37" l="1"/>
  <c r="B292" i="38"/>
  <c r="B31" i="38" s="1"/>
  <c r="A292" i="38"/>
  <c r="A31" i="38" s="1"/>
  <c r="C292" i="38" l="1"/>
  <c r="C31" i="38" s="1"/>
  <c r="D292" i="38"/>
  <c r="D31" i="38" s="1"/>
  <c r="E292" i="38"/>
  <c r="E31" i="38" s="1"/>
  <c r="F292" i="38"/>
  <c r="F31" i="38" s="1"/>
  <c r="G292" i="38"/>
  <c r="G31" i="38" s="1"/>
  <c r="H292" i="38"/>
  <c r="H31" i="38" s="1"/>
  <c r="A292" i="36"/>
  <c r="A31" i="36" s="1"/>
  <c r="B292" i="36"/>
  <c r="B31" i="36" s="1"/>
  <c r="C292" i="36"/>
  <c r="C31" i="36" s="1"/>
  <c r="D292" i="36"/>
  <c r="D31" i="36" s="1"/>
  <c r="E292" i="36"/>
  <c r="E31" i="36" s="1"/>
  <c r="G292" i="36"/>
  <c r="G31" i="36" s="1"/>
  <c r="A292" i="37"/>
  <c r="A31" i="37" s="1"/>
  <c r="D292" i="37"/>
  <c r="D31" i="37" s="1"/>
  <c r="E292" i="37"/>
  <c r="E31" i="37" s="1"/>
  <c r="G292" i="37"/>
  <c r="G31" i="37" s="1"/>
  <c r="H292" i="37"/>
  <c r="H31" i="37" s="1"/>
  <c r="I292" i="37"/>
  <c r="I31" i="37" s="1"/>
  <c r="J292" i="37"/>
  <c r="J31" i="37" s="1"/>
  <c r="K291" i="37"/>
  <c r="K291" i="38"/>
  <c r="K290" i="37" l="1"/>
  <c r="K290" i="38" l="1"/>
  <c r="R107" i="27" l="1"/>
  <c r="J283" i="36" l="1"/>
  <c r="J275" i="36"/>
  <c r="K273" i="38" l="1"/>
  <c r="K274" i="38"/>
  <c r="K276" i="38"/>
  <c r="K277" i="38"/>
  <c r="K278" i="38"/>
  <c r="K280" i="38"/>
  <c r="K281" i="38"/>
  <c r="K282" i="38"/>
  <c r="K284" i="38"/>
  <c r="K285" i="38"/>
  <c r="K286" i="38"/>
  <c r="K272" i="38"/>
  <c r="Z107" i="27"/>
  <c r="S107" i="27"/>
  <c r="E107" i="27"/>
  <c r="X107" i="27" l="1"/>
  <c r="B287" i="36" l="1"/>
  <c r="B283" i="36"/>
  <c r="B279" i="36"/>
  <c r="B275" i="36"/>
  <c r="B287" i="38"/>
  <c r="B283" i="38"/>
  <c r="B279" i="38"/>
  <c r="B275" i="38"/>
  <c r="B275" i="37"/>
  <c r="B279" i="37"/>
  <c r="B283" i="37"/>
  <c r="B287" i="37"/>
  <c r="B30" i="38" l="1"/>
  <c r="B30" i="36"/>
  <c r="B30" i="37"/>
  <c r="T107" i="27"/>
  <c r="V107" i="27"/>
  <c r="AA107" i="27" l="1"/>
  <c r="C287" i="37"/>
  <c r="C289" i="37" s="1"/>
  <c r="C283" i="37"/>
  <c r="F283" i="37"/>
  <c r="F287" i="37"/>
  <c r="C292" i="37" l="1"/>
  <c r="C31" i="37" s="1"/>
  <c r="K289" i="37"/>
  <c r="K292" i="37" s="1"/>
  <c r="K31" i="37" s="1"/>
  <c r="C283" i="38"/>
  <c r="D283" i="38"/>
  <c r="F287" i="38"/>
  <c r="F283" i="38"/>
  <c r="J279" i="36"/>
  <c r="C287" i="36"/>
  <c r="E287" i="36"/>
  <c r="F287" i="36"/>
  <c r="F283" i="36" l="1"/>
  <c r="F30" i="36" s="1"/>
  <c r="C283" i="36"/>
  <c r="A287" i="38" l="1"/>
  <c r="D287" i="38"/>
  <c r="C287" i="38"/>
  <c r="C30" i="38" s="1"/>
  <c r="J287" i="38"/>
  <c r="E287" i="38"/>
  <c r="F30" i="38"/>
  <c r="G287" i="38"/>
  <c r="H287" i="38"/>
  <c r="I287" i="38"/>
  <c r="A287" i="37"/>
  <c r="D287" i="37"/>
  <c r="C30" i="37"/>
  <c r="J287" i="37"/>
  <c r="C30" i="36"/>
  <c r="J283" i="37"/>
  <c r="J279" i="37"/>
  <c r="J275" i="37"/>
  <c r="E287" i="37"/>
  <c r="F30" i="37"/>
  <c r="G287" i="37"/>
  <c r="I287" i="37"/>
  <c r="A287" i="36"/>
  <c r="D287" i="36"/>
  <c r="D283" i="36"/>
  <c r="G287" i="36"/>
  <c r="I287" i="36"/>
  <c r="J287" i="36"/>
  <c r="I30" i="38" l="1"/>
  <c r="I289" i="38"/>
  <c r="J30" i="36"/>
  <c r="K287" i="38"/>
  <c r="J30" i="37"/>
  <c r="H272" i="36"/>
  <c r="K272" i="36" s="1"/>
  <c r="G283" i="38"/>
  <c r="H283" i="38"/>
  <c r="G279" i="38"/>
  <c r="H279" i="38"/>
  <c r="G275" i="38"/>
  <c r="H275" i="38"/>
  <c r="I292" i="38" l="1"/>
  <c r="K289" i="38"/>
  <c r="K292" i="38" s="1"/>
  <c r="H30" i="38"/>
  <c r="G30" i="38"/>
  <c r="G279" i="37"/>
  <c r="G275" i="37"/>
  <c r="H286" i="37"/>
  <c r="K286" i="37" s="1"/>
  <c r="H285" i="37"/>
  <c r="K285" i="37" s="1"/>
  <c r="H284" i="37"/>
  <c r="K284" i="37" s="1"/>
  <c r="H282" i="37"/>
  <c r="K282" i="37" s="1"/>
  <c r="H281" i="37"/>
  <c r="K281" i="37" s="1"/>
  <c r="H280" i="37"/>
  <c r="K280" i="37" s="1"/>
  <c r="H278" i="37"/>
  <c r="K278" i="37" s="1"/>
  <c r="H277" i="37"/>
  <c r="K277" i="37" s="1"/>
  <c r="H276" i="37"/>
  <c r="K276" i="37" s="1"/>
  <c r="H274" i="37"/>
  <c r="K274" i="37" s="1"/>
  <c r="H273" i="37"/>
  <c r="K273" i="37" s="1"/>
  <c r="H272" i="37"/>
  <c r="K272" i="37" s="1"/>
  <c r="I293" i="38" l="1"/>
  <c r="H279" i="37"/>
  <c r="H283" i="37"/>
  <c r="H275" i="37"/>
  <c r="G30" i="37"/>
  <c r="H287" i="37"/>
  <c r="K287" i="37" s="1"/>
  <c r="I283" i="37"/>
  <c r="I279" i="37"/>
  <c r="I275" i="37"/>
  <c r="K293" i="38" l="1"/>
  <c r="I294" i="38"/>
  <c r="I30" i="37"/>
  <c r="H30" i="37"/>
  <c r="H286" i="36"/>
  <c r="K286" i="36" s="1"/>
  <c r="K294" i="38" l="1"/>
  <c r="I295" i="38"/>
  <c r="H285" i="36"/>
  <c r="K285" i="36" s="1"/>
  <c r="H284" i="36"/>
  <c r="K284" i="36" s="1"/>
  <c r="H282" i="36"/>
  <c r="K282" i="36" s="1"/>
  <c r="H281" i="36"/>
  <c r="K281" i="36" s="1"/>
  <c r="H280" i="36"/>
  <c r="K280" i="36" s="1"/>
  <c r="H278" i="36"/>
  <c r="K278" i="36" s="1"/>
  <c r="H277" i="36"/>
  <c r="K277" i="36" s="1"/>
  <c r="H276" i="36"/>
  <c r="K276" i="36" s="1"/>
  <c r="H274" i="36"/>
  <c r="K274" i="36" s="1"/>
  <c r="H273" i="36"/>
  <c r="K273" i="36" s="1"/>
  <c r="K295" i="38" l="1"/>
  <c r="K296" i="38" s="1"/>
  <c r="I296" i="38"/>
  <c r="I297" i="38" s="1"/>
  <c r="H287" i="36"/>
  <c r="K287" i="36" s="1"/>
  <c r="G283" i="36"/>
  <c r="H283" i="36"/>
  <c r="I283" i="36"/>
  <c r="G279" i="36"/>
  <c r="H279" i="36"/>
  <c r="I279" i="36"/>
  <c r="G275" i="36"/>
  <c r="H275" i="36"/>
  <c r="K297" i="38" l="1"/>
  <c r="K300" i="38" s="1"/>
  <c r="I300" i="38"/>
  <c r="G30" i="36"/>
  <c r="H30" i="36"/>
  <c r="I275" i="36"/>
  <c r="I301" i="38" l="1"/>
  <c r="K301" i="38" s="1"/>
  <c r="I30" i="36"/>
  <c r="E283" i="38"/>
  <c r="E279" i="38"/>
  <c r="A283" i="38"/>
  <c r="J275" i="38"/>
  <c r="J279" i="38"/>
  <c r="J283" i="38"/>
  <c r="E283" i="37"/>
  <c r="A283" i="37"/>
  <c r="D283" i="37"/>
  <c r="D275" i="37"/>
  <c r="E279" i="37"/>
  <c r="E275" i="37"/>
  <c r="E283" i="36"/>
  <c r="E275" i="36"/>
  <c r="E279" i="36"/>
  <c r="A283" i="36"/>
  <c r="A279" i="36"/>
  <c r="A275" i="36"/>
  <c r="D279" i="36"/>
  <c r="D275" i="36"/>
  <c r="I302" i="38" l="1"/>
  <c r="K283" i="36"/>
  <c r="E30" i="36"/>
  <c r="D30" i="36"/>
  <c r="K275" i="36"/>
  <c r="K279" i="36"/>
  <c r="K283" i="38"/>
  <c r="K283" i="37"/>
  <c r="E30" i="37"/>
  <c r="A30" i="36"/>
  <c r="J30" i="38"/>
  <c r="K269" i="38"/>
  <c r="K268" i="38"/>
  <c r="K267" i="38"/>
  <c r="K265" i="38"/>
  <c r="K264" i="38"/>
  <c r="K263" i="38"/>
  <c r="K261" i="38"/>
  <c r="K260" i="38"/>
  <c r="K259" i="38"/>
  <c r="K257" i="38"/>
  <c r="K256" i="38"/>
  <c r="K255" i="38"/>
  <c r="K252" i="38"/>
  <c r="K251" i="38"/>
  <c r="K250" i="38"/>
  <c r="K248" i="38"/>
  <c r="K247" i="38"/>
  <c r="K246" i="38"/>
  <c r="K244" i="38"/>
  <c r="K243" i="38"/>
  <c r="K242" i="38"/>
  <c r="K240" i="38"/>
  <c r="K239" i="38"/>
  <c r="K238" i="38"/>
  <c r="K221" i="38"/>
  <c r="K235" i="38"/>
  <c r="K234" i="38"/>
  <c r="K233" i="38"/>
  <c r="K231" i="38"/>
  <c r="K230" i="38"/>
  <c r="K229" i="38"/>
  <c r="K227" i="38"/>
  <c r="K226" i="38"/>
  <c r="K225" i="38"/>
  <c r="K223" i="38"/>
  <c r="K222" i="38"/>
  <c r="K218" i="38"/>
  <c r="K217" i="38"/>
  <c r="K216" i="38"/>
  <c r="K214" i="38"/>
  <c r="K213" i="38"/>
  <c r="K212" i="38"/>
  <c r="K210" i="38"/>
  <c r="K209" i="38"/>
  <c r="K208" i="38"/>
  <c r="K206" i="38"/>
  <c r="K205" i="38"/>
  <c r="K204" i="38"/>
  <c r="K188" i="38"/>
  <c r="K189" i="38"/>
  <c r="K191" i="38"/>
  <c r="K192" i="38"/>
  <c r="K193" i="38"/>
  <c r="K195" i="38"/>
  <c r="K196" i="38"/>
  <c r="K197" i="38"/>
  <c r="K199" i="38"/>
  <c r="K200" i="38"/>
  <c r="K201" i="38"/>
  <c r="K187" i="38"/>
  <c r="E275" i="38"/>
  <c r="E30" i="38" s="1"/>
  <c r="E270" i="38"/>
  <c r="E266" i="38"/>
  <c r="E262" i="38"/>
  <c r="E258" i="38"/>
  <c r="E249" i="38"/>
  <c r="E245" i="38"/>
  <c r="E241" i="38"/>
  <c r="E236" i="38"/>
  <c r="E232" i="38"/>
  <c r="E228" i="38"/>
  <c r="E224" i="38"/>
  <c r="E219" i="38"/>
  <c r="E215" i="38"/>
  <c r="E211" i="38"/>
  <c r="E207" i="38"/>
  <c r="E202" i="38"/>
  <c r="E198" i="38"/>
  <c r="E194" i="38"/>
  <c r="E190" i="38"/>
  <c r="E185" i="38"/>
  <c r="E181" i="38"/>
  <c r="E177" i="38"/>
  <c r="E173" i="38"/>
  <c r="E168" i="38"/>
  <c r="E164" i="38"/>
  <c r="E160" i="38"/>
  <c r="E156" i="38"/>
  <c r="E151" i="38"/>
  <c r="E147" i="38"/>
  <c r="E143" i="38"/>
  <c r="E139" i="38"/>
  <c r="E134" i="38"/>
  <c r="E130" i="38"/>
  <c r="E126" i="38"/>
  <c r="E122" i="38"/>
  <c r="E117" i="38"/>
  <c r="E113" i="38"/>
  <c r="E109" i="38"/>
  <c r="E105" i="38"/>
  <c r="E100" i="38"/>
  <c r="E96" i="38"/>
  <c r="E92" i="38"/>
  <c r="E88" i="38"/>
  <c r="E83" i="38"/>
  <c r="E79" i="38"/>
  <c r="E71" i="38"/>
  <c r="A279" i="38"/>
  <c r="A275" i="38"/>
  <c r="A270" i="38"/>
  <c r="A266" i="38"/>
  <c r="A262" i="38"/>
  <c r="A258" i="38"/>
  <c r="A253" i="38"/>
  <c r="A249" i="38"/>
  <c r="A245" i="38"/>
  <c r="A241" i="38"/>
  <c r="A236" i="38"/>
  <c r="A232" i="38"/>
  <c r="A228" i="38"/>
  <c r="A224" i="38"/>
  <c r="A219" i="38"/>
  <c r="A215" i="38"/>
  <c r="A211" i="38"/>
  <c r="A207" i="38"/>
  <c r="A202" i="38"/>
  <c r="A198" i="38"/>
  <c r="A194" i="38"/>
  <c r="A190" i="38"/>
  <c r="A185" i="38"/>
  <c r="A181" i="38"/>
  <c r="A177" i="38"/>
  <c r="A173" i="38"/>
  <c r="A168" i="38"/>
  <c r="A164" i="38"/>
  <c r="A160" i="38"/>
  <c r="A156" i="38"/>
  <c r="A151" i="38"/>
  <c r="A147" i="38"/>
  <c r="A143" i="38"/>
  <c r="A139" i="38"/>
  <c r="A134" i="38"/>
  <c r="A130" i="38"/>
  <c r="A126" i="38"/>
  <c r="A122" i="38"/>
  <c r="A117" i="38"/>
  <c r="A113" i="38"/>
  <c r="A109" i="38"/>
  <c r="A105" i="38"/>
  <c r="A100" i="38"/>
  <c r="A96" i="38"/>
  <c r="A92" i="38"/>
  <c r="A88" i="38"/>
  <c r="A80" i="38"/>
  <c r="A83" i="38" s="1"/>
  <c r="A78" i="38"/>
  <c r="A77" i="38"/>
  <c r="A76" i="38"/>
  <c r="A74" i="38"/>
  <c r="A73" i="38"/>
  <c r="A72" i="38"/>
  <c r="A70" i="38"/>
  <c r="A69" i="38"/>
  <c r="A68" i="38"/>
  <c r="A66" i="38"/>
  <c r="A62" i="38"/>
  <c r="A58" i="38"/>
  <c r="A54" i="38"/>
  <c r="A16" i="38"/>
  <c r="A14" i="38"/>
  <c r="D279" i="38"/>
  <c r="D275" i="38"/>
  <c r="D270" i="38"/>
  <c r="D266" i="38"/>
  <c r="D262" i="38"/>
  <c r="D258" i="38"/>
  <c r="D253" i="38"/>
  <c r="D249" i="38"/>
  <c r="D245" i="38"/>
  <c r="D241" i="38"/>
  <c r="D236" i="38"/>
  <c r="D232" i="38"/>
  <c r="D228" i="38"/>
  <c r="D224" i="38"/>
  <c r="D219" i="38"/>
  <c r="D215" i="38"/>
  <c r="D211" i="38"/>
  <c r="D207" i="38"/>
  <c r="D202" i="38"/>
  <c r="D198" i="38"/>
  <c r="D194" i="38"/>
  <c r="D190" i="38"/>
  <c r="D185" i="38"/>
  <c r="D181" i="38"/>
  <c r="D177" i="38"/>
  <c r="D173" i="38"/>
  <c r="D168" i="38"/>
  <c r="D164" i="38"/>
  <c r="D160" i="38"/>
  <c r="D156" i="38"/>
  <c r="D151" i="38"/>
  <c r="D147" i="38"/>
  <c r="D143" i="38"/>
  <c r="D139" i="38"/>
  <c r="D134" i="38"/>
  <c r="D130" i="38"/>
  <c r="D126" i="38"/>
  <c r="D122" i="38"/>
  <c r="D117" i="38"/>
  <c r="D113" i="38"/>
  <c r="D109" i="38"/>
  <c r="D105" i="38"/>
  <c r="D100" i="38"/>
  <c r="D96" i="38"/>
  <c r="D92" i="38"/>
  <c r="D88" i="38"/>
  <c r="D83" i="38"/>
  <c r="D79" i="38"/>
  <c r="D75" i="38"/>
  <c r="D71" i="38"/>
  <c r="D66" i="38"/>
  <c r="D62" i="38"/>
  <c r="D58" i="38"/>
  <c r="D54" i="38"/>
  <c r="D16" i="38"/>
  <c r="D14" i="38"/>
  <c r="J270" i="38"/>
  <c r="J266" i="38"/>
  <c r="J262" i="38"/>
  <c r="J258" i="38"/>
  <c r="J253" i="38"/>
  <c r="J249" i="38"/>
  <c r="J245" i="38"/>
  <c r="J241" i="38"/>
  <c r="J236" i="38"/>
  <c r="J232" i="38"/>
  <c r="J228" i="38"/>
  <c r="J224" i="38"/>
  <c r="J219" i="38"/>
  <c r="J215" i="38"/>
  <c r="J211" i="38"/>
  <c r="J207" i="38"/>
  <c r="J202" i="38"/>
  <c r="J198" i="38"/>
  <c r="J194" i="38"/>
  <c r="J190" i="38"/>
  <c r="J185" i="38"/>
  <c r="J181" i="38"/>
  <c r="J177" i="38"/>
  <c r="J173" i="38"/>
  <c r="J168" i="38"/>
  <c r="J164" i="38"/>
  <c r="J160" i="38"/>
  <c r="J156" i="38"/>
  <c r="J151" i="38"/>
  <c r="J147" i="38"/>
  <c r="J143" i="38"/>
  <c r="J139" i="38"/>
  <c r="J134" i="38"/>
  <c r="J130" i="38"/>
  <c r="J126" i="38"/>
  <c r="J122" i="38"/>
  <c r="J117" i="38"/>
  <c r="J113" i="38"/>
  <c r="J109" i="38"/>
  <c r="J105" i="38"/>
  <c r="J100" i="38"/>
  <c r="J96" i="38"/>
  <c r="J92" i="38"/>
  <c r="J88" i="38"/>
  <c r="J83" i="38"/>
  <c r="J79" i="38"/>
  <c r="J75" i="38"/>
  <c r="J71" i="38"/>
  <c r="J66" i="38"/>
  <c r="J62" i="38"/>
  <c r="J58" i="38"/>
  <c r="J54" i="38"/>
  <c r="J16" i="38"/>
  <c r="J14" i="38"/>
  <c r="K190" i="38" l="1"/>
  <c r="E253" i="38"/>
  <c r="E28" i="38" s="1"/>
  <c r="K207" i="38"/>
  <c r="J23" i="38"/>
  <c r="K224" i="38"/>
  <c r="J19" i="38"/>
  <c r="K302" i="38"/>
  <c r="I303" i="38"/>
  <c r="K303" i="38" s="1"/>
  <c r="D21" i="38"/>
  <c r="K241" i="38"/>
  <c r="K30" i="36"/>
  <c r="K279" i="38"/>
  <c r="K275" i="38"/>
  <c r="K198" i="38"/>
  <c r="K215" i="38"/>
  <c r="K232" i="38"/>
  <c r="K266" i="38"/>
  <c r="A71" i="38"/>
  <c r="A30" i="38"/>
  <c r="D30" i="38"/>
  <c r="A19" i="38"/>
  <c r="A21" i="38"/>
  <c r="K194" i="38"/>
  <c r="K202" i="38"/>
  <c r="K211" i="38"/>
  <c r="K228" i="38"/>
  <c r="K236" i="38"/>
  <c r="K245" i="38"/>
  <c r="K262" i="38"/>
  <c r="K270" i="38"/>
  <c r="D20" i="38"/>
  <c r="D24" i="38"/>
  <c r="D27" i="38"/>
  <c r="D28" i="38"/>
  <c r="E19" i="38"/>
  <c r="E20" i="38"/>
  <c r="E21" i="38"/>
  <c r="E23" i="38"/>
  <c r="K249" i="38"/>
  <c r="E27" i="38"/>
  <c r="K258" i="38"/>
  <c r="A20" i="38"/>
  <c r="A23" i="38"/>
  <c r="A24" i="38"/>
  <c r="A27" i="38"/>
  <c r="K219" i="38"/>
  <c r="A28" i="38"/>
  <c r="D25" i="38"/>
  <c r="J29" i="38"/>
  <c r="J27" i="38"/>
  <c r="J25" i="38"/>
  <c r="D23" i="38"/>
  <c r="D19" i="38"/>
  <c r="D29" i="38"/>
  <c r="J20" i="38"/>
  <c r="A79" i="38"/>
  <c r="J21" i="38"/>
  <c r="J18" i="38"/>
  <c r="J22" i="38"/>
  <c r="J26" i="38"/>
  <c r="A17" i="38"/>
  <c r="E18" i="38"/>
  <c r="E22" i="38"/>
  <c r="E26" i="38"/>
  <c r="J24" i="38"/>
  <c r="J28" i="38"/>
  <c r="E24" i="38"/>
  <c r="D17" i="38"/>
  <c r="A75" i="38"/>
  <c r="A25" i="38"/>
  <c r="A29" i="38"/>
  <c r="J17" i="38"/>
  <c r="E25" i="38"/>
  <c r="E29" i="38"/>
  <c r="D18" i="38"/>
  <c r="D22" i="38"/>
  <c r="D26" i="38"/>
  <c r="A22" i="38"/>
  <c r="A26" i="38"/>
  <c r="K269" i="37"/>
  <c r="K268" i="37"/>
  <c r="K267" i="37"/>
  <c r="K265" i="37"/>
  <c r="K264" i="37"/>
  <c r="K263" i="37"/>
  <c r="K261" i="37"/>
  <c r="K260" i="37"/>
  <c r="K259" i="37"/>
  <c r="K257" i="37"/>
  <c r="K256" i="37"/>
  <c r="K255" i="37"/>
  <c r="K252" i="37"/>
  <c r="K251" i="37"/>
  <c r="K250" i="37"/>
  <c r="K248" i="37"/>
  <c r="K247" i="37"/>
  <c r="K246" i="37"/>
  <c r="K244" i="37"/>
  <c r="K243" i="37"/>
  <c r="K242" i="37"/>
  <c r="K240" i="37"/>
  <c r="K239" i="37"/>
  <c r="K238" i="37"/>
  <c r="K235" i="37"/>
  <c r="K234" i="37"/>
  <c r="K233" i="37"/>
  <c r="K231" i="37"/>
  <c r="K230" i="37"/>
  <c r="K229" i="37"/>
  <c r="K227" i="37"/>
  <c r="K226" i="37"/>
  <c r="K225" i="37"/>
  <c r="K223" i="37"/>
  <c r="K222" i="37"/>
  <c r="K221" i="37"/>
  <c r="K218" i="37"/>
  <c r="K217" i="37"/>
  <c r="K216" i="37"/>
  <c r="K214" i="37"/>
  <c r="K213" i="37"/>
  <c r="K212" i="37"/>
  <c r="K210" i="37"/>
  <c r="K209" i="37"/>
  <c r="K208" i="37"/>
  <c r="K206" i="37"/>
  <c r="K205" i="37"/>
  <c r="K204" i="37"/>
  <c r="K201" i="37"/>
  <c r="K200" i="37"/>
  <c r="K199" i="37"/>
  <c r="K197" i="37"/>
  <c r="K196" i="37"/>
  <c r="K195" i="37"/>
  <c r="K193" i="37"/>
  <c r="K192" i="37"/>
  <c r="K191" i="37"/>
  <c r="K189" i="37"/>
  <c r="K188" i="37"/>
  <c r="K187" i="37"/>
  <c r="K184" i="37"/>
  <c r="K183" i="37"/>
  <c r="K182" i="37"/>
  <c r="K180" i="37"/>
  <c r="K179" i="37"/>
  <c r="K178" i="37"/>
  <c r="K176" i="37"/>
  <c r="K175" i="37"/>
  <c r="K174" i="37"/>
  <c r="K172" i="37"/>
  <c r="K171" i="37"/>
  <c r="K170" i="37"/>
  <c r="K167" i="37"/>
  <c r="K166" i="37"/>
  <c r="K165" i="37"/>
  <c r="K163" i="37"/>
  <c r="K162" i="37"/>
  <c r="K161" i="37"/>
  <c r="K159" i="37"/>
  <c r="K158" i="37"/>
  <c r="K157" i="37"/>
  <c r="K155" i="37"/>
  <c r="K154" i="37"/>
  <c r="K153" i="37"/>
  <c r="K150" i="37"/>
  <c r="K149" i="37"/>
  <c r="K148" i="37"/>
  <c r="K146" i="37"/>
  <c r="K145" i="37"/>
  <c r="K144" i="37"/>
  <c r="K142" i="37"/>
  <c r="K141" i="37"/>
  <c r="K140" i="37"/>
  <c r="K138" i="37"/>
  <c r="K137" i="37"/>
  <c r="K136" i="37"/>
  <c r="K133" i="37"/>
  <c r="K132" i="37"/>
  <c r="K131" i="37"/>
  <c r="K129" i="37"/>
  <c r="K128" i="37"/>
  <c r="K127" i="37"/>
  <c r="K125" i="37"/>
  <c r="K124" i="37"/>
  <c r="K123" i="37"/>
  <c r="K121" i="37"/>
  <c r="K120" i="37"/>
  <c r="K119" i="37"/>
  <c r="K116" i="37"/>
  <c r="K115" i="37"/>
  <c r="K114" i="37"/>
  <c r="K112" i="37"/>
  <c r="K111" i="37"/>
  <c r="K110" i="37"/>
  <c r="K108" i="37"/>
  <c r="K107" i="37"/>
  <c r="K106" i="37"/>
  <c r="K104" i="37"/>
  <c r="K103" i="37"/>
  <c r="K102" i="37"/>
  <c r="K99" i="37"/>
  <c r="K98" i="37"/>
  <c r="K97" i="37"/>
  <c r="K95" i="37"/>
  <c r="K94" i="37"/>
  <c r="K93" i="37"/>
  <c r="K91" i="37"/>
  <c r="K90" i="37"/>
  <c r="K89" i="37"/>
  <c r="K87" i="37"/>
  <c r="K86" i="37"/>
  <c r="K85" i="37"/>
  <c r="K69" i="37"/>
  <c r="K70" i="37"/>
  <c r="K72" i="37"/>
  <c r="K73" i="37"/>
  <c r="K74" i="37"/>
  <c r="K76" i="37"/>
  <c r="K77" i="37"/>
  <c r="K78" i="37"/>
  <c r="K80" i="37"/>
  <c r="K81" i="37"/>
  <c r="K82" i="37"/>
  <c r="K68" i="37"/>
  <c r="K36" i="37"/>
  <c r="K65" i="37"/>
  <c r="K64" i="37"/>
  <c r="K63" i="37"/>
  <c r="K61" i="37"/>
  <c r="K60" i="37"/>
  <c r="K59" i="37"/>
  <c r="K57" i="37"/>
  <c r="K56" i="37"/>
  <c r="K55" i="37"/>
  <c r="K53" i="37"/>
  <c r="K52" i="37"/>
  <c r="K51" i="37"/>
  <c r="K49" i="37"/>
  <c r="K48" i="37"/>
  <c r="K47" i="37"/>
  <c r="K46" i="37"/>
  <c r="K42" i="37"/>
  <c r="K43" i="37"/>
  <c r="K44" i="37"/>
  <c r="K41" i="37"/>
  <c r="K37" i="37"/>
  <c r="K38" i="37"/>
  <c r="K39" i="37"/>
  <c r="K9" i="37"/>
  <c r="K10" i="37"/>
  <c r="K11" i="37"/>
  <c r="K12" i="37"/>
  <c r="K13" i="37"/>
  <c r="K15" i="37"/>
  <c r="E270" i="37"/>
  <c r="E266" i="37"/>
  <c r="E262" i="37"/>
  <c r="E258" i="37"/>
  <c r="E253" i="37"/>
  <c r="E249" i="37"/>
  <c r="E245" i="37"/>
  <c r="E241" i="37"/>
  <c r="E236" i="37"/>
  <c r="E232" i="37"/>
  <c r="E228" i="37"/>
  <c r="E224" i="37"/>
  <c r="E219" i="37"/>
  <c r="E215" i="37"/>
  <c r="E211" i="37"/>
  <c r="E207" i="37"/>
  <c r="E202" i="37"/>
  <c r="E198" i="37"/>
  <c r="E194" i="37"/>
  <c r="E190" i="37"/>
  <c r="E185" i="37"/>
  <c r="E181" i="37"/>
  <c r="E177" i="37"/>
  <c r="E173" i="37"/>
  <c r="E168" i="37"/>
  <c r="E164" i="37"/>
  <c r="E160" i="37"/>
  <c r="E156" i="37"/>
  <c r="E151" i="37"/>
  <c r="E147" i="37"/>
  <c r="E143" i="37"/>
  <c r="E139" i="37"/>
  <c r="E134" i="37"/>
  <c r="E130" i="37"/>
  <c r="E126" i="37"/>
  <c r="E122" i="37"/>
  <c r="E117" i="37"/>
  <c r="E113" i="37"/>
  <c r="E109" i="37"/>
  <c r="E105" i="37"/>
  <c r="E100" i="37"/>
  <c r="E96" i="37"/>
  <c r="E92" i="37"/>
  <c r="E88" i="37"/>
  <c r="E83" i="37"/>
  <c r="E79" i="37"/>
  <c r="E71" i="37"/>
  <c r="A279" i="37"/>
  <c r="A275" i="37"/>
  <c r="K275" i="37" s="1"/>
  <c r="A270" i="37"/>
  <c r="A266" i="37"/>
  <c r="A262" i="37"/>
  <c r="A258" i="37"/>
  <c r="A253" i="37"/>
  <c r="A249" i="37"/>
  <c r="A245" i="37"/>
  <c r="A241" i="37"/>
  <c r="A236" i="37"/>
  <c r="A232" i="37"/>
  <c r="A228" i="37"/>
  <c r="A224" i="37"/>
  <c r="A219" i="37"/>
  <c r="A215" i="37"/>
  <c r="A211" i="37"/>
  <c r="A207" i="37"/>
  <c r="A202" i="37"/>
  <c r="A198" i="37"/>
  <c r="A194" i="37"/>
  <c r="A190" i="37"/>
  <c r="A185" i="37"/>
  <c r="A181" i="37"/>
  <c r="A177" i="37"/>
  <c r="A173" i="37"/>
  <c r="A168" i="37"/>
  <c r="A164" i="37"/>
  <c r="A160" i="37"/>
  <c r="A156" i="37"/>
  <c r="A151" i="37"/>
  <c r="A147" i="37"/>
  <c r="A143" i="37"/>
  <c r="A139" i="37"/>
  <c r="A134" i="37"/>
  <c r="A130" i="37"/>
  <c r="A126" i="37"/>
  <c r="A122" i="37"/>
  <c r="A117" i="37"/>
  <c r="A113" i="37"/>
  <c r="A109" i="37"/>
  <c r="A105" i="37"/>
  <c r="A100" i="37"/>
  <c r="A96" i="37"/>
  <c r="A92" i="37"/>
  <c r="A88" i="37"/>
  <c r="A83" i="37"/>
  <c r="A79" i="37"/>
  <c r="A75" i="37"/>
  <c r="A71" i="37"/>
  <c r="A66" i="37"/>
  <c r="A62" i="37"/>
  <c r="A58" i="37"/>
  <c r="A54" i="37"/>
  <c r="A16" i="37"/>
  <c r="A14" i="37"/>
  <c r="D279" i="37"/>
  <c r="D270" i="37"/>
  <c r="D266" i="37"/>
  <c r="D262" i="37"/>
  <c r="D258" i="37"/>
  <c r="D253" i="37"/>
  <c r="D249" i="37"/>
  <c r="D245" i="37"/>
  <c r="D241" i="37"/>
  <c r="D236" i="37"/>
  <c r="D232" i="37"/>
  <c r="D228" i="37"/>
  <c r="D224" i="37"/>
  <c r="D219" i="37"/>
  <c r="D215" i="37"/>
  <c r="D211" i="37"/>
  <c r="D207" i="37"/>
  <c r="D202" i="37"/>
  <c r="D198" i="37"/>
  <c r="D194" i="37"/>
  <c r="D190" i="37"/>
  <c r="D185" i="37"/>
  <c r="D181" i="37"/>
  <c r="D177" i="37"/>
  <c r="D173" i="37"/>
  <c r="D168" i="37"/>
  <c r="D164" i="37"/>
  <c r="D160" i="37"/>
  <c r="D156" i="37"/>
  <c r="D151" i="37"/>
  <c r="D147" i="37"/>
  <c r="D143" i="37"/>
  <c r="D139" i="37"/>
  <c r="D134" i="37"/>
  <c r="D130" i="37"/>
  <c r="D126" i="37"/>
  <c r="D122" i="37"/>
  <c r="D117" i="37"/>
  <c r="D113" i="37"/>
  <c r="D109" i="37"/>
  <c r="D105" i="37"/>
  <c r="D100" i="37"/>
  <c r="D96" i="37"/>
  <c r="D92" i="37"/>
  <c r="D88" i="37"/>
  <c r="D83" i="37"/>
  <c r="D79" i="37"/>
  <c r="D75" i="37"/>
  <c r="D71" i="37"/>
  <c r="D66" i="37"/>
  <c r="D62" i="37"/>
  <c r="D58" i="37"/>
  <c r="D54" i="37"/>
  <c r="D16" i="37"/>
  <c r="D14" i="37"/>
  <c r="J270" i="37"/>
  <c r="J266" i="37"/>
  <c r="J262" i="37"/>
  <c r="J258" i="37"/>
  <c r="J253" i="37"/>
  <c r="J249" i="37"/>
  <c r="J245" i="37"/>
  <c r="J241" i="37"/>
  <c r="J236" i="37"/>
  <c r="J232" i="37"/>
  <c r="J228" i="37"/>
  <c r="J224" i="37"/>
  <c r="J219" i="37"/>
  <c r="J215" i="37"/>
  <c r="J211" i="37"/>
  <c r="J207" i="37"/>
  <c r="J202" i="37"/>
  <c r="J198" i="37"/>
  <c r="J194" i="37"/>
  <c r="J190" i="37"/>
  <c r="J185" i="37"/>
  <c r="J181" i="37"/>
  <c r="J177" i="37"/>
  <c r="J173" i="37"/>
  <c r="J168" i="37"/>
  <c r="J164" i="37"/>
  <c r="J160" i="37"/>
  <c r="J156" i="37"/>
  <c r="J151" i="37"/>
  <c r="J147" i="37"/>
  <c r="J143" i="37"/>
  <c r="J139" i="37"/>
  <c r="J134" i="37"/>
  <c r="J130" i="37"/>
  <c r="J126" i="37"/>
  <c r="J122" i="37"/>
  <c r="J117" i="37"/>
  <c r="J113" i="37"/>
  <c r="J109" i="37"/>
  <c r="J105" i="37"/>
  <c r="J100" i="37"/>
  <c r="J96" i="37"/>
  <c r="J92" i="37"/>
  <c r="J88" i="37"/>
  <c r="J83" i="37"/>
  <c r="J79" i="37"/>
  <c r="J75" i="37"/>
  <c r="J71" i="37"/>
  <c r="J66" i="37"/>
  <c r="J62" i="37"/>
  <c r="J58" i="37"/>
  <c r="J54" i="37"/>
  <c r="J16" i="37"/>
  <c r="J14" i="37"/>
  <c r="K253" i="38" l="1"/>
  <c r="K279" i="37"/>
  <c r="K30" i="37" s="1"/>
  <c r="K304" i="38"/>
  <c r="K31" i="38" s="1"/>
  <c r="I304" i="38"/>
  <c r="I31" i="38" s="1"/>
  <c r="K30" i="38"/>
  <c r="D30" i="37"/>
  <c r="A30" i="37"/>
  <c r="K19" i="38"/>
  <c r="K23" i="38"/>
  <c r="K21" i="38"/>
  <c r="K20" i="38"/>
  <c r="K27" i="38"/>
  <c r="K24" i="38"/>
  <c r="K22" i="38"/>
  <c r="K26" i="38"/>
  <c r="K25" i="38"/>
  <c r="K28" i="38"/>
  <c r="K29" i="38"/>
  <c r="A18" i="38"/>
  <c r="J21" i="37"/>
  <c r="J26" i="37"/>
  <c r="J25" i="37"/>
  <c r="J20" i="37"/>
  <c r="J24" i="37"/>
  <c r="J28" i="37"/>
  <c r="A20" i="37"/>
  <c r="A24" i="37"/>
  <c r="A28" i="37"/>
  <c r="E18" i="37"/>
  <c r="D29" i="37"/>
  <c r="E19" i="37"/>
  <c r="E23" i="37"/>
  <c r="E27" i="37"/>
  <c r="K14" i="37"/>
  <c r="K75" i="37"/>
  <c r="E24" i="37"/>
  <c r="E28" i="37"/>
  <c r="K164" i="37"/>
  <c r="K113" i="37"/>
  <c r="K181" i="37"/>
  <c r="K249" i="37"/>
  <c r="K96" i="37"/>
  <c r="K232" i="37"/>
  <c r="D19" i="37"/>
  <c r="D23" i="37"/>
  <c r="D27" i="37"/>
  <c r="K58" i="37"/>
  <c r="E21" i="37"/>
  <c r="E29" i="37"/>
  <c r="K156" i="37"/>
  <c r="K224" i="37"/>
  <c r="K92" i="37"/>
  <c r="K160" i="37"/>
  <c r="K228" i="37"/>
  <c r="D17" i="37"/>
  <c r="D21" i="37"/>
  <c r="D25" i="37"/>
  <c r="K109" i="37"/>
  <c r="K177" i="37"/>
  <c r="K245" i="37"/>
  <c r="K100" i="37"/>
  <c r="K168" i="37"/>
  <c r="K236" i="37"/>
  <c r="K54" i="37"/>
  <c r="K122" i="37"/>
  <c r="K190" i="37"/>
  <c r="K258" i="37"/>
  <c r="K16" i="37"/>
  <c r="K253" i="37"/>
  <c r="K126" i="37"/>
  <c r="K194" i="37"/>
  <c r="K262" i="37"/>
  <c r="K62" i="37"/>
  <c r="K130" i="37"/>
  <c r="K198" i="37"/>
  <c r="K266" i="37"/>
  <c r="K66" i="37"/>
  <c r="K134" i="37"/>
  <c r="K202" i="37"/>
  <c r="K270" i="37"/>
  <c r="K117" i="37"/>
  <c r="K71" i="37"/>
  <c r="K139" i="37"/>
  <c r="K207" i="37"/>
  <c r="K185" i="37"/>
  <c r="J18" i="37"/>
  <c r="K143" i="37"/>
  <c r="K211" i="37"/>
  <c r="A21" i="37"/>
  <c r="A25" i="37"/>
  <c r="J27" i="37"/>
  <c r="K79" i="37"/>
  <c r="K83" i="37"/>
  <c r="K151" i="37"/>
  <c r="K219" i="37"/>
  <c r="D20" i="37"/>
  <c r="D24" i="37"/>
  <c r="D28" i="37"/>
  <c r="A18" i="37"/>
  <c r="A22" i="37"/>
  <c r="A26" i="37"/>
  <c r="E25" i="37"/>
  <c r="K147" i="37"/>
  <c r="K215" i="37"/>
  <c r="J17" i="37"/>
  <c r="J29" i="37"/>
  <c r="A19" i="37"/>
  <c r="A23" i="37"/>
  <c r="A27" i="37"/>
  <c r="E22" i="37"/>
  <c r="E26" i="37"/>
  <c r="D18" i="37"/>
  <c r="D22" i="37"/>
  <c r="D26" i="37"/>
  <c r="J22" i="37"/>
  <c r="J19" i="37"/>
  <c r="K88" i="37"/>
  <c r="K105" i="37"/>
  <c r="K173" i="37"/>
  <c r="K241" i="37"/>
  <c r="J23" i="37"/>
  <c r="A17" i="37"/>
  <c r="A29" i="37"/>
  <c r="E20" i="37"/>
  <c r="K19" i="37" l="1"/>
  <c r="K24" i="37"/>
  <c r="K25" i="37"/>
  <c r="K18" i="37"/>
  <c r="K21" i="37"/>
  <c r="K28" i="37"/>
  <c r="K17" i="37"/>
  <c r="K26" i="37"/>
  <c r="K27" i="37"/>
  <c r="K29" i="37"/>
  <c r="K20" i="37"/>
  <c r="K23" i="37"/>
  <c r="K22" i="37"/>
  <c r="N280" i="28"/>
  <c r="M280" i="28"/>
  <c r="L280" i="28"/>
  <c r="K280" i="28"/>
  <c r="J280" i="28"/>
  <c r="E280" i="28"/>
  <c r="O280" i="28" l="1"/>
  <c r="I275" i="28"/>
  <c r="I279" i="28"/>
  <c r="A279" i="28" l="1"/>
  <c r="B279" i="28"/>
  <c r="C279" i="28"/>
  <c r="D279" i="28"/>
  <c r="F279" i="28"/>
  <c r="G279" i="28"/>
  <c r="H279" i="28"/>
  <c r="K278" i="28"/>
  <c r="L278" i="28"/>
  <c r="M278" i="28"/>
  <c r="N278" i="28"/>
  <c r="J278" i="28"/>
  <c r="E278" i="28"/>
  <c r="O278" i="28" l="1"/>
  <c r="K277" i="28"/>
  <c r="L277" i="28"/>
  <c r="M277" i="28"/>
  <c r="N277" i="28"/>
  <c r="J277" i="28"/>
  <c r="E277" i="28"/>
  <c r="O277" i="28" l="1"/>
  <c r="N276" i="28" l="1"/>
  <c r="N279" i="28" s="1"/>
  <c r="M276" i="28"/>
  <c r="M279" i="28" s="1"/>
  <c r="L276" i="28"/>
  <c r="L279" i="28" s="1"/>
  <c r="K276" i="28"/>
  <c r="K279" i="28" s="1"/>
  <c r="J276" i="28"/>
  <c r="J279" i="28" s="1"/>
  <c r="E276" i="28"/>
  <c r="E279" i="28" s="1"/>
  <c r="O276" i="28" l="1"/>
  <c r="O279" i="28" s="1"/>
  <c r="H107" i="27"/>
  <c r="A275" i="28" l="1"/>
  <c r="B275" i="28"/>
  <c r="C275" i="28"/>
  <c r="D275" i="28"/>
  <c r="F275" i="28"/>
  <c r="G275" i="28"/>
  <c r="H275" i="28"/>
  <c r="K274" i="28"/>
  <c r="L274" i="28"/>
  <c r="M274" i="28"/>
  <c r="N274" i="28"/>
  <c r="J274" i="28"/>
  <c r="E274" i="28"/>
  <c r="O274" i="28" l="1"/>
  <c r="K273" i="28"/>
  <c r="L273" i="28"/>
  <c r="M273" i="28"/>
  <c r="N273" i="28"/>
  <c r="J273" i="28"/>
  <c r="E273" i="28"/>
  <c r="O273" i="28" l="1"/>
  <c r="N272" i="28"/>
  <c r="N275" i="28" s="1"/>
  <c r="M272" i="28"/>
  <c r="M275" i="28" s="1"/>
  <c r="L272" i="28"/>
  <c r="L275" i="28" s="1"/>
  <c r="K272" i="28"/>
  <c r="K275" i="28" s="1"/>
  <c r="J272" i="28"/>
  <c r="J275" i="28" s="1"/>
  <c r="E272" i="28"/>
  <c r="E275" i="28" s="1"/>
  <c r="O272" i="28" l="1"/>
  <c r="O275" i="28" s="1"/>
  <c r="E106" i="27"/>
  <c r="A270" i="28" l="1"/>
  <c r="B270" i="28"/>
  <c r="C270" i="28"/>
  <c r="D270" i="28"/>
  <c r="F270" i="28"/>
  <c r="G270" i="28"/>
  <c r="H270" i="28"/>
  <c r="I270" i="28"/>
  <c r="K269" i="28"/>
  <c r="L269" i="28"/>
  <c r="M269" i="28"/>
  <c r="N269" i="28"/>
  <c r="J269" i="28"/>
  <c r="E269" i="28"/>
  <c r="O269" i="28" l="1"/>
  <c r="K268" i="28"/>
  <c r="L268" i="28"/>
  <c r="M268" i="28"/>
  <c r="N268" i="28"/>
  <c r="J268" i="28"/>
  <c r="E268" i="28"/>
  <c r="O268" i="28" l="1"/>
  <c r="J267" i="28" l="1"/>
  <c r="N267" i="28"/>
  <c r="N270" i="28" s="1"/>
  <c r="M267" i="28"/>
  <c r="M270" i="28" s="1"/>
  <c r="L267" i="28"/>
  <c r="L270" i="28" s="1"/>
  <c r="K267" i="28"/>
  <c r="K270" i="28" s="1"/>
  <c r="E267" i="28"/>
  <c r="E270" i="28" s="1"/>
  <c r="O267" i="28" l="1"/>
  <c r="O270" i="28" s="1"/>
  <c r="J270" i="28"/>
  <c r="M255" i="28"/>
  <c r="A266" i="28" l="1"/>
  <c r="B266" i="28"/>
  <c r="C266" i="28"/>
  <c r="D266" i="28"/>
  <c r="F266" i="28"/>
  <c r="G266" i="28"/>
  <c r="H266" i="28"/>
  <c r="I266" i="28"/>
  <c r="K265" i="28"/>
  <c r="L265" i="28"/>
  <c r="M265" i="28"/>
  <c r="N265" i="28"/>
  <c r="E265" i="28"/>
  <c r="J265" i="28"/>
  <c r="O265" i="28" l="1"/>
  <c r="K264" i="28" l="1"/>
  <c r="L264" i="28"/>
  <c r="M264" i="28"/>
  <c r="N264" i="28"/>
  <c r="J264" i="28"/>
  <c r="E264" i="28"/>
  <c r="O264" i="28" l="1"/>
  <c r="N263" i="28"/>
  <c r="N266" i="28" s="1"/>
  <c r="M263" i="28"/>
  <c r="M266" i="28" s="1"/>
  <c r="L263" i="28"/>
  <c r="L266" i="28" s="1"/>
  <c r="K263" i="28"/>
  <c r="K266" i="28" s="1"/>
  <c r="J263" i="28"/>
  <c r="J266" i="28" s="1"/>
  <c r="E263" i="28"/>
  <c r="O263" i="28" l="1"/>
  <c r="O266" i="28" s="1"/>
  <c r="E266" i="28"/>
  <c r="A262" i="28" l="1"/>
  <c r="B262" i="28"/>
  <c r="C262" i="28"/>
  <c r="D262" i="28"/>
  <c r="F262" i="28"/>
  <c r="G262" i="28"/>
  <c r="H262" i="28"/>
  <c r="I262" i="28"/>
  <c r="K261" i="28"/>
  <c r="L261" i="28"/>
  <c r="M261" i="28"/>
  <c r="N261" i="28"/>
  <c r="J261" i="28"/>
  <c r="E261" i="28"/>
  <c r="O261" i="28" l="1"/>
  <c r="K260" i="28"/>
  <c r="L260" i="28"/>
  <c r="M260" i="28"/>
  <c r="N260" i="28"/>
  <c r="J260" i="28"/>
  <c r="E260" i="28"/>
  <c r="O260" i="28" l="1"/>
  <c r="N259" i="28"/>
  <c r="N262" i="28" s="1"/>
  <c r="M259" i="28"/>
  <c r="M262" i="28" s="1"/>
  <c r="L259" i="28"/>
  <c r="L262" i="28" s="1"/>
  <c r="K259" i="28"/>
  <c r="K262" i="28" s="1"/>
  <c r="J259" i="28"/>
  <c r="J262" i="28" s="1"/>
  <c r="E259" i="28"/>
  <c r="E262" i="28" s="1"/>
  <c r="O259" i="28" l="1"/>
  <c r="O262" i="28" s="1"/>
  <c r="H106" i="27" l="1"/>
  <c r="A258" i="28"/>
  <c r="A34" i="28" s="1"/>
  <c r="B258" i="28"/>
  <c r="B34" i="28" s="1"/>
  <c r="C258" i="28"/>
  <c r="C34" i="28" s="1"/>
  <c r="D258" i="28"/>
  <c r="D34" i="28" s="1"/>
  <c r="F258" i="28"/>
  <c r="F34" i="28" s="1"/>
  <c r="G258" i="28"/>
  <c r="G34" i="28" s="1"/>
  <c r="H258" i="28"/>
  <c r="H34" i="28" s="1"/>
  <c r="I258" i="28"/>
  <c r="I34" i="28" s="1"/>
  <c r="K256" i="28"/>
  <c r="L256" i="28"/>
  <c r="M256" i="28"/>
  <c r="N256" i="28"/>
  <c r="K257" i="28"/>
  <c r="L257" i="28"/>
  <c r="M257" i="28"/>
  <c r="N257" i="28"/>
  <c r="J256" i="28"/>
  <c r="J257" i="28"/>
  <c r="E256" i="28"/>
  <c r="E257" i="28"/>
  <c r="O257" i="28" l="1"/>
  <c r="O256" i="28"/>
  <c r="N255" i="28"/>
  <c r="N258" i="28" s="1"/>
  <c r="N34" i="28" s="1"/>
  <c r="L255" i="28"/>
  <c r="L258" i="28" s="1"/>
  <c r="L34" i="28" s="1"/>
  <c r="K255" i="28"/>
  <c r="K258" i="28" s="1"/>
  <c r="K34" i="28" s="1"/>
  <c r="J255" i="28"/>
  <c r="J258" i="28" s="1"/>
  <c r="J34" i="28" s="1"/>
  <c r="E255" i="28"/>
  <c r="E258" i="28" s="1"/>
  <c r="E34" i="28" s="1"/>
  <c r="M258" i="28" l="1"/>
  <c r="M34" i="28" s="1"/>
  <c r="O255" i="28"/>
  <c r="O258" i="28" s="1"/>
  <c r="O34" i="28" s="1"/>
  <c r="H64" i="27"/>
  <c r="H105" i="27" l="1"/>
  <c r="I245" i="28"/>
  <c r="N252" i="28" l="1"/>
  <c r="M252" i="28"/>
  <c r="K240" i="28" l="1"/>
  <c r="K239" i="28"/>
  <c r="K238" i="28"/>
  <c r="B104" i="27"/>
  <c r="K241" i="28" l="1"/>
  <c r="A253" i="28"/>
  <c r="B253" i="28"/>
  <c r="C253" i="28"/>
  <c r="D253" i="28"/>
  <c r="F253" i="28"/>
  <c r="G253" i="28"/>
  <c r="H253" i="28"/>
  <c r="I253" i="28"/>
  <c r="J252" i="28"/>
  <c r="E252" i="28"/>
  <c r="L252" i="28"/>
  <c r="K252" i="28"/>
  <c r="O252" i="28" l="1"/>
  <c r="K251" i="28" l="1"/>
  <c r="L251" i="28"/>
  <c r="M251" i="28"/>
  <c r="N251" i="28"/>
  <c r="J251" i="28"/>
  <c r="E251" i="28"/>
  <c r="O251" i="28" l="1"/>
  <c r="N250" i="28"/>
  <c r="N253" i="28" s="1"/>
  <c r="M250" i="28"/>
  <c r="M253" i="28" s="1"/>
  <c r="L250" i="28"/>
  <c r="L253" i="28" s="1"/>
  <c r="K250" i="28"/>
  <c r="K253" i="28" s="1"/>
  <c r="J250" i="28"/>
  <c r="J253" i="28" s="1"/>
  <c r="E250" i="28"/>
  <c r="E253" i="28" s="1"/>
  <c r="O250" i="28" l="1"/>
  <c r="O253" i="28" s="1"/>
  <c r="A249" i="28" l="1"/>
  <c r="B249" i="28"/>
  <c r="C249" i="28"/>
  <c r="D249" i="28"/>
  <c r="F249" i="28"/>
  <c r="G249" i="28"/>
  <c r="H249" i="28"/>
  <c r="I249" i="28"/>
  <c r="K248" i="28"/>
  <c r="L248" i="28"/>
  <c r="M248" i="28"/>
  <c r="N248" i="28"/>
  <c r="J248" i="28"/>
  <c r="E248" i="28"/>
  <c r="O248" i="28" l="1"/>
  <c r="K247" i="28"/>
  <c r="L247" i="28"/>
  <c r="M247" i="28"/>
  <c r="N247" i="28"/>
  <c r="J247" i="28"/>
  <c r="E247" i="28"/>
  <c r="O247" i="28" l="1"/>
  <c r="K246" i="28"/>
  <c r="K249" i="28" s="1"/>
  <c r="L246" i="28"/>
  <c r="L249" i="28" s="1"/>
  <c r="J246" i="28"/>
  <c r="J249" i="28" s="1"/>
  <c r="E246" i="28"/>
  <c r="E249" i="28" s="1"/>
  <c r="O246" i="28" l="1"/>
  <c r="O249" i="28" s="1"/>
  <c r="N246" i="28"/>
  <c r="N249" i="28" s="1"/>
  <c r="M246" i="28"/>
  <c r="M249" i="28" s="1"/>
  <c r="G104" i="27" l="1"/>
  <c r="E104" i="27"/>
  <c r="A245" i="28" l="1"/>
  <c r="B245" i="28"/>
  <c r="C245" i="28"/>
  <c r="D245" i="28"/>
  <c r="F245" i="28"/>
  <c r="G245" i="28"/>
  <c r="H245" i="28"/>
  <c r="K244" i="28"/>
  <c r="L244" i="28"/>
  <c r="M244" i="28"/>
  <c r="N244" i="28"/>
  <c r="J244" i="28"/>
  <c r="E244" i="28"/>
  <c r="O244" i="28" l="1"/>
  <c r="M243" i="28"/>
  <c r="K243" i="28"/>
  <c r="L243" i="28"/>
  <c r="N243" i="28"/>
  <c r="J243" i="28"/>
  <c r="E243" i="28"/>
  <c r="O243" i="28" l="1"/>
  <c r="N242" i="28"/>
  <c r="N245" i="28" s="1"/>
  <c r="M242" i="28"/>
  <c r="M245" i="28" s="1"/>
  <c r="L242" i="28"/>
  <c r="L245" i="28" s="1"/>
  <c r="K242" i="28"/>
  <c r="K245" i="28" s="1"/>
  <c r="K33" i="28" s="1"/>
  <c r="J242" i="28"/>
  <c r="J245" i="28" s="1"/>
  <c r="E242" i="28"/>
  <c r="E245" i="28" s="1"/>
  <c r="O242" i="28" l="1"/>
  <c r="O245" i="28" s="1"/>
  <c r="A241" i="28"/>
  <c r="A33" i="28" s="1"/>
  <c r="B241" i="28"/>
  <c r="B33" i="28" s="1"/>
  <c r="C241" i="28"/>
  <c r="C33" i="28" s="1"/>
  <c r="D241" i="28"/>
  <c r="D33" i="28" s="1"/>
  <c r="F241" i="28"/>
  <c r="F33" i="28" s="1"/>
  <c r="G241" i="28"/>
  <c r="G33" i="28" s="1"/>
  <c r="H241" i="28"/>
  <c r="H33" i="28" s="1"/>
  <c r="I241" i="28"/>
  <c r="I33" i="28" s="1"/>
  <c r="L240" i="28"/>
  <c r="M240" i="28"/>
  <c r="N240" i="28"/>
  <c r="E240" i="28"/>
  <c r="J240" i="28"/>
  <c r="O240" i="28" l="1"/>
  <c r="L239" i="28"/>
  <c r="M239" i="28"/>
  <c r="N239" i="28"/>
  <c r="J239" i="28"/>
  <c r="E239" i="28"/>
  <c r="O239" i="28" l="1"/>
  <c r="N238" i="28"/>
  <c r="M238" i="28"/>
  <c r="L238" i="28"/>
  <c r="J238" i="28"/>
  <c r="J241" i="28" s="1"/>
  <c r="J33" i="28" s="1"/>
  <c r="E238" i="28"/>
  <c r="E241" i="28" l="1"/>
  <c r="E33" i="28" s="1"/>
  <c r="O238" i="28"/>
  <c r="O241" i="28" s="1"/>
  <c r="O33" i="28" s="1"/>
  <c r="L241" i="28"/>
  <c r="L33" i="28" s="1"/>
  <c r="M241" i="28"/>
  <c r="M33" i="28" s="1"/>
  <c r="N241" i="28"/>
  <c r="N33" i="28" s="1"/>
  <c r="F232" i="28" l="1"/>
  <c r="K226" i="28"/>
  <c r="A228" i="28"/>
  <c r="K221" i="28"/>
  <c r="A236" i="28" l="1"/>
  <c r="B236" i="28"/>
  <c r="C236" i="28"/>
  <c r="D236" i="28"/>
  <c r="F236" i="28"/>
  <c r="G236" i="28"/>
  <c r="H236" i="28"/>
  <c r="I236" i="28"/>
  <c r="E235" i="28"/>
  <c r="J235" i="28"/>
  <c r="K235" i="28" l="1"/>
  <c r="L235" i="28"/>
  <c r="M235" i="28"/>
  <c r="N235" i="28"/>
  <c r="O235" i="28"/>
  <c r="K234" i="28" l="1"/>
  <c r="L234" i="28"/>
  <c r="M234" i="28"/>
  <c r="N234" i="28"/>
  <c r="J234" i="28"/>
  <c r="E234" i="28"/>
  <c r="O234" i="28" l="1"/>
  <c r="N233" i="28"/>
  <c r="N236" i="28" s="1"/>
  <c r="M233" i="28"/>
  <c r="M236" i="28" s="1"/>
  <c r="L233" i="28"/>
  <c r="L236" i="28" s="1"/>
  <c r="K233" i="28"/>
  <c r="K236" i="28" s="1"/>
  <c r="J233" i="28"/>
  <c r="J236" i="28" s="1"/>
  <c r="E233" i="28"/>
  <c r="E236" i="28" s="1"/>
  <c r="O233" i="28" l="1"/>
  <c r="O236" i="28" s="1"/>
  <c r="H63" i="27" l="1"/>
  <c r="A232" i="28"/>
  <c r="B232" i="28"/>
  <c r="C232" i="28"/>
  <c r="D232" i="28"/>
  <c r="G232" i="28"/>
  <c r="H232" i="28"/>
  <c r="I232" i="28"/>
  <c r="K231" i="28" l="1"/>
  <c r="L231" i="28"/>
  <c r="M231" i="28"/>
  <c r="N231" i="28"/>
  <c r="J231" i="28"/>
  <c r="E231" i="28"/>
  <c r="O231" i="28" l="1"/>
  <c r="K230" i="28"/>
  <c r="L230" i="28"/>
  <c r="M230" i="28"/>
  <c r="N230" i="28"/>
  <c r="J230" i="28"/>
  <c r="E230" i="28"/>
  <c r="O230" i="28" l="1"/>
  <c r="N229" i="28"/>
  <c r="N232" i="28" s="1"/>
  <c r="M229" i="28"/>
  <c r="M232" i="28" s="1"/>
  <c r="L229" i="28"/>
  <c r="L232" i="28" s="1"/>
  <c r="K229" i="28"/>
  <c r="K232" i="28" s="1"/>
  <c r="J229" i="28"/>
  <c r="J232" i="28" s="1"/>
  <c r="E229" i="28"/>
  <c r="E232" i="28" s="1"/>
  <c r="O229" i="28" l="1"/>
  <c r="O232" i="28" s="1"/>
  <c r="H62" i="27"/>
  <c r="B228" i="28" l="1"/>
  <c r="C228" i="28"/>
  <c r="D228" i="28"/>
  <c r="F228" i="28"/>
  <c r="G228" i="28"/>
  <c r="H228" i="28"/>
  <c r="I228" i="28"/>
  <c r="K227" i="28"/>
  <c r="L227" i="28"/>
  <c r="M227" i="28"/>
  <c r="N227" i="28"/>
  <c r="J227" i="28"/>
  <c r="E227" i="28"/>
  <c r="O227" i="28" l="1"/>
  <c r="N226" i="28"/>
  <c r="M226" i="28"/>
  <c r="L226" i="28"/>
  <c r="E226" i="28"/>
  <c r="J226" i="28"/>
  <c r="O226" i="28" l="1"/>
  <c r="N225" i="28"/>
  <c r="N228" i="28" s="1"/>
  <c r="M225" i="28"/>
  <c r="M228" i="28" s="1"/>
  <c r="L225" i="28"/>
  <c r="L228" i="28" s="1"/>
  <c r="K225" i="28"/>
  <c r="K228" i="28" s="1"/>
  <c r="J225" i="28"/>
  <c r="J228" i="28" s="1"/>
  <c r="E225" i="28"/>
  <c r="E228" i="28" s="1"/>
  <c r="O225" i="28" l="1"/>
  <c r="O228" i="28" s="1"/>
  <c r="G103" i="27"/>
  <c r="E103" i="27"/>
  <c r="B103" i="27"/>
  <c r="G102" i="27"/>
  <c r="E102" i="27"/>
  <c r="B102" i="27"/>
  <c r="G101" i="27"/>
  <c r="E101" i="27"/>
  <c r="B101" i="27"/>
  <c r="G100" i="27"/>
  <c r="E100" i="27"/>
  <c r="B100" i="27"/>
  <c r="H98" i="27"/>
  <c r="G97" i="27"/>
  <c r="E97" i="27"/>
  <c r="B97" i="27"/>
  <c r="H96" i="27"/>
  <c r="H95" i="27"/>
  <c r="H94" i="27"/>
  <c r="H61" i="27"/>
  <c r="H104" i="27" s="1"/>
  <c r="H60" i="27"/>
  <c r="H59" i="27"/>
  <c r="H58" i="27"/>
  <c r="H57" i="27"/>
  <c r="H56" i="27"/>
  <c r="H55" i="27"/>
  <c r="H54" i="27"/>
  <c r="H53" i="27"/>
  <c r="H52" i="27"/>
  <c r="H51" i="27"/>
  <c r="H50" i="27"/>
  <c r="N49" i="27"/>
  <c r="M49" i="27"/>
  <c r="L49" i="27"/>
  <c r="K49" i="27"/>
  <c r="H49" i="27"/>
  <c r="O48" i="27"/>
  <c r="H48" i="27"/>
  <c r="O47" i="27"/>
  <c r="H47" i="27"/>
  <c r="O46" i="27"/>
  <c r="H46" i="27"/>
  <c r="N45" i="27"/>
  <c r="M45" i="27"/>
  <c r="L45" i="27"/>
  <c r="K45" i="27"/>
  <c r="H45" i="27"/>
  <c r="O44" i="27"/>
  <c r="H44" i="27"/>
  <c r="O43" i="27"/>
  <c r="O42" i="27"/>
  <c r="O41" i="27"/>
  <c r="N40" i="27"/>
  <c r="M40" i="27"/>
  <c r="L40" i="27"/>
  <c r="K40" i="27"/>
  <c r="H40" i="27"/>
  <c r="O39" i="27"/>
  <c r="H39" i="27"/>
  <c r="O38" i="27"/>
  <c r="H38" i="27"/>
  <c r="O37" i="27"/>
  <c r="H37" i="27"/>
  <c r="O36" i="27"/>
  <c r="H36" i="27"/>
  <c r="N35" i="27"/>
  <c r="M35" i="27"/>
  <c r="L35" i="27"/>
  <c r="K35" i="27"/>
  <c r="H35" i="27"/>
  <c r="O34" i="27"/>
  <c r="H34" i="27"/>
  <c r="O33" i="27"/>
  <c r="H33" i="27"/>
  <c r="O32" i="27"/>
  <c r="H32" i="27"/>
  <c r="O31" i="27"/>
  <c r="H31" i="27"/>
  <c r="N30" i="27"/>
  <c r="M30" i="27"/>
  <c r="L30" i="27"/>
  <c r="K30" i="27"/>
  <c r="H30" i="27"/>
  <c r="O29" i="27"/>
  <c r="H29" i="27"/>
  <c r="O28" i="27"/>
  <c r="H28" i="27"/>
  <c r="O27" i="27"/>
  <c r="H27" i="27"/>
  <c r="O26" i="27"/>
  <c r="H26" i="27"/>
  <c r="N25" i="27"/>
  <c r="M25" i="27"/>
  <c r="L25" i="27"/>
  <c r="K25" i="27"/>
  <c r="H25" i="27"/>
  <c r="O24" i="27"/>
  <c r="H24" i="27"/>
  <c r="O23" i="27"/>
  <c r="H23" i="27"/>
  <c r="O22" i="27"/>
  <c r="H22" i="27"/>
  <c r="O21" i="27"/>
  <c r="H21" i="27"/>
  <c r="O20" i="27"/>
  <c r="H20" i="27"/>
  <c r="O19" i="27"/>
  <c r="H19" i="27"/>
  <c r="O18" i="27"/>
  <c r="H18" i="27"/>
  <c r="O17" i="27"/>
  <c r="H17" i="27"/>
  <c r="O15" i="27"/>
  <c r="H15" i="27"/>
  <c r="O14" i="27"/>
  <c r="H14" i="27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H32" i="5"/>
  <c r="E32" i="5"/>
  <c r="N31" i="5"/>
  <c r="N29" i="5"/>
  <c r="K29" i="5"/>
  <c r="H29" i="5"/>
  <c r="E29" i="5"/>
  <c r="N28" i="5"/>
  <c r="K28" i="5"/>
  <c r="AB21" i="5"/>
  <c r="P21" i="5"/>
  <c r="J21" i="5"/>
  <c r="D21" i="5"/>
  <c r="AB20" i="5"/>
  <c r="P20" i="5"/>
  <c r="J20" i="5"/>
  <c r="D20" i="5"/>
  <c r="AB19" i="5"/>
  <c r="P19" i="5"/>
  <c r="J19" i="5"/>
  <c r="D19" i="5"/>
  <c r="AB18" i="5"/>
  <c r="P18" i="5"/>
  <c r="J18" i="5"/>
  <c r="D18" i="5"/>
  <c r="AB17" i="5"/>
  <c r="U17" i="5"/>
  <c r="T17" i="5"/>
  <c r="S17" i="5"/>
  <c r="R17" i="5"/>
  <c r="Q17" i="5"/>
  <c r="P17" i="5"/>
  <c r="J17" i="5"/>
  <c r="D17" i="5"/>
  <c r="AB16" i="5"/>
  <c r="P16" i="5"/>
  <c r="J16" i="5"/>
  <c r="D16" i="5"/>
  <c r="AB15" i="5"/>
  <c r="P15" i="5"/>
  <c r="J15" i="5"/>
  <c r="D15" i="5"/>
  <c r="AB14" i="5"/>
  <c r="P14" i="5"/>
  <c r="J14" i="5"/>
  <c r="D14" i="5"/>
  <c r="AB13" i="5"/>
  <c r="P13" i="5"/>
  <c r="J13" i="5"/>
  <c r="D13" i="5"/>
  <c r="U12" i="5"/>
  <c r="T12" i="5"/>
  <c r="S12" i="5"/>
  <c r="R12" i="5"/>
  <c r="Q12" i="5"/>
  <c r="P12" i="5"/>
  <c r="J12" i="5"/>
  <c r="D12" i="5"/>
  <c r="AB11" i="5"/>
  <c r="P11" i="5"/>
  <c r="J11" i="5"/>
  <c r="D11" i="5"/>
  <c r="AB10" i="5"/>
  <c r="P10" i="5"/>
  <c r="J10" i="5"/>
  <c r="D10" i="5"/>
  <c r="AB9" i="5"/>
  <c r="P9" i="5"/>
  <c r="J9" i="5"/>
  <c r="D9" i="5"/>
  <c r="AB8" i="5"/>
  <c r="P8" i="5"/>
  <c r="J8" i="5"/>
  <c r="D8" i="5"/>
  <c r="I224" i="28"/>
  <c r="I32" i="28" s="1"/>
  <c r="H224" i="28"/>
  <c r="H32" i="28" s="1"/>
  <c r="G224" i="28"/>
  <c r="G32" i="28" s="1"/>
  <c r="F224" i="28"/>
  <c r="F32" i="28" s="1"/>
  <c r="D224" i="28"/>
  <c r="D32" i="28" s="1"/>
  <c r="C224" i="28"/>
  <c r="C32" i="28" s="1"/>
  <c r="B224" i="28"/>
  <c r="B32" i="28" s="1"/>
  <c r="A224" i="28"/>
  <c r="A32" i="28" s="1"/>
  <c r="N223" i="28"/>
  <c r="M223" i="28"/>
  <c r="L223" i="28"/>
  <c r="K223" i="28"/>
  <c r="J223" i="28"/>
  <c r="E223" i="28"/>
  <c r="N222" i="28"/>
  <c r="M222" i="28"/>
  <c r="L222" i="28"/>
  <c r="K222" i="28"/>
  <c r="J222" i="28"/>
  <c r="E222" i="28"/>
  <c r="N221" i="28"/>
  <c r="M221" i="28"/>
  <c r="L221" i="28"/>
  <c r="J221" i="28"/>
  <c r="E221" i="28"/>
  <c r="I219" i="28"/>
  <c r="H219" i="28"/>
  <c r="G219" i="28"/>
  <c r="F219" i="28"/>
  <c r="D219" i="28"/>
  <c r="C219" i="28"/>
  <c r="B219" i="28"/>
  <c r="A219" i="28"/>
  <c r="N218" i="28"/>
  <c r="M218" i="28"/>
  <c r="L218" i="28"/>
  <c r="K218" i="28"/>
  <c r="J218" i="28"/>
  <c r="E218" i="28"/>
  <c r="N217" i="28"/>
  <c r="M217" i="28"/>
  <c r="L217" i="28"/>
  <c r="K217" i="28"/>
  <c r="J217" i="28"/>
  <c r="E217" i="28"/>
  <c r="N216" i="28"/>
  <c r="M216" i="28"/>
  <c r="L216" i="28"/>
  <c r="K216" i="28"/>
  <c r="J216" i="28"/>
  <c r="E216" i="28"/>
  <c r="I215" i="28"/>
  <c r="H215" i="28"/>
  <c r="G215" i="28"/>
  <c r="F215" i="28"/>
  <c r="D215" i="28"/>
  <c r="C215" i="28"/>
  <c r="B215" i="28"/>
  <c r="A215" i="28"/>
  <c r="N214" i="28"/>
  <c r="M214" i="28"/>
  <c r="L214" i="28"/>
  <c r="K214" i="28"/>
  <c r="J214" i="28"/>
  <c r="E214" i="28"/>
  <c r="N213" i="28"/>
  <c r="M213" i="28"/>
  <c r="L213" i="28"/>
  <c r="K213" i="28"/>
  <c r="J213" i="28"/>
  <c r="E213" i="28"/>
  <c r="N212" i="28"/>
  <c r="M212" i="28"/>
  <c r="L212" i="28"/>
  <c r="K212" i="28"/>
  <c r="J212" i="28"/>
  <c r="E212" i="28"/>
  <c r="I211" i="28"/>
  <c r="H211" i="28"/>
  <c r="G211" i="28"/>
  <c r="F211" i="28"/>
  <c r="D211" i="28"/>
  <c r="C211" i="28"/>
  <c r="B211" i="28"/>
  <c r="A211" i="28"/>
  <c r="N210" i="28"/>
  <c r="M210" i="28"/>
  <c r="L210" i="28"/>
  <c r="K210" i="28"/>
  <c r="J210" i="28"/>
  <c r="E210" i="28"/>
  <c r="N209" i="28"/>
  <c r="M209" i="28"/>
  <c r="L209" i="28"/>
  <c r="K209" i="28"/>
  <c r="J209" i="28"/>
  <c r="E209" i="28"/>
  <c r="N208" i="28"/>
  <c r="M208" i="28"/>
  <c r="L208" i="28"/>
  <c r="K208" i="28"/>
  <c r="J208" i="28"/>
  <c r="E208" i="28"/>
  <c r="I207" i="28"/>
  <c r="H207" i="28"/>
  <c r="G207" i="28"/>
  <c r="F207" i="28"/>
  <c r="D207" i="28"/>
  <c r="C207" i="28"/>
  <c r="B207" i="28"/>
  <c r="A207" i="28"/>
  <c r="N206" i="28"/>
  <c r="M206" i="28"/>
  <c r="L206" i="28"/>
  <c r="K206" i="28"/>
  <c r="J206" i="28"/>
  <c r="E206" i="28"/>
  <c r="N205" i="28"/>
  <c r="M205" i="28"/>
  <c r="L205" i="28"/>
  <c r="K205" i="28"/>
  <c r="J205" i="28"/>
  <c r="E205" i="28"/>
  <c r="N204" i="28"/>
  <c r="M204" i="28"/>
  <c r="L204" i="28"/>
  <c r="K204" i="28"/>
  <c r="J204" i="28"/>
  <c r="E204" i="28"/>
  <c r="I202" i="28"/>
  <c r="H202" i="28"/>
  <c r="G202" i="28"/>
  <c r="F202" i="28"/>
  <c r="D202" i="28"/>
  <c r="C202" i="28"/>
  <c r="B202" i="28"/>
  <c r="A202" i="28"/>
  <c r="N201" i="28"/>
  <c r="M201" i="28"/>
  <c r="L201" i="28"/>
  <c r="K201" i="28"/>
  <c r="J201" i="28"/>
  <c r="E201" i="28"/>
  <c r="N200" i="28"/>
  <c r="M200" i="28"/>
  <c r="L200" i="28"/>
  <c r="K200" i="28"/>
  <c r="J200" i="28"/>
  <c r="E200" i="28"/>
  <c r="N199" i="28"/>
  <c r="M199" i="28"/>
  <c r="L199" i="28"/>
  <c r="K199" i="28"/>
  <c r="J199" i="28"/>
  <c r="E199" i="28"/>
  <c r="I198" i="28"/>
  <c r="H198" i="28"/>
  <c r="G198" i="28"/>
  <c r="F198" i="28"/>
  <c r="D198" i="28"/>
  <c r="C198" i="28"/>
  <c r="B198" i="28"/>
  <c r="A198" i="28"/>
  <c r="N197" i="28"/>
  <c r="M197" i="28"/>
  <c r="L197" i="28"/>
  <c r="K197" i="28"/>
  <c r="J197" i="28"/>
  <c r="E197" i="28"/>
  <c r="N196" i="28"/>
  <c r="M196" i="28"/>
  <c r="L196" i="28"/>
  <c r="K196" i="28"/>
  <c r="J196" i="28"/>
  <c r="E196" i="28"/>
  <c r="N195" i="28"/>
  <c r="M195" i="28"/>
  <c r="L195" i="28"/>
  <c r="K195" i="28"/>
  <c r="J195" i="28"/>
  <c r="E195" i="28"/>
  <c r="I194" i="28"/>
  <c r="H194" i="28"/>
  <c r="G194" i="28"/>
  <c r="F194" i="28"/>
  <c r="D194" i="28"/>
  <c r="C194" i="28"/>
  <c r="B194" i="28"/>
  <c r="A194" i="28"/>
  <c r="N193" i="28"/>
  <c r="M193" i="28"/>
  <c r="L193" i="28"/>
  <c r="K193" i="28"/>
  <c r="J193" i="28"/>
  <c r="E193" i="28"/>
  <c r="N192" i="28"/>
  <c r="M192" i="28"/>
  <c r="L192" i="28"/>
  <c r="K192" i="28"/>
  <c r="J192" i="28"/>
  <c r="E192" i="28"/>
  <c r="N191" i="28"/>
  <c r="M191" i="28"/>
  <c r="L191" i="28"/>
  <c r="K191" i="28"/>
  <c r="J191" i="28"/>
  <c r="E191" i="28"/>
  <c r="I190" i="28"/>
  <c r="H190" i="28"/>
  <c r="G190" i="28"/>
  <c r="F190" i="28"/>
  <c r="D190" i="28"/>
  <c r="C190" i="28"/>
  <c r="B190" i="28"/>
  <c r="A190" i="28"/>
  <c r="N189" i="28"/>
  <c r="M189" i="28"/>
  <c r="L189" i="28"/>
  <c r="K189" i="28"/>
  <c r="J189" i="28"/>
  <c r="E189" i="28"/>
  <c r="N188" i="28"/>
  <c r="M188" i="28"/>
  <c r="L188" i="28"/>
  <c r="K188" i="28"/>
  <c r="J188" i="28"/>
  <c r="E188" i="28"/>
  <c r="N187" i="28"/>
  <c r="M187" i="28"/>
  <c r="L187" i="28"/>
  <c r="K187" i="28"/>
  <c r="J187" i="28"/>
  <c r="E187" i="28"/>
  <c r="I185" i="28"/>
  <c r="H185" i="28"/>
  <c r="G185" i="28"/>
  <c r="F185" i="28"/>
  <c r="D185" i="28"/>
  <c r="C185" i="28"/>
  <c r="B185" i="28"/>
  <c r="A185" i="28"/>
  <c r="N184" i="28"/>
  <c r="M184" i="28"/>
  <c r="L184" i="28"/>
  <c r="K184" i="28"/>
  <c r="J184" i="28"/>
  <c r="E184" i="28"/>
  <c r="N183" i="28"/>
  <c r="M183" i="28"/>
  <c r="L183" i="28"/>
  <c r="K183" i="28"/>
  <c r="J183" i="28"/>
  <c r="E183" i="28"/>
  <c r="N182" i="28"/>
  <c r="M182" i="28"/>
  <c r="L182" i="28"/>
  <c r="K182" i="28"/>
  <c r="J182" i="28"/>
  <c r="E182" i="28"/>
  <c r="I181" i="28"/>
  <c r="H181" i="28"/>
  <c r="G181" i="28"/>
  <c r="F181" i="28"/>
  <c r="D181" i="28"/>
  <c r="C181" i="28"/>
  <c r="B181" i="28"/>
  <c r="A181" i="28"/>
  <c r="N180" i="28"/>
  <c r="M180" i="28"/>
  <c r="L180" i="28"/>
  <c r="K180" i="28"/>
  <c r="J180" i="28"/>
  <c r="E180" i="28"/>
  <c r="N179" i="28"/>
  <c r="M179" i="28"/>
  <c r="L179" i="28"/>
  <c r="K179" i="28"/>
  <c r="J179" i="28"/>
  <c r="E179" i="28"/>
  <c r="N178" i="28"/>
  <c r="M178" i="28"/>
  <c r="L178" i="28"/>
  <c r="K178" i="28"/>
  <c r="J178" i="28"/>
  <c r="E178" i="28"/>
  <c r="I177" i="28"/>
  <c r="H177" i="28"/>
  <c r="G177" i="28"/>
  <c r="F177" i="28"/>
  <c r="D177" i="28"/>
  <c r="C177" i="28"/>
  <c r="B177" i="28"/>
  <c r="A177" i="28"/>
  <c r="N176" i="28"/>
  <c r="M176" i="28"/>
  <c r="L176" i="28"/>
  <c r="K176" i="28"/>
  <c r="J176" i="28"/>
  <c r="E176" i="28"/>
  <c r="N175" i="28"/>
  <c r="M175" i="28"/>
  <c r="L175" i="28"/>
  <c r="K175" i="28"/>
  <c r="J175" i="28"/>
  <c r="E175" i="28"/>
  <c r="N174" i="28"/>
  <c r="M174" i="28"/>
  <c r="L174" i="28"/>
  <c r="K174" i="28"/>
  <c r="J174" i="28"/>
  <c r="E174" i="28"/>
  <c r="I173" i="28"/>
  <c r="H173" i="28"/>
  <c r="G173" i="28"/>
  <c r="F173" i="28"/>
  <c r="D173" i="28"/>
  <c r="C173" i="28"/>
  <c r="B173" i="28"/>
  <c r="A173" i="28"/>
  <c r="N172" i="28"/>
  <c r="M172" i="28"/>
  <c r="L172" i="28"/>
  <c r="K172" i="28"/>
  <c r="J172" i="28"/>
  <c r="E172" i="28"/>
  <c r="N171" i="28"/>
  <c r="M171" i="28"/>
  <c r="L171" i="28"/>
  <c r="K171" i="28"/>
  <c r="J171" i="28"/>
  <c r="E171" i="28"/>
  <c r="N170" i="28"/>
  <c r="M170" i="28"/>
  <c r="L170" i="28"/>
  <c r="K170" i="28"/>
  <c r="J170" i="28"/>
  <c r="E170" i="28"/>
  <c r="I168" i="28"/>
  <c r="H168" i="28"/>
  <c r="G168" i="28"/>
  <c r="F168" i="28"/>
  <c r="D168" i="28"/>
  <c r="C168" i="28"/>
  <c r="B168" i="28"/>
  <c r="A168" i="28"/>
  <c r="N167" i="28"/>
  <c r="M167" i="28"/>
  <c r="L167" i="28"/>
  <c r="K167" i="28"/>
  <c r="J167" i="28"/>
  <c r="E167" i="28"/>
  <c r="N166" i="28"/>
  <c r="M166" i="28"/>
  <c r="L166" i="28"/>
  <c r="K166" i="28"/>
  <c r="J166" i="28"/>
  <c r="E166" i="28"/>
  <c r="N165" i="28"/>
  <c r="M165" i="28"/>
  <c r="L165" i="28"/>
  <c r="K165" i="28"/>
  <c r="J165" i="28"/>
  <c r="E165" i="28"/>
  <c r="I164" i="28"/>
  <c r="H164" i="28"/>
  <c r="G164" i="28"/>
  <c r="F164" i="28"/>
  <c r="D164" i="28"/>
  <c r="C164" i="28"/>
  <c r="B164" i="28"/>
  <c r="A164" i="28"/>
  <c r="N163" i="28"/>
  <c r="M163" i="28"/>
  <c r="L163" i="28"/>
  <c r="K163" i="28"/>
  <c r="J163" i="28"/>
  <c r="E163" i="28"/>
  <c r="N162" i="28"/>
  <c r="M162" i="28"/>
  <c r="L162" i="28"/>
  <c r="K162" i="28"/>
  <c r="J162" i="28"/>
  <c r="E162" i="28"/>
  <c r="N161" i="28"/>
  <c r="M161" i="28"/>
  <c r="L161" i="28"/>
  <c r="K161" i="28"/>
  <c r="J161" i="28"/>
  <c r="E161" i="28"/>
  <c r="I160" i="28"/>
  <c r="H160" i="28"/>
  <c r="G160" i="28"/>
  <c r="F160" i="28"/>
  <c r="D160" i="28"/>
  <c r="C160" i="28"/>
  <c r="B160" i="28"/>
  <c r="A160" i="28"/>
  <c r="N159" i="28"/>
  <c r="M159" i="28"/>
  <c r="L159" i="28"/>
  <c r="K159" i="28"/>
  <c r="J159" i="28"/>
  <c r="E159" i="28"/>
  <c r="N158" i="28"/>
  <c r="M158" i="28"/>
  <c r="L158" i="28"/>
  <c r="K158" i="28"/>
  <c r="J158" i="28"/>
  <c r="E158" i="28"/>
  <c r="N157" i="28"/>
  <c r="M157" i="28"/>
  <c r="L157" i="28"/>
  <c r="K157" i="28"/>
  <c r="J157" i="28"/>
  <c r="E157" i="28"/>
  <c r="I156" i="28"/>
  <c r="H156" i="28"/>
  <c r="G156" i="28"/>
  <c r="F156" i="28"/>
  <c r="D156" i="28"/>
  <c r="C156" i="28"/>
  <c r="B156" i="28"/>
  <c r="A156" i="28"/>
  <c r="N155" i="28"/>
  <c r="M155" i="28"/>
  <c r="L155" i="28"/>
  <c r="K155" i="28"/>
  <c r="J155" i="28"/>
  <c r="E155" i="28"/>
  <c r="N154" i="28"/>
  <c r="M154" i="28"/>
  <c r="L154" i="28"/>
  <c r="K154" i="28"/>
  <c r="J154" i="28"/>
  <c r="E154" i="28"/>
  <c r="N153" i="28"/>
  <c r="M153" i="28"/>
  <c r="L153" i="28"/>
  <c r="K153" i="28"/>
  <c r="J153" i="28"/>
  <c r="E153" i="28"/>
  <c r="I151" i="28"/>
  <c r="H151" i="28"/>
  <c r="G151" i="28"/>
  <c r="F151" i="28"/>
  <c r="D151" i="28"/>
  <c r="C151" i="28"/>
  <c r="B151" i="28"/>
  <c r="A151" i="28"/>
  <c r="N150" i="28"/>
  <c r="M150" i="28"/>
  <c r="L150" i="28"/>
  <c r="K150" i="28"/>
  <c r="J150" i="28"/>
  <c r="E150" i="28"/>
  <c r="N149" i="28"/>
  <c r="M149" i="28"/>
  <c r="L149" i="28"/>
  <c r="K149" i="28"/>
  <c r="J149" i="28"/>
  <c r="E149" i="28"/>
  <c r="N148" i="28"/>
  <c r="M148" i="28"/>
  <c r="L148" i="28"/>
  <c r="K148" i="28"/>
  <c r="J148" i="28"/>
  <c r="E148" i="28"/>
  <c r="I147" i="28"/>
  <c r="H147" i="28"/>
  <c r="G147" i="28"/>
  <c r="D43" i="27" s="1"/>
  <c r="F147" i="28"/>
  <c r="D147" i="28"/>
  <c r="C147" i="28"/>
  <c r="B147" i="28"/>
  <c r="A147" i="28"/>
  <c r="N146" i="28"/>
  <c r="M146" i="28"/>
  <c r="L146" i="28"/>
  <c r="K146" i="28"/>
  <c r="J146" i="28"/>
  <c r="E146" i="28"/>
  <c r="N145" i="28"/>
  <c r="M145" i="28"/>
  <c r="L145" i="28"/>
  <c r="K145" i="28"/>
  <c r="J145" i="28"/>
  <c r="E145" i="28"/>
  <c r="N144" i="28"/>
  <c r="M144" i="28"/>
  <c r="L144" i="28"/>
  <c r="K144" i="28"/>
  <c r="J144" i="28"/>
  <c r="E144" i="28"/>
  <c r="I143" i="28"/>
  <c r="H143" i="28"/>
  <c r="G143" i="28"/>
  <c r="D42" i="27" s="1"/>
  <c r="F143" i="28"/>
  <c r="D143" i="28"/>
  <c r="C143" i="28"/>
  <c r="B143" i="28"/>
  <c r="A143" i="28"/>
  <c r="N142" i="28"/>
  <c r="M142" i="28"/>
  <c r="L142" i="28"/>
  <c r="K142" i="28"/>
  <c r="J142" i="28"/>
  <c r="E142" i="28"/>
  <c r="N141" i="28"/>
  <c r="M141" i="28"/>
  <c r="L141" i="28"/>
  <c r="K141" i="28"/>
  <c r="J141" i="28"/>
  <c r="E141" i="28"/>
  <c r="N140" i="28"/>
  <c r="M140" i="28"/>
  <c r="L140" i="28"/>
  <c r="K140" i="28"/>
  <c r="J140" i="28"/>
  <c r="E140" i="28"/>
  <c r="I139" i="28"/>
  <c r="H139" i="28"/>
  <c r="G139" i="28"/>
  <c r="F139" i="28"/>
  <c r="D139" i="28"/>
  <c r="C139" i="28"/>
  <c r="B139" i="28"/>
  <c r="A139" i="28"/>
  <c r="N138" i="28"/>
  <c r="M138" i="28"/>
  <c r="L138" i="28"/>
  <c r="K138" i="28"/>
  <c r="J138" i="28"/>
  <c r="E138" i="28"/>
  <c r="N137" i="28"/>
  <c r="M137" i="28"/>
  <c r="L137" i="28"/>
  <c r="K137" i="28"/>
  <c r="J137" i="28"/>
  <c r="E137" i="28"/>
  <c r="N136" i="28"/>
  <c r="M136" i="28"/>
  <c r="L136" i="28"/>
  <c r="K136" i="28"/>
  <c r="J136" i="28"/>
  <c r="E136" i="28"/>
  <c r="I134" i="28"/>
  <c r="H134" i="28"/>
  <c r="G134" i="28"/>
  <c r="F134" i="28"/>
  <c r="D134" i="28"/>
  <c r="C134" i="28"/>
  <c r="B134" i="28"/>
  <c r="A134" i="28"/>
  <c r="N133" i="28"/>
  <c r="M133" i="28"/>
  <c r="L133" i="28"/>
  <c r="K133" i="28"/>
  <c r="J133" i="28"/>
  <c r="E133" i="28"/>
  <c r="N132" i="28"/>
  <c r="M132" i="28"/>
  <c r="L132" i="28"/>
  <c r="K132" i="28"/>
  <c r="J132" i="28"/>
  <c r="E132" i="28"/>
  <c r="N131" i="28"/>
  <c r="M131" i="28"/>
  <c r="L131" i="28"/>
  <c r="K131" i="28"/>
  <c r="J131" i="28"/>
  <c r="E131" i="28"/>
  <c r="I130" i="28"/>
  <c r="H130" i="28"/>
  <c r="G130" i="28"/>
  <c r="F130" i="28"/>
  <c r="D130" i="28"/>
  <c r="C130" i="28"/>
  <c r="B130" i="28"/>
  <c r="A130" i="28"/>
  <c r="N129" i="28"/>
  <c r="M129" i="28"/>
  <c r="L129" i="28"/>
  <c r="K129" i="28"/>
  <c r="J129" i="28"/>
  <c r="E129" i="28"/>
  <c r="N128" i="28"/>
  <c r="M128" i="28"/>
  <c r="L128" i="28"/>
  <c r="K128" i="28"/>
  <c r="J128" i="28"/>
  <c r="E128" i="28"/>
  <c r="N127" i="28"/>
  <c r="M127" i="28"/>
  <c r="L127" i="28"/>
  <c r="K127" i="28"/>
  <c r="J127" i="28"/>
  <c r="E127" i="28"/>
  <c r="I126" i="28"/>
  <c r="H126" i="28"/>
  <c r="G126" i="28"/>
  <c r="F126" i="28"/>
  <c r="D126" i="28"/>
  <c r="C126" i="28"/>
  <c r="B126" i="28"/>
  <c r="A126" i="28"/>
  <c r="N125" i="28"/>
  <c r="M125" i="28"/>
  <c r="L125" i="28"/>
  <c r="K125" i="28"/>
  <c r="J125" i="28"/>
  <c r="E125" i="28"/>
  <c r="N124" i="28"/>
  <c r="M124" i="28"/>
  <c r="L124" i="28"/>
  <c r="K124" i="28"/>
  <c r="J124" i="28"/>
  <c r="E124" i="28"/>
  <c r="N123" i="28"/>
  <c r="M123" i="28"/>
  <c r="L123" i="28"/>
  <c r="K123" i="28"/>
  <c r="J123" i="28"/>
  <c r="E123" i="28"/>
  <c r="I122" i="28"/>
  <c r="H122" i="28"/>
  <c r="G122" i="28"/>
  <c r="F122" i="28"/>
  <c r="D122" i="28"/>
  <c r="C122" i="28"/>
  <c r="B122" i="28"/>
  <c r="A122" i="28"/>
  <c r="N121" i="28"/>
  <c r="M121" i="28"/>
  <c r="L121" i="28"/>
  <c r="K121" i="28"/>
  <c r="J121" i="28"/>
  <c r="E121" i="28"/>
  <c r="N120" i="28"/>
  <c r="M120" i="28"/>
  <c r="L120" i="28"/>
  <c r="K120" i="28"/>
  <c r="J120" i="28"/>
  <c r="E120" i="28"/>
  <c r="N119" i="28"/>
  <c r="M119" i="28"/>
  <c r="L119" i="28"/>
  <c r="K119" i="28"/>
  <c r="J119" i="28"/>
  <c r="E119" i="28"/>
  <c r="I117" i="28"/>
  <c r="H117" i="28"/>
  <c r="G117" i="28"/>
  <c r="F117" i="28"/>
  <c r="D117" i="28"/>
  <c r="C117" i="28"/>
  <c r="B117" i="28"/>
  <c r="A117" i="28"/>
  <c r="N116" i="28"/>
  <c r="M116" i="28"/>
  <c r="L116" i="28"/>
  <c r="K116" i="28"/>
  <c r="J116" i="28"/>
  <c r="E116" i="28"/>
  <c r="N115" i="28"/>
  <c r="M115" i="28"/>
  <c r="L115" i="28"/>
  <c r="K115" i="28"/>
  <c r="J115" i="28"/>
  <c r="E115" i="28"/>
  <c r="N114" i="28"/>
  <c r="M114" i="28"/>
  <c r="L114" i="28"/>
  <c r="K114" i="28"/>
  <c r="J114" i="28"/>
  <c r="E114" i="28"/>
  <c r="I113" i="28"/>
  <c r="H113" i="28"/>
  <c r="G113" i="28"/>
  <c r="F113" i="28"/>
  <c r="D113" i="28"/>
  <c r="C113" i="28"/>
  <c r="B113" i="28"/>
  <c r="A113" i="28"/>
  <c r="N112" i="28"/>
  <c r="M112" i="28"/>
  <c r="L112" i="28"/>
  <c r="K112" i="28"/>
  <c r="J112" i="28"/>
  <c r="E112" i="28"/>
  <c r="N111" i="28"/>
  <c r="M111" i="28"/>
  <c r="L111" i="28"/>
  <c r="K111" i="28"/>
  <c r="J111" i="28"/>
  <c r="E111" i="28"/>
  <c r="N110" i="28"/>
  <c r="M110" i="28"/>
  <c r="L110" i="28"/>
  <c r="K110" i="28"/>
  <c r="J110" i="28"/>
  <c r="E110" i="28"/>
  <c r="I109" i="28"/>
  <c r="H109" i="28"/>
  <c r="G109" i="28"/>
  <c r="F109" i="28"/>
  <c r="D109" i="28"/>
  <c r="C109" i="28"/>
  <c r="B109" i="28"/>
  <c r="A109" i="28"/>
  <c r="N108" i="28"/>
  <c r="M108" i="28"/>
  <c r="L108" i="28"/>
  <c r="K108" i="28"/>
  <c r="J108" i="28"/>
  <c r="E108" i="28"/>
  <c r="N107" i="28"/>
  <c r="M107" i="28"/>
  <c r="L107" i="28"/>
  <c r="K107" i="28"/>
  <c r="J107" i="28"/>
  <c r="E107" i="28"/>
  <c r="N106" i="28"/>
  <c r="M106" i="28"/>
  <c r="L106" i="28"/>
  <c r="K106" i="28"/>
  <c r="J106" i="28"/>
  <c r="E106" i="28"/>
  <c r="I105" i="28"/>
  <c r="H105" i="28"/>
  <c r="G105" i="28"/>
  <c r="F105" i="28"/>
  <c r="D105" i="28"/>
  <c r="C105" i="28"/>
  <c r="B105" i="28"/>
  <c r="A105" i="28"/>
  <c r="N104" i="28"/>
  <c r="M104" i="28"/>
  <c r="L104" i="28"/>
  <c r="K104" i="28"/>
  <c r="J104" i="28"/>
  <c r="E104" i="28"/>
  <c r="N103" i="28"/>
  <c r="M103" i="28"/>
  <c r="L103" i="28"/>
  <c r="K103" i="28"/>
  <c r="J103" i="28"/>
  <c r="E103" i="28"/>
  <c r="N102" i="28"/>
  <c r="M102" i="28"/>
  <c r="L102" i="28"/>
  <c r="K102" i="28"/>
  <c r="J102" i="28"/>
  <c r="E102" i="28"/>
  <c r="I100" i="28"/>
  <c r="H100" i="28"/>
  <c r="G100" i="28"/>
  <c r="F100" i="28"/>
  <c r="D100" i="28"/>
  <c r="C100" i="28"/>
  <c r="B100" i="28"/>
  <c r="A100" i="28"/>
  <c r="N99" i="28"/>
  <c r="M99" i="28"/>
  <c r="L99" i="28"/>
  <c r="K99" i="28"/>
  <c r="J99" i="28"/>
  <c r="E99" i="28"/>
  <c r="N98" i="28"/>
  <c r="M98" i="28"/>
  <c r="L98" i="28"/>
  <c r="K98" i="28"/>
  <c r="J98" i="28"/>
  <c r="E98" i="28"/>
  <c r="N97" i="28"/>
  <c r="M97" i="28"/>
  <c r="L97" i="28"/>
  <c r="K97" i="28"/>
  <c r="J97" i="28"/>
  <c r="E97" i="28"/>
  <c r="I96" i="28"/>
  <c r="H96" i="28"/>
  <c r="G96" i="28"/>
  <c r="F96" i="28"/>
  <c r="D96" i="28"/>
  <c r="C96" i="28"/>
  <c r="B96" i="28"/>
  <c r="A96" i="28"/>
  <c r="N95" i="28"/>
  <c r="M95" i="28"/>
  <c r="L95" i="28"/>
  <c r="K95" i="28"/>
  <c r="J95" i="28"/>
  <c r="E95" i="28"/>
  <c r="N94" i="28"/>
  <c r="M94" i="28"/>
  <c r="L94" i="28"/>
  <c r="K94" i="28"/>
  <c r="J94" i="28"/>
  <c r="E94" i="28"/>
  <c r="N93" i="28"/>
  <c r="M93" i="28"/>
  <c r="L93" i="28"/>
  <c r="K93" i="28"/>
  <c r="J93" i="28"/>
  <c r="E93" i="28"/>
  <c r="I92" i="28"/>
  <c r="H92" i="28"/>
  <c r="G92" i="28"/>
  <c r="F92" i="28"/>
  <c r="D92" i="28"/>
  <c r="C92" i="28"/>
  <c r="B92" i="28"/>
  <c r="A92" i="28"/>
  <c r="N91" i="28"/>
  <c r="M91" i="28"/>
  <c r="L91" i="28"/>
  <c r="K91" i="28"/>
  <c r="J91" i="28"/>
  <c r="E91" i="28"/>
  <c r="N90" i="28"/>
  <c r="M90" i="28"/>
  <c r="L90" i="28"/>
  <c r="K90" i="28"/>
  <c r="J90" i="28"/>
  <c r="E90" i="28"/>
  <c r="N89" i="28"/>
  <c r="M89" i="28"/>
  <c r="L89" i="28"/>
  <c r="K89" i="28"/>
  <c r="J89" i="28"/>
  <c r="E89" i="28"/>
  <c r="I88" i="28"/>
  <c r="H88" i="28"/>
  <c r="G88" i="28"/>
  <c r="F88" i="28"/>
  <c r="D88" i="28"/>
  <c r="C88" i="28"/>
  <c r="B88" i="28"/>
  <c r="A88" i="28"/>
  <c r="N87" i="28"/>
  <c r="M87" i="28"/>
  <c r="L87" i="28"/>
  <c r="K87" i="28"/>
  <c r="J87" i="28"/>
  <c r="E87" i="28"/>
  <c r="N86" i="28"/>
  <c r="M86" i="28"/>
  <c r="L86" i="28"/>
  <c r="K86" i="28"/>
  <c r="J86" i="28"/>
  <c r="E86" i="28"/>
  <c r="N85" i="28"/>
  <c r="M85" i="28"/>
  <c r="L85" i="28"/>
  <c r="K85" i="28"/>
  <c r="J85" i="28"/>
  <c r="E85" i="28"/>
  <c r="I83" i="28"/>
  <c r="H83" i="28"/>
  <c r="G83" i="28"/>
  <c r="F83" i="28"/>
  <c r="D83" i="28"/>
  <c r="C83" i="28"/>
  <c r="A83" i="28"/>
  <c r="N82" i="28"/>
  <c r="M82" i="28"/>
  <c r="L82" i="28"/>
  <c r="K82" i="28"/>
  <c r="J82" i="28"/>
  <c r="E82" i="28"/>
  <c r="N81" i="28"/>
  <c r="M81" i="28"/>
  <c r="L81" i="28"/>
  <c r="K81" i="28"/>
  <c r="J81" i="28"/>
  <c r="E81" i="28"/>
  <c r="N80" i="28"/>
  <c r="M80" i="28"/>
  <c r="K80" i="28"/>
  <c r="J80" i="28"/>
  <c r="B80" i="28"/>
  <c r="L80" i="28" s="1"/>
  <c r="I79" i="28"/>
  <c r="H79" i="28"/>
  <c r="G79" i="28"/>
  <c r="F79" i="28"/>
  <c r="D79" i="28"/>
  <c r="C79" i="28"/>
  <c r="A79" i="28"/>
  <c r="N78" i="28"/>
  <c r="M78" i="28"/>
  <c r="K78" i="28"/>
  <c r="J78" i="28"/>
  <c r="B78" i="28"/>
  <c r="L78" i="28" s="1"/>
  <c r="N77" i="28"/>
  <c r="M77" i="28"/>
  <c r="K77" i="28"/>
  <c r="J77" i="28"/>
  <c r="B77" i="28"/>
  <c r="L77" i="28" s="1"/>
  <c r="N76" i="28"/>
  <c r="M76" i="28"/>
  <c r="K76" i="28"/>
  <c r="J76" i="28"/>
  <c r="B76" i="28"/>
  <c r="E76" i="28" s="1"/>
  <c r="K75" i="28"/>
  <c r="I75" i="28"/>
  <c r="H75" i="28"/>
  <c r="G75" i="28"/>
  <c r="D75" i="28"/>
  <c r="C75" i="28"/>
  <c r="N74" i="28"/>
  <c r="M74" i="28"/>
  <c r="K74" i="28"/>
  <c r="J74" i="28"/>
  <c r="B74" i="28"/>
  <c r="L74" i="28" s="1"/>
  <c r="N73" i="28"/>
  <c r="M73" i="28"/>
  <c r="K73" i="28"/>
  <c r="J73" i="28"/>
  <c r="B73" i="28"/>
  <c r="E73" i="28" s="1"/>
  <c r="N72" i="28"/>
  <c r="M72" i="28"/>
  <c r="K72" i="28"/>
  <c r="J72" i="28"/>
  <c r="B72" i="28"/>
  <c r="L72" i="28" s="1"/>
  <c r="I71" i="28"/>
  <c r="H71" i="28"/>
  <c r="G71" i="28"/>
  <c r="F71" i="28"/>
  <c r="D71" i="28"/>
  <c r="C71" i="28"/>
  <c r="A71" i="28"/>
  <c r="N70" i="28"/>
  <c r="M70" i="28"/>
  <c r="K70" i="28"/>
  <c r="J70" i="28"/>
  <c r="B70" i="28"/>
  <c r="E70" i="28" s="1"/>
  <c r="N69" i="28"/>
  <c r="M69" i="28"/>
  <c r="K69" i="28"/>
  <c r="J69" i="28"/>
  <c r="B69" i="28"/>
  <c r="E69" i="28" s="1"/>
  <c r="N68" i="28"/>
  <c r="M68" i="28"/>
  <c r="K68" i="28"/>
  <c r="J68" i="28"/>
  <c r="B68" i="28"/>
  <c r="I66" i="28"/>
  <c r="H66" i="28"/>
  <c r="G66" i="28"/>
  <c r="D66" i="28"/>
  <c r="C66" i="28"/>
  <c r="B66" i="28"/>
  <c r="N65" i="28"/>
  <c r="M65" i="28"/>
  <c r="L65" i="28"/>
  <c r="J65" i="28"/>
  <c r="E65" i="28"/>
  <c r="N64" i="28"/>
  <c r="M64" i="28"/>
  <c r="L64" i="28"/>
  <c r="J64" i="28"/>
  <c r="E64" i="28"/>
  <c r="N63" i="28"/>
  <c r="M63" i="28"/>
  <c r="L63" i="28"/>
  <c r="J63" i="28"/>
  <c r="E63" i="28"/>
  <c r="I62" i="28"/>
  <c r="H62" i="28"/>
  <c r="G62" i="28"/>
  <c r="D62" i="28"/>
  <c r="C62" i="28"/>
  <c r="B62" i="28"/>
  <c r="N61" i="28"/>
  <c r="M61" i="28"/>
  <c r="L61" i="28"/>
  <c r="J61" i="28"/>
  <c r="E61" i="28"/>
  <c r="N60" i="28"/>
  <c r="M60" i="28"/>
  <c r="L60" i="28"/>
  <c r="J60" i="28"/>
  <c r="E60" i="28"/>
  <c r="N59" i="28"/>
  <c r="M59" i="28"/>
  <c r="L59" i="28"/>
  <c r="J59" i="28"/>
  <c r="E59" i="28"/>
  <c r="I58" i="28"/>
  <c r="H58" i="28"/>
  <c r="G58" i="28"/>
  <c r="D58" i="28"/>
  <c r="C58" i="28"/>
  <c r="B58" i="28"/>
  <c r="N57" i="28"/>
  <c r="M57" i="28"/>
  <c r="L57" i="28"/>
  <c r="J57" i="28"/>
  <c r="E57" i="28"/>
  <c r="N56" i="28"/>
  <c r="M56" i="28"/>
  <c r="L56" i="28"/>
  <c r="J56" i="28"/>
  <c r="E56" i="28"/>
  <c r="N55" i="28"/>
  <c r="M55" i="28"/>
  <c r="L55" i="28"/>
  <c r="J55" i="28"/>
  <c r="E55" i="28"/>
  <c r="I54" i="28"/>
  <c r="H54" i="28"/>
  <c r="G54" i="28"/>
  <c r="D54" i="28"/>
  <c r="C54" i="28"/>
  <c r="B54" i="28"/>
  <c r="N53" i="28"/>
  <c r="M53" i="28"/>
  <c r="L53" i="28"/>
  <c r="J53" i="28"/>
  <c r="E53" i="28"/>
  <c r="N52" i="28"/>
  <c r="M52" i="28"/>
  <c r="L52" i="28"/>
  <c r="J52" i="28"/>
  <c r="E52" i="28"/>
  <c r="N51" i="28"/>
  <c r="M51" i="28"/>
  <c r="L51" i="28"/>
  <c r="J51" i="28"/>
  <c r="E51" i="28"/>
  <c r="N49" i="28"/>
  <c r="M49" i="28"/>
  <c r="L49" i="28"/>
  <c r="J49" i="28"/>
  <c r="E49" i="28"/>
  <c r="N48" i="28"/>
  <c r="M48" i="28"/>
  <c r="L48" i="28"/>
  <c r="J48" i="28"/>
  <c r="E48" i="28"/>
  <c r="N47" i="28"/>
  <c r="M47" i="28"/>
  <c r="L47" i="28"/>
  <c r="J47" i="28"/>
  <c r="E47" i="28"/>
  <c r="N46" i="28"/>
  <c r="M46" i="28"/>
  <c r="L46" i="28"/>
  <c r="J46" i="28"/>
  <c r="E46" i="28"/>
  <c r="N42" i="28"/>
  <c r="M42" i="28"/>
  <c r="L42" i="28"/>
  <c r="J42" i="28"/>
  <c r="E42" i="28"/>
  <c r="N39" i="28"/>
  <c r="M39" i="28"/>
  <c r="L39" i="28"/>
  <c r="J39" i="28"/>
  <c r="E39" i="28"/>
  <c r="N38" i="28"/>
  <c r="M38" i="28"/>
  <c r="L38" i="28"/>
  <c r="J38" i="28"/>
  <c r="E38" i="28"/>
  <c r="N37" i="28"/>
  <c r="M37" i="28"/>
  <c r="L37" i="28"/>
  <c r="J37" i="28"/>
  <c r="E37" i="28"/>
  <c r="N36" i="28"/>
  <c r="M36" i="28"/>
  <c r="L36" i="28"/>
  <c r="J36" i="28"/>
  <c r="E36" i="28"/>
  <c r="K22" i="28"/>
  <c r="I21" i="28"/>
  <c r="H21" i="28"/>
  <c r="G21" i="28"/>
  <c r="D21" i="28"/>
  <c r="C21" i="28"/>
  <c r="B21" i="28"/>
  <c r="I19" i="28"/>
  <c r="H19" i="28"/>
  <c r="G19" i="28"/>
  <c r="D19" i="28"/>
  <c r="C19" i="28"/>
  <c r="B19" i="28"/>
  <c r="L18" i="28"/>
  <c r="L17" i="28"/>
  <c r="L16" i="28"/>
  <c r="L15" i="28"/>
  <c r="A29" i="28" l="1"/>
  <c r="D99" i="27"/>
  <c r="H99" i="27" s="1"/>
  <c r="O162" i="28"/>
  <c r="K122" i="28"/>
  <c r="L198" i="28"/>
  <c r="N211" i="28"/>
  <c r="O171" i="28"/>
  <c r="O205" i="28"/>
  <c r="C30" i="28"/>
  <c r="E207" i="28"/>
  <c r="A25" i="28"/>
  <c r="B27" i="28"/>
  <c r="B29" i="28"/>
  <c r="B31" i="28"/>
  <c r="O176" i="28"/>
  <c r="O38" i="28"/>
  <c r="O47" i="28"/>
  <c r="A30" i="28"/>
  <c r="M211" i="28"/>
  <c r="L168" i="28"/>
  <c r="E72" i="28"/>
  <c r="O46" i="28"/>
  <c r="N126" i="28"/>
  <c r="J134" i="28"/>
  <c r="E92" i="28"/>
  <c r="K105" i="28"/>
  <c r="K139" i="28"/>
  <c r="M219" i="28"/>
  <c r="M83" i="28"/>
  <c r="J194" i="28"/>
  <c r="O201" i="28"/>
  <c r="E66" i="28"/>
  <c r="L21" i="28"/>
  <c r="O73" i="28"/>
  <c r="E78" i="28"/>
  <c r="O78" i="28" s="1"/>
  <c r="O87" i="28"/>
  <c r="O90" i="28"/>
  <c r="O112" i="28"/>
  <c r="M130" i="28"/>
  <c r="O138" i="28"/>
  <c r="O146" i="28"/>
  <c r="O155" i="28"/>
  <c r="H28" i="28"/>
  <c r="O163" i="28"/>
  <c r="C29" i="28"/>
  <c r="O180" i="28"/>
  <c r="O187" i="28"/>
  <c r="O189" i="28"/>
  <c r="K215" i="28"/>
  <c r="O214" i="28"/>
  <c r="D22" i="28"/>
  <c r="D23" i="28"/>
  <c r="L100" i="28"/>
  <c r="J105" i="28"/>
  <c r="I26" i="28"/>
  <c r="L177" i="28"/>
  <c r="J198" i="28"/>
  <c r="J207" i="28"/>
  <c r="L211" i="28"/>
  <c r="L219" i="28"/>
  <c r="V8" i="5"/>
  <c r="V11" i="5"/>
  <c r="V14" i="5"/>
  <c r="V15" i="5"/>
  <c r="V16" i="5"/>
  <c r="V17" i="5"/>
  <c r="E74" i="28"/>
  <c r="O74" i="28" s="1"/>
  <c r="O86" i="28"/>
  <c r="O94" i="28"/>
  <c r="O99" i="28"/>
  <c r="C26" i="28"/>
  <c r="O133" i="28"/>
  <c r="O142" i="28"/>
  <c r="V18" i="5"/>
  <c r="V19" i="5"/>
  <c r="V20" i="5"/>
  <c r="V21" i="5"/>
  <c r="H97" i="27"/>
  <c r="K79" i="28"/>
  <c r="F24" i="28"/>
  <c r="M105" i="28"/>
  <c r="I25" i="28"/>
  <c r="F26" i="28"/>
  <c r="A27" i="28"/>
  <c r="C28" i="28"/>
  <c r="O179" i="28"/>
  <c r="O188" i="28"/>
  <c r="G31" i="28"/>
  <c r="V9" i="5"/>
  <c r="V10" i="5"/>
  <c r="O48" i="28"/>
  <c r="L76" i="28"/>
  <c r="L79" i="28" s="1"/>
  <c r="O98" i="28"/>
  <c r="G25" i="28"/>
  <c r="B26" i="28"/>
  <c r="B30" i="28"/>
  <c r="C24" i="28"/>
  <c r="L117" i="28"/>
  <c r="F29" i="28"/>
  <c r="V13" i="5"/>
  <c r="O51" i="28"/>
  <c r="N54" i="28"/>
  <c r="I22" i="28"/>
  <c r="B22" i="28"/>
  <c r="O61" i="28"/>
  <c r="B71" i="28"/>
  <c r="H23" i="28"/>
  <c r="O82" i="28"/>
  <c r="O91" i="28"/>
  <c r="G24" i="28"/>
  <c r="O116" i="28"/>
  <c r="O124" i="28"/>
  <c r="L126" i="28"/>
  <c r="N130" i="28"/>
  <c r="G30" i="28"/>
  <c r="O40" i="27"/>
  <c r="O218" i="28"/>
  <c r="O206" i="28"/>
  <c r="C31" i="28"/>
  <c r="N207" i="28"/>
  <c r="O212" i="28"/>
  <c r="F31" i="28"/>
  <c r="O209" i="28"/>
  <c r="A31" i="28"/>
  <c r="M215" i="28"/>
  <c r="J215" i="28"/>
  <c r="I31" i="28"/>
  <c r="O213" i="28"/>
  <c r="N19" i="28"/>
  <c r="O57" i="28"/>
  <c r="I24" i="28"/>
  <c r="O159" i="28"/>
  <c r="O195" i="28"/>
  <c r="B25" i="28"/>
  <c r="O141" i="28"/>
  <c r="M164" i="28"/>
  <c r="M168" i="28"/>
  <c r="N177" i="28"/>
  <c r="K202" i="28"/>
  <c r="J54" i="28"/>
  <c r="O193" i="28"/>
  <c r="L54" i="28"/>
  <c r="F25" i="28"/>
  <c r="O121" i="28"/>
  <c r="L139" i="28"/>
  <c r="G41" i="27" s="1"/>
  <c r="I27" i="28"/>
  <c r="N151" i="28"/>
  <c r="O175" i="28"/>
  <c r="L185" i="28"/>
  <c r="H30" i="28"/>
  <c r="L19" i="28"/>
  <c r="K113" i="28"/>
  <c r="K126" i="28"/>
  <c r="G28" i="28"/>
  <c r="E19" i="28"/>
  <c r="A23" i="28"/>
  <c r="M92" i="28"/>
  <c r="O52" i="28"/>
  <c r="O64" i="28"/>
  <c r="C23" i="28"/>
  <c r="J79" i="28"/>
  <c r="L113" i="28"/>
  <c r="N139" i="28"/>
  <c r="B41" i="27" s="1"/>
  <c r="N185" i="28"/>
  <c r="O196" i="28"/>
  <c r="C25" i="28"/>
  <c r="O183" i="28"/>
  <c r="O37" i="28"/>
  <c r="G23" i="28"/>
  <c r="J122" i="28"/>
  <c r="O129" i="28"/>
  <c r="O153" i="28"/>
  <c r="K185" i="28"/>
  <c r="L194" i="28"/>
  <c r="N100" i="28"/>
  <c r="A26" i="28"/>
  <c r="G26" i="28"/>
  <c r="L134" i="28"/>
  <c r="F28" i="28"/>
  <c r="M194" i="28"/>
  <c r="L58" i="28"/>
  <c r="F23" i="28"/>
  <c r="B24" i="28"/>
  <c r="E62" i="28"/>
  <c r="O65" i="28"/>
  <c r="E96" i="28"/>
  <c r="O104" i="28"/>
  <c r="L122" i="28"/>
  <c r="F27" i="28"/>
  <c r="O150" i="28"/>
  <c r="K156" i="28"/>
  <c r="J62" i="28"/>
  <c r="L109" i="28"/>
  <c r="M122" i="28"/>
  <c r="J143" i="28"/>
  <c r="L156" i="28"/>
  <c r="F30" i="28"/>
  <c r="O197" i="28"/>
  <c r="M126" i="28"/>
  <c r="K143" i="28"/>
  <c r="I28" i="28"/>
  <c r="L202" i="28"/>
  <c r="N71" i="28"/>
  <c r="J75" i="28"/>
  <c r="M79" i="28"/>
  <c r="L96" i="28"/>
  <c r="N109" i="28"/>
  <c r="D25" i="28"/>
  <c r="E122" i="28"/>
  <c r="L143" i="28"/>
  <c r="L190" i="28"/>
  <c r="M202" i="28"/>
  <c r="H25" i="28"/>
  <c r="N58" i="28"/>
  <c r="N62" i="28"/>
  <c r="H24" i="28"/>
  <c r="M96" i="28"/>
  <c r="K130" i="28"/>
  <c r="O172" i="28"/>
  <c r="I30" i="28"/>
  <c r="N202" i="28"/>
  <c r="O36" i="28"/>
  <c r="O39" i="28"/>
  <c r="H22" i="28"/>
  <c r="O60" i="28"/>
  <c r="J71" i="28"/>
  <c r="D24" i="28"/>
  <c r="O115" i="28"/>
  <c r="E139" i="28"/>
  <c r="M143" i="28"/>
  <c r="E42" i="27" s="1"/>
  <c r="G27" i="28"/>
  <c r="O170" i="28"/>
  <c r="E173" i="28"/>
  <c r="J181" i="28"/>
  <c r="M190" i="28"/>
  <c r="O192" i="28"/>
  <c r="O210" i="28"/>
  <c r="D31" i="28"/>
  <c r="O49" i="27"/>
  <c r="C27" i="28"/>
  <c r="E215" i="28"/>
  <c r="O49" i="28"/>
  <c r="M54" i="28"/>
  <c r="O53" i="28"/>
  <c r="E54" i="28"/>
  <c r="O70" i="28"/>
  <c r="L73" i="28"/>
  <c r="L75" i="28" s="1"/>
  <c r="N79" i="28"/>
  <c r="B79" i="28"/>
  <c r="O81" i="28"/>
  <c r="L88" i="28"/>
  <c r="K96" i="28"/>
  <c r="L105" i="28"/>
  <c r="O107" i="28"/>
  <c r="M113" i="28"/>
  <c r="N122" i="28"/>
  <c r="J126" i="28"/>
  <c r="E130" i="28"/>
  <c r="K134" i="28"/>
  <c r="M134" i="28"/>
  <c r="O144" i="28"/>
  <c r="K147" i="28"/>
  <c r="M156" i="28"/>
  <c r="O167" i="28"/>
  <c r="J173" i="28"/>
  <c r="M177" i="28"/>
  <c r="K181" i="28"/>
  <c r="I29" i="28"/>
  <c r="G29" i="28"/>
  <c r="M198" i="28"/>
  <c r="O200" i="28"/>
  <c r="L207" i="28"/>
  <c r="N219" i="28"/>
  <c r="M71" i="28"/>
  <c r="D29" i="28"/>
  <c r="L215" i="28"/>
  <c r="E21" i="28"/>
  <c r="N21" i="28"/>
  <c r="L66" i="28"/>
  <c r="M75" i="28"/>
  <c r="E77" i="28"/>
  <c r="O77" i="28" s="1"/>
  <c r="M88" i="28"/>
  <c r="E100" i="28"/>
  <c r="E113" i="28"/>
  <c r="K117" i="28"/>
  <c r="M117" i="28"/>
  <c r="J139" i="28"/>
  <c r="O154" i="28"/>
  <c r="M160" i="28"/>
  <c r="A28" i="28"/>
  <c r="O161" i="28"/>
  <c r="L173" i="28"/>
  <c r="M181" i="28"/>
  <c r="J202" i="28"/>
  <c r="K211" i="28"/>
  <c r="O217" i="28"/>
  <c r="O45" i="27"/>
  <c r="C22" i="28"/>
  <c r="K173" i="28"/>
  <c r="M21" i="28"/>
  <c r="M66" i="28"/>
  <c r="G22" i="28"/>
  <c r="O69" i="28"/>
  <c r="I23" i="28"/>
  <c r="N96" i="28"/>
  <c r="O95" i="28"/>
  <c r="E105" i="28"/>
  <c r="M109" i="28"/>
  <c r="O125" i="28"/>
  <c r="J130" i="28"/>
  <c r="N134" i="28"/>
  <c r="E156" i="28"/>
  <c r="L160" i="28"/>
  <c r="B28" i="28"/>
  <c r="M173" i="28"/>
  <c r="N181" i="28"/>
  <c r="K190" i="28"/>
  <c r="E190" i="28"/>
  <c r="J66" i="28"/>
  <c r="M207" i="28"/>
  <c r="O42" i="28"/>
  <c r="J21" i="28"/>
  <c r="E58" i="28"/>
  <c r="L62" i="28"/>
  <c r="N66" i="28"/>
  <c r="N83" i="28"/>
  <c r="N92" i="28"/>
  <c r="M100" i="28"/>
  <c r="H26" i="28"/>
  <c r="D26" i="28"/>
  <c r="K177" i="28"/>
  <c r="J190" i="28"/>
  <c r="K198" i="28"/>
  <c r="E198" i="28"/>
  <c r="M19" i="28"/>
  <c r="N198" i="28"/>
  <c r="B75" i="28"/>
  <c r="B83" i="28"/>
  <c r="O85" i="28"/>
  <c r="J96" i="28"/>
  <c r="O108" i="28"/>
  <c r="J113" i="28"/>
  <c r="N117" i="28"/>
  <c r="L130" i="28"/>
  <c r="O132" i="28"/>
  <c r="M139" i="28"/>
  <c r="E41" i="27" s="1"/>
  <c r="L151" i="28"/>
  <c r="J156" i="28"/>
  <c r="M185" i="28"/>
  <c r="N194" i="28"/>
  <c r="D30" i="28"/>
  <c r="K207" i="28"/>
  <c r="J177" i="28"/>
  <c r="E185" i="28"/>
  <c r="O178" i="28"/>
  <c r="E181" i="28"/>
  <c r="H29" i="28"/>
  <c r="O184" i="28"/>
  <c r="L181" i="28"/>
  <c r="O35" i="27"/>
  <c r="H103" i="27"/>
  <c r="O30" i="27"/>
  <c r="O25" i="27"/>
  <c r="E164" i="28"/>
  <c r="J164" i="28"/>
  <c r="N160" i="28"/>
  <c r="D28" i="28"/>
  <c r="K164" i="28"/>
  <c r="N168" i="28"/>
  <c r="L164" i="28"/>
  <c r="O158" i="28"/>
  <c r="O166" i="28"/>
  <c r="E147" i="28"/>
  <c r="J147" i="28"/>
  <c r="H27" i="28"/>
  <c r="N143" i="28"/>
  <c r="B42" i="27" s="1"/>
  <c r="D27" i="28"/>
  <c r="O149" i="28"/>
  <c r="L147" i="28"/>
  <c r="G43" i="27" s="1"/>
  <c r="M147" i="28"/>
  <c r="E43" i="27" s="1"/>
  <c r="M151" i="28"/>
  <c r="O56" i="28"/>
  <c r="O131" i="28"/>
  <c r="E134" i="28"/>
  <c r="O199" i="28"/>
  <c r="E202" i="28"/>
  <c r="E88" i="28"/>
  <c r="K88" i="28"/>
  <c r="A24" i="28"/>
  <c r="O114" i="28"/>
  <c r="E117" i="28"/>
  <c r="J211" i="28"/>
  <c r="N215" i="28"/>
  <c r="O216" i="28"/>
  <c r="E219" i="28"/>
  <c r="K219" i="28"/>
  <c r="O123" i="28"/>
  <c r="E126" i="28"/>
  <c r="L83" i="28"/>
  <c r="O106" i="28"/>
  <c r="E109" i="28"/>
  <c r="N113" i="28"/>
  <c r="J117" i="28"/>
  <c r="J219" i="28"/>
  <c r="J58" i="28"/>
  <c r="N75" i="28"/>
  <c r="O76" i="28"/>
  <c r="J83" i="28"/>
  <c r="J92" i="28"/>
  <c r="O89" i="28"/>
  <c r="N105" i="28"/>
  <c r="J109" i="28"/>
  <c r="O157" i="28"/>
  <c r="E160" i="28"/>
  <c r="N164" i="28"/>
  <c r="O165" i="28"/>
  <c r="E168" i="28"/>
  <c r="M62" i="28"/>
  <c r="K83" i="28"/>
  <c r="N88" i="28"/>
  <c r="K92" i="28"/>
  <c r="J100" i="28"/>
  <c r="K109" i="28"/>
  <c r="O148" i="28"/>
  <c r="E151" i="28"/>
  <c r="N156" i="28"/>
  <c r="J160" i="28"/>
  <c r="J168" i="28"/>
  <c r="N173" i="28"/>
  <c r="O174" i="28"/>
  <c r="E177" i="28"/>
  <c r="J88" i="28"/>
  <c r="K100" i="28"/>
  <c r="J151" i="28"/>
  <c r="K160" i="28"/>
  <c r="K168" i="28"/>
  <c r="O208" i="28"/>
  <c r="E211" i="28"/>
  <c r="M58" i="28"/>
  <c r="L92" i="28"/>
  <c r="J19" i="28"/>
  <c r="O140" i="28"/>
  <c r="E143" i="28"/>
  <c r="N147" i="28"/>
  <c r="B43" i="27" s="1"/>
  <c r="K151" i="28"/>
  <c r="J185" i="28"/>
  <c r="N190" i="28"/>
  <c r="O191" i="28"/>
  <c r="E194" i="28"/>
  <c r="K194" i="28"/>
  <c r="H31" i="28"/>
  <c r="L68" i="28"/>
  <c r="L69" i="28"/>
  <c r="L70" i="28"/>
  <c r="E80" i="28"/>
  <c r="E83" i="28" s="1"/>
  <c r="O72" i="28"/>
  <c r="O93" i="28"/>
  <c r="O103" i="28"/>
  <c r="O111" i="28"/>
  <c r="O120" i="28"/>
  <c r="O128" i="28"/>
  <c r="O137" i="28"/>
  <c r="O145" i="28"/>
  <c r="O63" i="28"/>
  <c r="O102" i="28"/>
  <c r="O110" i="28"/>
  <c r="O119" i="28"/>
  <c r="O127" i="28"/>
  <c r="O136" i="28"/>
  <c r="O204" i="28"/>
  <c r="O59" i="28"/>
  <c r="E68" i="28"/>
  <c r="K71" i="28"/>
  <c r="O55" i="28"/>
  <c r="O97" i="28"/>
  <c r="O182" i="28"/>
  <c r="O222" i="28"/>
  <c r="H101" i="27"/>
  <c r="H102" i="27"/>
  <c r="H100" i="27"/>
  <c r="K224" i="28"/>
  <c r="K32" i="28" s="1"/>
  <c r="L224" i="28"/>
  <c r="L32" i="28" s="1"/>
  <c r="M224" i="28"/>
  <c r="M32" i="28" s="1"/>
  <c r="N224" i="28"/>
  <c r="N32" i="28" s="1"/>
  <c r="O223" i="28"/>
  <c r="E224" i="28"/>
  <c r="E32" i="28" s="1"/>
  <c r="J224" i="28"/>
  <c r="J32" i="28" s="1"/>
  <c r="O221" i="28"/>
  <c r="O202" i="28" l="1"/>
  <c r="O181" i="28"/>
  <c r="O177" i="28"/>
  <c r="L25" i="28"/>
  <c r="E75" i="28"/>
  <c r="O160" i="28"/>
  <c r="N29" i="28"/>
  <c r="K29" i="28"/>
  <c r="O92" i="28"/>
  <c r="O21" i="28"/>
  <c r="L31" i="28"/>
  <c r="O211" i="28"/>
  <c r="O190" i="28"/>
  <c r="O164" i="28"/>
  <c r="L28" i="28"/>
  <c r="O198" i="28"/>
  <c r="K25" i="28"/>
  <c r="K30" i="28"/>
  <c r="O143" i="28"/>
  <c r="J27" i="28"/>
  <c r="E22" i="28"/>
  <c r="O100" i="28"/>
  <c r="O62" i="28"/>
  <c r="O147" i="28"/>
  <c r="L24" i="28"/>
  <c r="O126" i="28"/>
  <c r="L29" i="28"/>
  <c r="J31" i="28"/>
  <c r="O54" i="28"/>
  <c r="L22" i="28"/>
  <c r="O156" i="28"/>
  <c r="K26" i="28"/>
  <c r="J30" i="28"/>
  <c r="M28" i="28"/>
  <c r="O215" i="28"/>
  <c r="M29" i="28"/>
  <c r="O130" i="28"/>
  <c r="N22" i="28"/>
  <c r="L30" i="28"/>
  <c r="K31" i="28"/>
  <c r="O207" i="28"/>
  <c r="M31" i="28"/>
  <c r="O19" i="28"/>
  <c r="B23" i="28"/>
  <c r="O173" i="28"/>
  <c r="N24" i="28"/>
  <c r="N23" i="28"/>
  <c r="M26" i="28"/>
  <c r="J25" i="28"/>
  <c r="O66" i="28"/>
  <c r="O194" i="28"/>
  <c r="M25" i="28"/>
  <c r="J22" i="28"/>
  <c r="O151" i="28"/>
  <c r="E79" i="28"/>
  <c r="O58" i="28"/>
  <c r="O75" i="28"/>
  <c r="J23" i="28"/>
  <c r="O117" i="28"/>
  <c r="E29" i="28"/>
  <c r="E25" i="28"/>
  <c r="J26" i="28"/>
  <c r="L71" i="28"/>
  <c r="L23" i="28" s="1"/>
  <c r="O79" i="28"/>
  <c r="K23" i="28"/>
  <c r="O168" i="28"/>
  <c r="L26" i="28"/>
  <c r="N26" i="28"/>
  <c r="N30" i="28"/>
  <c r="N25" i="28"/>
  <c r="J29" i="28"/>
  <c r="O122" i="28"/>
  <c r="K27" i="28"/>
  <c r="N31" i="28"/>
  <c r="O134" i="28"/>
  <c r="O109" i="28"/>
  <c r="O219" i="28"/>
  <c r="O96" i="28"/>
  <c r="P96" i="28" s="1"/>
  <c r="M24" i="28"/>
  <c r="M23" i="28"/>
  <c r="M30" i="28"/>
  <c r="E31" i="28"/>
  <c r="J24" i="28"/>
  <c r="J28" i="28"/>
  <c r="E26" i="28"/>
  <c r="O185" i="28"/>
  <c r="H42" i="27"/>
  <c r="N28" i="28"/>
  <c r="K28" i="28"/>
  <c r="H41" i="27"/>
  <c r="H43" i="27"/>
  <c r="E27" i="28"/>
  <c r="L27" i="28"/>
  <c r="M27" i="28"/>
  <c r="O113" i="28"/>
  <c r="O105" i="28"/>
  <c r="M22" i="28"/>
  <c r="E30" i="28"/>
  <c r="K24" i="28"/>
  <c r="O68" i="28"/>
  <c r="O71" i="28" s="1"/>
  <c r="E71" i="28"/>
  <c r="O80" i="28"/>
  <c r="O83" i="28" s="1"/>
  <c r="O88" i="28"/>
  <c r="E24" i="28"/>
  <c r="N27" i="28"/>
  <c r="E28" i="28"/>
  <c r="O139" i="28"/>
  <c r="O224" i="28"/>
  <c r="O32" i="28" s="1"/>
  <c r="E23" i="28" l="1"/>
  <c r="O30" i="28"/>
  <c r="O28" i="28"/>
  <c r="O31" i="28"/>
  <c r="O29" i="28"/>
  <c r="O22" i="28"/>
  <c r="O27" i="28"/>
  <c r="O24" i="28"/>
  <c r="O26" i="28"/>
  <c r="O25" i="28"/>
  <c r="O23" i="28"/>
  <c r="K294" i="36" l="1"/>
  <c r="K296" i="36" s="1"/>
  <c r="K31" i="36" l="1"/>
  <c r="J326" i="36" l="1"/>
  <c r="K325" i="36"/>
  <c r="K326" i="36" s="1"/>
  <c r="J326" i="37"/>
  <c r="K324" i="37"/>
  <c r="K326" i="37" s="1"/>
  <c r="K332" i="36" l="1"/>
  <c r="K332" i="37" l="1"/>
  <c r="K334" i="37" s="1"/>
  <c r="K333" i="36" l="1"/>
  <c r="K334" i="36" s="1"/>
  <c r="K337" i="37" l="1"/>
  <c r="K338" i="37" s="1"/>
  <c r="K33" i="37" s="1"/>
  <c r="J338" i="37"/>
  <c r="J33" i="37" s="1"/>
  <c r="K329" i="36"/>
  <c r="K330" i="36" s="1"/>
  <c r="K33" i="36" s="1"/>
  <c r="J330" i="36"/>
  <c r="J33" i="36" s="1"/>
  <c r="K341" i="36" l="1"/>
  <c r="K343" i="36" s="1"/>
  <c r="K341" i="37"/>
  <c r="K343" i="37" s="1"/>
  <c r="K345" i="36"/>
  <c r="J347" i="36"/>
  <c r="K345" i="37"/>
  <c r="J347" i="37"/>
  <c r="K347" i="37" l="1"/>
  <c r="K347" i="36"/>
</calcChain>
</file>

<file path=xl/sharedStrings.xml><?xml version="1.0" encoding="utf-8"?>
<sst xmlns="http://schemas.openxmlformats.org/spreadsheetml/2006/main" count="1607" uniqueCount="231">
  <si>
    <t>תנועת מטענים בטונות(מכולות גם ב-TEU)- חתך נמלים</t>
  </si>
  <si>
    <t>נמל</t>
  </si>
  <si>
    <t>נמל חיפה</t>
  </si>
  <si>
    <t>נמל אשדוד</t>
  </si>
  <si>
    <t>נמל אילת</t>
  </si>
  <si>
    <t>שנה</t>
  </si>
  <si>
    <t>רבעון</t>
  </si>
  <si>
    <t>סה"כ פריקה וטעינה</t>
  </si>
  <si>
    <t>סה"כ פריקה</t>
  </si>
  <si>
    <t xml:space="preserve">סה"כ טעינה </t>
  </si>
  <si>
    <t xml:space="preserve">       מכולות                טון        TEU      </t>
  </si>
  <si>
    <t>מספר נוסעים</t>
  </si>
  <si>
    <t xml:space="preserve">       מכולות               טון        TEU      </t>
  </si>
  <si>
    <t>רבעון 1</t>
  </si>
  <si>
    <t>רבעון 2</t>
  </si>
  <si>
    <t>רבעון 3</t>
  </si>
  <si>
    <t>רבעון 4</t>
  </si>
  <si>
    <t>שנתי</t>
  </si>
  <si>
    <t>Q4- 2005</t>
  </si>
  <si>
    <t>Q1- 2003</t>
  </si>
  <si>
    <t>Q3- 2005</t>
  </si>
  <si>
    <t>Q2- 2003</t>
  </si>
  <si>
    <t>Q2- 2005</t>
  </si>
  <si>
    <t>Q3- 2003</t>
  </si>
  <si>
    <t>Q1- 2005</t>
  </si>
  <si>
    <t>Q4- 2003</t>
  </si>
  <si>
    <t>Q4- 2004</t>
  </si>
  <si>
    <t>Q1- 2004</t>
  </si>
  <si>
    <t>Q3- 2004</t>
  </si>
  <si>
    <t>Q2- 2004</t>
  </si>
  <si>
    <t>סה"כ</t>
  </si>
  <si>
    <t>נמל חיפה:</t>
  </si>
  <si>
    <t>נמל אשדוד:</t>
  </si>
  <si>
    <t>נמל אילת:</t>
  </si>
  <si>
    <t>נמל חיפה: סה"כ פריקה וטעינה</t>
  </si>
  <si>
    <t>נמל אשדוד: סה"כ פריקה וטעינה</t>
  </si>
  <si>
    <t>נמל אילת: סה"כ פריקה וטעינה</t>
  </si>
  <si>
    <t>Thousand tons</t>
  </si>
  <si>
    <t>Loaded</t>
  </si>
  <si>
    <t>נטענו</t>
  </si>
  <si>
    <t>Unloaded</t>
  </si>
  <si>
    <t>נפרקו</t>
  </si>
  <si>
    <t>נפרקו ונטענו - סך הכל</t>
  </si>
  <si>
    <t xml:space="preserve"> </t>
  </si>
  <si>
    <t>Loaded and unloaded - total</t>
  </si>
  <si>
    <t>אילת</t>
  </si>
  <si>
    <t>אשדוד</t>
  </si>
  <si>
    <t>חיפה</t>
  </si>
  <si>
    <t>Ashdod</t>
  </si>
  <si>
    <t>Haifa</t>
  </si>
  <si>
    <t>Eilat</t>
  </si>
  <si>
    <t>כל הנמלים</t>
  </si>
  <si>
    <t>All Ports</t>
  </si>
  <si>
    <t>01-03</t>
  </si>
  <si>
    <t>04-06</t>
  </si>
  <si>
    <t>07-09</t>
  </si>
  <si>
    <t>10-12</t>
  </si>
  <si>
    <t xml:space="preserve">Ministry Of Transport - Administration of Shipping &amp; Ports </t>
  </si>
  <si>
    <t>Economics and International Affairs Division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</si>
  <si>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</si>
  <si>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</si>
  <si>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</si>
  <si>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</si>
  <si>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</si>
  <si>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</si>
  <si>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</si>
  <si>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</si>
  <si>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</si>
  <si>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04</t>
  </si>
  <si>
    <t>Q2-2006</t>
  </si>
  <si>
    <t>Year</t>
  </si>
  <si>
    <t>months</t>
  </si>
  <si>
    <t>Q3-2006</t>
  </si>
  <si>
    <t>Q4-2006</t>
  </si>
  <si>
    <t>Q1-2007</t>
  </si>
  <si>
    <t>Q2-2007</t>
  </si>
  <si>
    <t>Q3-2007</t>
  </si>
  <si>
    <t>Q4-2007</t>
  </si>
  <si>
    <t>01</t>
  </si>
  <si>
    <t>02</t>
  </si>
  <si>
    <t>03</t>
  </si>
  <si>
    <t>Q1-2008</t>
  </si>
  <si>
    <t>05</t>
  </si>
  <si>
    <t>06</t>
  </si>
  <si>
    <t>Q2-2008</t>
  </si>
  <si>
    <t>07</t>
  </si>
  <si>
    <t>08</t>
  </si>
  <si>
    <t>09</t>
  </si>
  <si>
    <t>Q3-2008</t>
  </si>
  <si>
    <t>10</t>
  </si>
  <si>
    <t>11</t>
  </si>
  <si>
    <t>12</t>
  </si>
  <si>
    <t>Q4-2008</t>
  </si>
  <si>
    <t>Q1-2009</t>
  </si>
  <si>
    <t>Q2-2009</t>
  </si>
  <si>
    <t xml:space="preserve">מספנות </t>
  </si>
  <si>
    <t xml:space="preserve"> shipyards</t>
  </si>
  <si>
    <t xml:space="preserve">  משרד התחבורה - רשות הספנות והנמלים </t>
  </si>
  <si>
    <t xml:space="preserve">  אלפי טונות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</si>
  <si>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</si>
  <si>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</si>
  <si>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</si>
  <si>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</si>
  <si>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</si>
  <si>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</si>
  <si>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</si>
  <si>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</si>
  <si>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</si>
  <si>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</si>
  <si>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r>
      <t xml:space="preserve">  לוח 1 : </t>
    </r>
    <r>
      <rPr>
        <b/>
        <sz val="14"/>
        <color indexed="10"/>
        <rFont val="Arial (Hebrew)"/>
        <family val="2"/>
        <charset val="177"/>
      </rPr>
      <t>תנועת סה"כ המטענים בנמלי ישראל</t>
    </r>
  </si>
  <si>
    <r>
      <t xml:space="preserve">TABLE 1 : </t>
    </r>
    <r>
      <rPr>
        <b/>
        <sz val="12"/>
        <color rgb="FFFF0000"/>
        <rFont val="Arial (Hebrew)"/>
        <charset val="177"/>
      </rPr>
      <t>Total</t>
    </r>
    <r>
      <rPr>
        <b/>
        <sz val="12"/>
        <color indexed="8"/>
        <rFont val="Arial (Hebrew)"/>
        <family val="2"/>
        <charset val="177"/>
      </rPr>
      <t xml:space="preserve"> </t>
    </r>
    <r>
      <rPr>
        <b/>
        <sz val="12"/>
        <color indexed="10"/>
        <rFont val="Arial (Hebrew)"/>
        <family val="2"/>
        <charset val="177"/>
      </rPr>
      <t>Traffic Cargo in Israeli Ports</t>
    </r>
  </si>
  <si>
    <t>Q1-2012</t>
  </si>
  <si>
    <t>Q2-2012</t>
  </si>
  <si>
    <t>Q3-2012</t>
  </si>
  <si>
    <t>Q4-2012</t>
  </si>
  <si>
    <t>Q1-2013</t>
  </si>
  <si>
    <t>Q2-2013</t>
  </si>
  <si>
    <t>Q3-2013</t>
  </si>
  <si>
    <t>נמל חיפה 
Haifa port</t>
  </si>
  <si>
    <t>נמל אשדוד 
Ashdod port</t>
  </si>
  <si>
    <t>נמל אילת 
Eilat port</t>
  </si>
  <si>
    <t>מספנות ישראל 
Israel shipyards</t>
  </si>
  <si>
    <t>כל הנמלים 
 Total ports</t>
  </si>
  <si>
    <t>חודשים</t>
  </si>
  <si>
    <t>2013(III)</t>
  </si>
  <si>
    <t>שנה
Year</t>
  </si>
  <si>
    <t>Q4-2013</t>
  </si>
  <si>
    <t>Q1-2014</t>
  </si>
  <si>
    <t>Q2-2014</t>
  </si>
  <si>
    <t xml:space="preserve">  אגף  כלכלה וקשרי חוץ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</si>
  <si>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</si>
  <si>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</si>
  <si>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</si>
  <si>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</si>
  <si>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</si>
  <si>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</si>
  <si>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</si>
  <si>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</si>
  <si>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</si>
  <si>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</si>
  <si>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הערה - החל מינואר 2014: כולל מטענים המשונעים במקשרים ימיים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</si>
  <si>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</si>
  <si>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</si>
  <si>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</si>
  <si>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</si>
  <si>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</si>
  <si>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</si>
  <si>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</si>
  <si>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</si>
  <si>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</si>
  <si>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</si>
  <si>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</si>
  <si>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</si>
  <si>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</si>
  <si>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</si>
  <si>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</si>
  <si>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</si>
  <si>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</si>
  <si>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</si>
  <si>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מרחב נמל חיפה</t>
  </si>
  <si>
    <t>דגון</t>
  </si>
  <si>
    <t>כימיקלים</t>
  </si>
  <si>
    <t>נמל המפרץ</t>
  </si>
  <si>
    <t xml:space="preserve"> ח.נמל חיפה</t>
  </si>
  <si>
    <t>מרחב נמל אשדוד</t>
  </si>
  <si>
    <t>נמל הדרום</t>
  </si>
  <si>
    <t>SIPG</t>
  </si>
  <si>
    <t>Dagon</t>
  </si>
  <si>
    <t>Chemical</t>
  </si>
  <si>
    <t>ח.נ אילת</t>
  </si>
  <si>
    <t xml:space="preserve"> ח.נמל אשדוד</t>
  </si>
  <si>
    <t xml:space="preserve">משרד התחבורה - רשות הספנות והנמלים </t>
  </si>
  <si>
    <t>אגף  כלכלה וקשרי חוץ</t>
  </si>
  <si>
    <t>אלפי טונות</t>
  </si>
  <si>
    <r>
      <t xml:space="preserve">TABLE 1 : </t>
    </r>
    <r>
      <rPr>
        <b/>
        <sz val="11"/>
        <color rgb="FFFF0000"/>
        <rFont val="Arial (Hebrew)"/>
        <charset val="177"/>
      </rPr>
      <t>Total</t>
    </r>
    <r>
      <rPr>
        <b/>
        <sz val="11"/>
        <color indexed="8"/>
        <rFont val="Arial (Hebrew)"/>
        <charset val="177"/>
      </rPr>
      <t xml:space="preserve"> </t>
    </r>
    <r>
      <rPr>
        <b/>
        <sz val="11"/>
        <color indexed="10"/>
        <rFont val="Arial (Hebrew)"/>
        <charset val="177"/>
      </rPr>
      <t>Traffic Cargo in Israeli Ports</t>
    </r>
  </si>
  <si>
    <r>
      <t xml:space="preserve">לוח 1 :  </t>
    </r>
    <r>
      <rPr>
        <b/>
        <sz val="12"/>
        <color rgb="FFFF0000"/>
        <rFont val="Arial (Hebrew)"/>
        <charset val="177"/>
      </rPr>
      <t xml:space="preserve">סה"כ פריקת </t>
    </r>
    <r>
      <rPr>
        <b/>
        <sz val="12"/>
        <color indexed="10"/>
        <rFont val="Arial (Hebrew)"/>
        <charset val="177"/>
      </rPr>
      <t>מטענים בנמלי ישראל</t>
    </r>
  </si>
  <si>
    <r>
      <t xml:space="preserve">לוח 1 : </t>
    </r>
    <r>
      <rPr>
        <b/>
        <sz val="12"/>
        <color rgb="FFFF0000"/>
        <rFont val="Arial (Hebrew)"/>
        <charset val="177"/>
      </rPr>
      <t xml:space="preserve"> סה"כ טעינת </t>
    </r>
    <r>
      <rPr>
        <b/>
        <sz val="12"/>
        <color indexed="10"/>
        <rFont val="Arial (Hebrew)"/>
        <family val="2"/>
        <charset val="177"/>
      </rPr>
      <t>מטענים בנמלי ישראל</t>
    </r>
  </si>
  <si>
    <t xml:space="preserve">מקור הנתונים: עד שנת 2002 למ"ס, משנת 2003 -חברות נמל / חנ"י / מספנות ישראל </t>
  </si>
  <si>
    <r>
      <t xml:space="preserve">TABLE 1 : </t>
    </r>
    <r>
      <rPr>
        <b/>
        <sz val="11"/>
        <color rgb="FFFF0000"/>
        <rFont val="Arial (Hebrew)"/>
        <charset val="177"/>
      </rPr>
      <t>Total</t>
    </r>
    <r>
      <rPr>
        <b/>
        <sz val="11"/>
        <color indexed="8"/>
        <rFont val="Arial (Hebrew)"/>
        <charset val="177"/>
      </rPr>
      <t xml:space="preserve"> </t>
    </r>
    <r>
      <rPr>
        <b/>
        <sz val="11"/>
        <color indexed="10"/>
        <rFont val="Arial (Hebrew)"/>
        <charset val="177"/>
      </rPr>
      <t>Charge Cargo in Israeli Ports</t>
    </r>
  </si>
  <si>
    <r>
      <t xml:space="preserve">TABLE 1 : </t>
    </r>
    <r>
      <rPr>
        <b/>
        <sz val="12"/>
        <color rgb="FFFF0000"/>
        <rFont val="Arial (Hebrew)"/>
        <charset val="177"/>
      </rPr>
      <t>Total</t>
    </r>
    <r>
      <rPr>
        <b/>
        <sz val="12"/>
        <color indexed="8"/>
        <rFont val="Arial (Hebrew)"/>
        <family val="2"/>
        <charset val="177"/>
      </rPr>
      <t xml:space="preserve"> </t>
    </r>
    <r>
      <rPr>
        <b/>
        <sz val="12"/>
        <color indexed="10"/>
        <rFont val="Arial (Hebrew)"/>
        <family val="2"/>
        <charset val="177"/>
      </rPr>
      <t>Discharge Cargo in Israeli Ports</t>
    </r>
  </si>
  <si>
    <t>סהכ תנועות</t>
  </si>
  <si>
    <t>Total Traffic</t>
  </si>
  <si>
    <t>Haifa Port Erea</t>
  </si>
  <si>
    <t>Ashdod Port Erea</t>
  </si>
  <si>
    <t>Eilat Port</t>
  </si>
  <si>
    <t>Total Discharge</t>
  </si>
  <si>
    <t>סהכ פריקה</t>
  </si>
  <si>
    <t>סהכ טעינה</t>
  </si>
  <si>
    <t>Total Charge</t>
  </si>
  <si>
    <t>HCT</t>
  </si>
  <si>
    <t>דלק</t>
  </si>
  <si>
    <t>Fuel</t>
  </si>
  <si>
    <t xml:space="preserve">החל משנת 2021 דיווח פעילות מסופי מכולות (מפרץ ודרום) ותאגידים נמליים בנפרד  </t>
  </si>
  <si>
    <r>
      <t xml:space="preserve">לוח 1: </t>
    </r>
    <r>
      <rPr>
        <b/>
        <sz val="11"/>
        <color rgb="FFFF0000"/>
        <rFont val="Arial (Hebrew)"/>
        <charset val="177"/>
      </rPr>
      <t xml:space="preserve">סה"כ תנועת </t>
    </r>
    <r>
      <rPr>
        <b/>
        <sz val="11"/>
        <color indexed="10"/>
        <rFont val="Arial (Hebrew)"/>
        <charset val="177"/>
      </rPr>
      <t>מטענים בנמלי ישראל</t>
    </r>
  </si>
  <si>
    <t>Q3-2021</t>
  </si>
  <si>
    <t>Q4-2021</t>
  </si>
  <si>
    <t>תחום נמל חיפה 
Haifa port</t>
  </si>
  <si>
    <t>תחום נמל אשדוד 
Ashdod port</t>
  </si>
  <si>
    <t>נמל מספנות ישראל 
Israel shipyards</t>
  </si>
  <si>
    <t xml:space="preserve">נמל מספנות </t>
  </si>
  <si>
    <t>Query</t>
  </si>
  <si>
    <t xml:space="preserve">מרחב נמל חיפה                                     Haifa Port Erea </t>
  </si>
  <si>
    <t>מרחב נמל אשדוד  Ashdod Port Erea</t>
  </si>
  <si>
    <t xml:space="preserve">נמל אילת    Eilat Port </t>
  </si>
  <si>
    <t xml:space="preserve">ממגורות </t>
  </si>
  <si>
    <t>Gadot</t>
  </si>
  <si>
    <t>Q1-2022</t>
  </si>
  <si>
    <t>-</t>
  </si>
  <si>
    <t>Q2-2022</t>
  </si>
  <si>
    <t>Q3-2022</t>
  </si>
  <si>
    <t>Q4-2022</t>
  </si>
  <si>
    <t>Q1-2023</t>
  </si>
  <si>
    <t>Q2-2023</t>
  </si>
  <si>
    <t>נמל המפרץ 
SIPG</t>
  </si>
  <si>
    <t>נמל הדרום
HCT</t>
  </si>
  <si>
    <t>דלק תש"ן</t>
  </si>
  <si>
    <t>Fuel PEI</t>
  </si>
  <si>
    <t>דלק אשדוד</t>
  </si>
  <si>
    <t>Fuel Ashdod</t>
  </si>
  <si>
    <t>ח.נמל אשדוד</t>
  </si>
  <si>
    <t>מספנות  ישראל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</si>
  <si>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</si>
  <si>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</si>
  <si>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</si>
  <si>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</si>
  <si>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</si>
  <si>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</si>
  <si>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</si>
  <si>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</si>
  <si>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H1-2025</t>
  </si>
  <si>
    <t>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</si>
</sst>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General_)"/>
    <numFmt numFmtId="165" formatCode="\ @"/>
    <numFmt numFmtId="166" formatCode="0_ ;\-0\ "/>
    <numFmt numFmtId="167" formatCode="#,##0.000"/>
    <numFmt numFmtId="168" formatCode="#,##0.00000"/>
    <numFmt numFmtId="169" formatCode="0.0%"/>
    <numFmt numFmtId="170" formatCode="_ * #,##0_ ;_ * \-#,##0_ ;_ * &quot;-&quot;??_ ;_ @_ "/>
    <numFmt numFmtId="171" formatCode="_ * #,##0.000_ ;_ * \-#,##0.000_ ;_ * &quot;-&quot;??_ ;_ @_ "/>
    <numFmt numFmtId="172" formatCode="_ * #,##0.0000_ ;_ * \-#,##0.0000_ ;_ * &quot;-&quot;??_ ;_ @_ "/>
    <numFmt numFmtId="173" formatCode="_ * #,##0.00000_ ;_ * \-#,##0.00000_ ;_ * &quot;-&quot;??_ ;_ @_ "/>
    <numFmt numFmtId="174" formatCode="_ * #,##0.0_ ;_ * \-#,##0.0_ ;_ * &quot;-&quot;??_ ;_ @_ "/>
  </numFmts>
  <fonts count="84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7"/>
      <name val="Arial"/>
      <family val="2"/>
    </font>
    <font>
      <b/>
      <i/>
      <u/>
      <sz val="18"/>
      <color indexed="61"/>
      <name val="Arial"/>
      <family val="2"/>
    </font>
    <font>
      <b/>
      <i/>
      <sz val="18"/>
      <name val="Arial"/>
      <family val="2"/>
    </font>
    <font>
      <b/>
      <i/>
      <sz val="1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i/>
      <sz val="14"/>
      <color indexed="17"/>
      <name val="Arial"/>
      <family val="2"/>
    </font>
    <font>
      <b/>
      <i/>
      <sz val="14"/>
      <color indexed="12"/>
      <name val="Arial"/>
      <family val="2"/>
    </font>
    <font>
      <b/>
      <sz val="10"/>
      <color indexed="12"/>
      <name val="Arial"/>
      <family val="2"/>
    </font>
    <font>
      <sz val="12"/>
      <name val="Courier"/>
      <family val="3"/>
      <charset val="177"/>
    </font>
    <font>
      <b/>
      <sz val="12"/>
      <color indexed="8"/>
      <name val="Arial"/>
      <family val="2"/>
    </font>
    <font>
      <sz val="12"/>
      <color indexed="8"/>
      <name val="Times New Roman"/>
      <family val="1"/>
      <charset val="177"/>
    </font>
    <font>
      <sz val="11"/>
      <color indexed="8"/>
      <name val="Times New Roman"/>
      <family val="1"/>
      <charset val="177"/>
    </font>
    <font>
      <sz val="11"/>
      <color indexed="8"/>
      <name val="Arial (Hebrew)"/>
      <family val="2"/>
      <charset val="177"/>
    </font>
    <font>
      <sz val="12"/>
      <color indexed="8"/>
      <name val="Arial (Hebrew)"/>
      <family val="2"/>
      <charset val="177"/>
    </font>
    <font>
      <b/>
      <sz val="14"/>
      <color indexed="8"/>
      <name val="Arial (Hebrew)"/>
      <family val="2"/>
      <charset val="177"/>
    </font>
    <font>
      <b/>
      <sz val="9"/>
      <color indexed="8"/>
      <name val="Arial (Hebrew)"/>
      <family val="2"/>
      <charset val="177"/>
    </font>
    <font>
      <sz val="10"/>
      <color indexed="8"/>
      <name val="Arial (Hebrew)"/>
      <family val="2"/>
      <charset val="177"/>
    </font>
    <font>
      <sz val="9"/>
      <color indexed="8"/>
      <name val="Arial (Hebrew)"/>
      <family val="2"/>
      <charset val="177"/>
    </font>
    <font>
      <sz val="9"/>
      <name val="Arial (Hebrew)"/>
      <family val="2"/>
      <charset val="177"/>
    </font>
    <font>
      <sz val="7"/>
      <color indexed="8"/>
      <name val="Arial (Hebrew)"/>
      <family val="2"/>
      <charset val="177"/>
    </font>
    <font>
      <sz val="8"/>
      <color indexed="8"/>
      <name val="Arial (Hebrew)"/>
      <family val="2"/>
      <charset val="177"/>
    </font>
    <font>
      <b/>
      <sz val="10"/>
      <color indexed="8"/>
      <name val="Arial (Hebrew)"/>
      <charset val="177"/>
    </font>
    <font>
      <b/>
      <sz val="14"/>
      <color indexed="10"/>
      <name val="Arial (Hebrew)"/>
      <family val="2"/>
      <charset val="177"/>
    </font>
    <font>
      <b/>
      <sz val="9"/>
      <name val="Arial (Hebrew)"/>
      <charset val="177"/>
    </font>
    <font>
      <b/>
      <sz val="12"/>
      <color indexed="8"/>
      <name val="Arial (Hebrew)"/>
      <family val="2"/>
      <charset val="177"/>
    </font>
    <font>
      <b/>
      <sz val="12"/>
      <color indexed="10"/>
      <name val="Arial (Hebrew)"/>
      <family val="2"/>
      <charset val="177"/>
    </font>
    <font>
      <sz val="8"/>
      <name val="Arial"/>
      <family val="2"/>
    </font>
    <font>
      <b/>
      <sz val="9"/>
      <color indexed="8"/>
      <name val="Arial (Hebrew)"/>
      <charset val="177"/>
    </font>
    <font>
      <b/>
      <sz val="12"/>
      <color rgb="FFFF0000"/>
      <name val="Arial (Hebrew)"/>
      <charset val="177"/>
    </font>
    <font>
      <b/>
      <sz val="8"/>
      <color indexed="8"/>
      <name val="Arial (Hebrew)"/>
      <charset val="177"/>
    </font>
    <font>
      <sz val="8"/>
      <color indexed="8"/>
      <name val="Arial (Hebrew)"/>
      <charset val="177"/>
    </font>
    <font>
      <b/>
      <sz val="8"/>
      <name val="Arial (Hebrew)"/>
      <charset val="177"/>
    </font>
    <font>
      <sz val="11"/>
      <color indexed="8"/>
      <name val="Arial (Hebrew)"/>
      <charset val="177"/>
    </font>
    <font>
      <sz val="8"/>
      <name val="Arial (Hebrew)"/>
      <charset val="177"/>
    </font>
    <font>
      <sz val="10"/>
      <name val="Arial"/>
      <family val="2"/>
    </font>
    <font>
      <sz val="10"/>
      <color theme="1"/>
      <name val="Tahoma"/>
      <family val="2"/>
    </font>
    <font>
      <b/>
      <sz val="12"/>
      <color indexed="8"/>
      <name val="Arial (Hebrew)"/>
      <charset val="177"/>
    </font>
    <font>
      <b/>
      <sz val="11"/>
      <color indexed="8"/>
      <name val="Arial (Hebrew)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color rgb="FFFF0000"/>
      <name val="Arial (Hebrew)"/>
      <charset val="177"/>
    </font>
    <font>
      <b/>
      <sz val="11"/>
      <color indexed="10"/>
      <name val="Arial (Hebrew)"/>
      <charset val="177"/>
    </font>
    <font>
      <b/>
      <sz val="12"/>
      <color indexed="10"/>
      <name val="Arial (Hebrew)"/>
      <charset val="177"/>
    </font>
    <font>
      <b/>
      <sz val="9"/>
      <color rgb="FF0070C0"/>
      <name val="Arial (Hebrew)"/>
      <charset val="177"/>
    </font>
    <font>
      <b/>
      <sz val="9"/>
      <color rgb="FFC00000"/>
      <name val="Arial (Hebrew)"/>
      <charset val="177"/>
    </font>
    <font>
      <sz val="9"/>
      <color rgb="FFC00000"/>
      <name val="Arial (Hebrew)"/>
      <charset val="177"/>
    </font>
    <font>
      <b/>
      <sz val="10"/>
      <color rgb="FF7030A0"/>
      <name val="Arial (Hebrew)"/>
      <charset val="177"/>
    </font>
    <font>
      <b/>
      <sz val="10"/>
      <color rgb="FFFF0000"/>
      <name val="Arial"/>
      <family val="2"/>
    </font>
    <font>
      <sz val="8"/>
      <color rgb="FFC00000"/>
      <name val="Arial (Hebrew)"/>
      <charset val="177"/>
    </font>
    <font>
      <b/>
      <sz val="8"/>
      <color rgb="FFFF0000"/>
      <name val="Arial (Hebrew)"/>
      <charset val="177"/>
    </font>
    <font>
      <sz val="8"/>
      <color rgb="FFFF0000"/>
      <name val="Arial (Hebrew)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30" fillId="0" borderId="0"/>
    <xf numFmtId="164" fontId="41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68" fillId="0" borderId="0"/>
    <xf numFmtId="0" fontId="30" fillId="0" borderId="0"/>
    <xf numFmtId="0" fontId="30" fillId="0" borderId="0"/>
    <xf numFmtId="9" fontId="6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43" fontId="71" fillId="0" borderId="0" applyFont="0" applyFill="0" applyBorder="0" applyAlignment="0" applyProtection="0"/>
  </cellStyleXfs>
  <cellXfs count="412">
    <xf numFmtId="0" fontId="0" fillId="0" borderId="0" xfId="0"/>
    <xf numFmtId="0" fontId="30" fillId="0" borderId="0" xfId="1"/>
    <xf numFmtId="3" fontId="30" fillId="0" borderId="0" xfId="1" applyNumberFormat="1"/>
    <xf numFmtId="0" fontId="32" fillId="0" borderId="0" xfId="1" applyFont="1"/>
    <xf numFmtId="0" fontId="33" fillId="0" borderId="0" xfId="1" applyFont="1" applyAlignment="1"/>
    <xf numFmtId="0" fontId="34" fillId="2" borderId="1" xfId="1" applyFont="1" applyFill="1" applyBorder="1"/>
    <xf numFmtId="0" fontId="36" fillId="3" borderId="1" xfId="1" applyFont="1" applyFill="1" applyBorder="1" applyAlignment="1">
      <alignment wrapText="1"/>
    </xf>
    <xf numFmtId="0" fontId="36" fillId="3" borderId="2" xfId="1" applyFont="1" applyFill="1" applyBorder="1" applyAlignment="1">
      <alignment wrapText="1"/>
    </xf>
    <xf numFmtId="0" fontId="36" fillId="3" borderId="3" xfId="1" applyFont="1" applyFill="1" applyBorder="1" applyAlignment="1">
      <alignment wrapText="1"/>
    </xf>
    <xf numFmtId="0" fontId="38" fillId="0" borderId="1" xfId="1" applyFont="1" applyBorder="1"/>
    <xf numFmtId="3" fontId="30" fillId="0" borderId="4" xfId="1" applyNumberFormat="1" applyBorder="1"/>
    <xf numFmtId="3" fontId="30" fillId="0" borderId="5" xfId="1" applyNumberFormat="1" applyBorder="1"/>
    <xf numFmtId="3" fontId="30" fillId="0" borderId="6" xfId="1" applyNumberFormat="1" applyBorder="1"/>
    <xf numFmtId="3" fontId="30" fillId="0" borderId="7" xfId="1" applyNumberFormat="1" applyBorder="1"/>
    <xf numFmtId="3" fontId="30" fillId="0" borderId="8" xfId="1" applyNumberFormat="1" applyBorder="1"/>
    <xf numFmtId="3" fontId="30" fillId="0" borderId="9" xfId="1" applyNumberFormat="1" applyBorder="1"/>
    <xf numFmtId="3" fontId="30" fillId="0" borderId="10" xfId="1" applyNumberFormat="1" applyBorder="1"/>
    <xf numFmtId="0" fontId="38" fillId="0" borderId="11" xfId="1" applyFont="1" applyBorder="1"/>
    <xf numFmtId="3" fontId="30" fillId="0" borderId="12" xfId="1" applyNumberFormat="1" applyBorder="1"/>
    <xf numFmtId="3" fontId="30" fillId="0" borderId="13" xfId="1" applyNumberFormat="1" applyBorder="1"/>
    <xf numFmtId="3" fontId="30" fillId="0" borderId="14" xfId="1" applyNumberFormat="1" applyBorder="1"/>
    <xf numFmtId="0" fontId="39" fillId="0" borderId="1" xfId="1" applyFont="1" applyBorder="1"/>
    <xf numFmtId="3" fontId="30" fillId="0" borderId="15" xfId="1" applyNumberFormat="1" applyBorder="1"/>
    <xf numFmtId="3" fontId="30" fillId="0" borderId="16" xfId="1" applyNumberFormat="1" applyBorder="1"/>
    <xf numFmtId="3" fontId="30" fillId="0" borderId="17" xfId="1" applyNumberFormat="1" applyBorder="1"/>
    <xf numFmtId="3" fontId="40" fillId="0" borderId="16" xfId="1" applyNumberFormat="1" applyFont="1" applyBorder="1"/>
    <xf numFmtId="3" fontId="40" fillId="0" borderId="17" xfId="1" applyNumberFormat="1" applyFont="1" applyBorder="1"/>
    <xf numFmtId="0" fontId="38" fillId="0" borderId="18" xfId="1" applyFont="1" applyBorder="1"/>
    <xf numFmtId="3" fontId="30" fillId="0" borderId="19" xfId="1" applyNumberFormat="1" applyBorder="1"/>
    <xf numFmtId="0" fontId="30" fillId="0" borderId="0" xfId="1" applyBorder="1"/>
    <xf numFmtId="3" fontId="40" fillId="0" borderId="15" xfId="1" applyNumberFormat="1" applyFont="1" applyBorder="1"/>
    <xf numFmtId="3" fontId="30" fillId="0" borderId="20" xfId="1" applyNumberFormat="1" applyBorder="1"/>
    <xf numFmtId="3" fontId="30" fillId="0" borderId="21" xfId="1" applyNumberFormat="1" applyBorder="1"/>
    <xf numFmtId="3" fontId="40" fillId="0" borderId="22" xfId="1" applyNumberFormat="1" applyFont="1" applyBorder="1"/>
    <xf numFmtId="3" fontId="30" fillId="0" borderId="23" xfId="1" applyNumberFormat="1" applyBorder="1"/>
    <xf numFmtId="3" fontId="30" fillId="0" borderId="24" xfId="1" applyNumberFormat="1" applyBorder="1"/>
    <xf numFmtId="0" fontId="35" fillId="2" borderId="2" xfId="1" applyNumberFormat="1" applyFont="1" applyFill="1" applyBorder="1" applyAlignment="1">
      <alignment horizontal="center"/>
    </xf>
    <xf numFmtId="0" fontId="35" fillId="2" borderId="25" xfId="1" applyFont="1" applyFill="1" applyBorder="1" applyAlignment="1">
      <alignment horizontal="center"/>
    </xf>
    <xf numFmtId="0" fontId="35" fillId="2" borderId="2" xfId="1" applyFont="1" applyFill="1" applyBorder="1" applyAlignment="1">
      <alignment horizontal="center"/>
    </xf>
    <xf numFmtId="0" fontId="30" fillId="0" borderId="7" xfId="1" applyFont="1" applyBorder="1" applyAlignment="1">
      <alignment wrapText="1"/>
    </xf>
    <xf numFmtId="0" fontId="30" fillId="0" borderId="7" xfId="1" applyFont="1" applyBorder="1"/>
    <xf numFmtId="164" fontId="42" fillId="0" borderId="0" xfId="2" applyFont="1" applyFill="1" applyAlignment="1" applyProtection="1">
      <alignment horizontal="left"/>
      <protection locked="0"/>
    </xf>
    <xf numFmtId="164" fontId="43" fillId="0" borderId="0" xfId="2" applyFont="1"/>
    <xf numFmtId="164" fontId="44" fillId="0" borderId="0" xfId="2" applyFont="1" applyFill="1" applyBorder="1"/>
    <xf numFmtId="164" fontId="45" fillId="0" borderId="0" xfId="2" applyFont="1" applyFill="1" applyBorder="1"/>
    <xf numFmtId="164" fontId="46" fillId="0" borderId="0" xfId="2" applyFont="1" applyFill="1"/>
    <xf numFmtId="0" fontId="47" fillId="0" borderId="0" xfId="2" applyNumberFormat="1" applyFont="1" applyAlignment="1">
      <alignment horizontal="right" readingOrder="2"/>
    </xf>
    <xf numFmtId="164" fontId="48" fillId="0" borderId="0" xfId="2" applyFont="1" applyFill="1" applyAlignment="1">
      <alignment vertical="top"/>
    </xf>
    <xf numFmtId="164" fontId="49" fillId="0" borderId="0" xfId="2" applyFont="1" applyFill="1" applyAlignment="1">
      <alignment vertical="top"/>
    </xf>
    <xf numFmtId="164" fontId="50" fillId="0" borderId="0" xfId="2" applyFont="1" applyFill="1"/>
    <xf numFmtId="164" fontId="50" fillId="0" borderId="0" xfId="2" applyFont="1" applyFill="1" applyBorder="1" applyAlignment="1">
      <alignment horizontal="centerContinuous"/>
    </xf>
    <xf numFmtId="164" fontId="50" fillId="0" borderId="0" xfId="2" applyFont="1" applyFill="1" applyBorder="1"/>
    <xf numFmtId="164" fontId="50" fillId="0" borderId="27" xfId="2" applyFont="1" applyFill="1" applyBorder="1"/>
    <xf numFmtId="164" fontId="50" fillId="0" borderId="4" xfId="2" applyFont="1" applyFill="1" applyBorder="1"/>
    <xf numFmtId="164" fontId="50" fillId="0" borderId="27" xfId="2" applyFont="1" applyFill="1" applyBorder="1" applyAlignment="1">
      <alignment horizontal="centerContinuous"/>
    </xf>
    <xf numFmtId="164" fontId="50" fillId="0" borderId="4" xfId="2" applyFont="1" applyFill="1" applyBorder="1" applyAlignment="1">
      <alignment horizontal="centerContinuous"/>
    </xf>
    <xf numFmtId="0" fontId="50" fillId="0" borderId="26" xfId="2" applyNumberFormat="1" applyFont="1" applyFill="1" applyBorder="1" applyAlignment="1" applyProtection="1">
      <alignment horizontal="center" readingOrder="2"/>
      <protection locked="0"/>
    </xf>
    <xf numFmtId="0" fontId="50" fillId="0" borderId="26" xfId="2" applyNumberFormat="1" applyFont="1" applyFill="1" applyBorder="1" applyAlignment="1">
      <alignment horizontal="center" readingOrder="2"/>
    </xf>
    <xf numFmtId="0" fontId="51" fillId="0" borderId="26" xfId="2" applyNumberFormat="1" applyFont="1" applyBorder="1" applyAlignment="1">
      <alignment horizontal="center" readingOrder="2"/>
    </xf>
    <xf numFmtId="164" fontId="49" fillId="0" borderId="0" xfId="2" applyFont="1" applyFill="1" applyBorder="1" applyAlignment="1">
      <alignment horizontal="center"/>
    </xf>
    <xf numFmtId="164" fontId="50" fillId="0" borderId="0" xfId="2" applyFont="1" applyFill="1" applyBorder="1" applyAlignment="1">
      <alignment horizontal="center"/>
    </xf>
    <xf numFmtId="164" fontId="50" fillId="0" borderId="0" xfId="2" applyFont="1" applyFill="1" applyAlignment="1">
      <alignment horizontal="center"/>
    </xf>
    <xf numFmtId="164" fontId="52" fillId="0" borderId="0" xfId="2" applyFont="1" applyFill="1"/>
    <xf numFmtId="37" fontId="45" fillId="0" borderId="0" xfId="2" applyNumberFormat="1" applyFont="1" applyFill="1" applyBorder="1" applyProtection="1"/>
    <xf numFmtId="165" fontId="53" fillId="0" borderId="0" xfId="2" applyNumberFormat="1" applyFont="1" applyFill="1" applyBorder="1"/>
    <xf numFmtId="164" fontId="53" fillId="0" borderId="0" xfId="2" applyFont="1" applyFill="1"/>
    <xf numFmtId="37" fontId="45" fillId="0" borderId="0" xfId="2" applyNumberFormat="1" applyFont="1" applyFill="1" applyBorder="1" applyProtection="1">
      <protection locked="0"/>
    </xf>
    <xf numFmtId="165" fontId="53" fillId="0" borderId="0" xfId="2" applyNumberFormat="1" applyFont="1" applyFill="1" applyBorder="1" applyAlignment="1" applyProtection="1">
      <alignment horizontal="left"/>
      <protection locked="0"/>
    </xf>
    <xf numFmtId="164" fontId="50" fillId="0" borderId="26" xfId="2" applyFont="1" applyFill="1" applyBorder="1"/>
    <xf numFmtId="164" fontId="53" fillId="0" borderId="26" xfId="2" applyFont="1" applyFill="1" applyBorder="1" applyAlignment="1" applyProtection="1">
      <alignment horizontal="left"/>
    </xf>
    <xf numFmtId="164" fontId="50" fillId="0" borderId="5" xfId="2" applyFont="1" applyFill="1" applyBorder="1" applyAlignment="1">
      <alignment horizontal="center"/>
    </xf>
    <xf numFmtId="37" fontId="45" fillId="0" borderId="13" xfId="2" applyNumberFormat="1" applyFont="1" applyFill="1" applyBorder="1" applyProtection="1">
      <protection locked="0"/>
    </xf>
    <xf numFmtId="164" fontId="50" fillId="0" borderId="5" xfId="2" applyFont="1" applyFill="1" applyBorder="1" applyAlignment="1" applyProtection="1">
      <alignment horizontal="center"/>
      <protection locked="0"/>
    </xf>
    <xf numFmtId="164" fontId="50" fillId="0" borderId="4" xfId="2" applyFont="1" applyFill="1" applyBorder="1" applyAlignment="1">
      <alignment horizontal="center"/>
    </xf>
    <xf numFmtId="164" fontId="50" fillId="0" borderId="4" xfId="2" applyFont="1" applyFill="1" applyBorder="1" applyAlignment="1" applyProtection="1">
      <alignment horizontal="center"/>
      <protection locked="0"/>
    </xf>
    <xf numFmtId="0" fontId="47" fillId="0" borderId="0" xfId="2" applyNumberFormat="1" applyFont="1" applyFill="1" applyAlignment="1">
      <alignment vertical="top" readingOrder="2"/>
    </xf>
    <xf numFmtId="164" fontId="53" fillId="0" borderId="19" xfId="2" applyFont="1" applyFill="1" applyBorder="1" applyAlignment="1">
      <alignment horizontal="left"/>
    </xf>
    <xf numFmtId="164" fontId="56" fillId="0" borderId="26" xfId="2" applyFont="1" applyFill="1" applyBorder="1" applyAlignment="1">
      <alignment horizontal="left"/>
    </xf>
    <xf numFmtId="164" fontId="57" fillId="0" borderId="0" xfId="2" applyFont="1" applyFill="1" applyAlignment="1" applyProtection="1">
      <alignment horizontal="left" vertical="top"/>
      <protection locked="0"/>
    </xf>
    <xf numFmtId="37" fontId="53" fillId="0" borderId="19" xfId="2" applyNumberFormat="1" applyFont="1" applyFill="1" applyBorder="1" applyAlignment="1" applyProtection="1">
      <alignment horizontal="center"/>
    </xf>
    <xf numFmtId="37" fontId="53" fillId="0" borderId="29" xfId="2" applyNumberFormat="1" applyFont="1" applyFill="1" applyBorder="1" applyAlignment="1" applyProtection="1">
      <alignment horizontal="center"/>
    </xf>
    <xf numFmtId="37" fontId="53" fillId="0" borderId="26" xfId="2" applyNumberFormat="1" applyFont="1" applyFill="1" applyBorder="1" applyAlignment="1" applyProtection="1">
      <alignment horizontal="center"/>
      <protection locked="0"/>
    </xf>
    <xf numFmtId="37" fontId="53" fillId="0" borderId="26" xfId="2" applyNumberFormat="1" applyFont="1" applyFill="1" applyBorder="1" applyAlignment="1" applyProtection="1">
      <alignment horizontal="center"/>
    </xf>
    <xf numFmtId="37" fontId="53" fillId="0" borderId="0" xfId="2" applyNumberFormat="1" applyFont="1" applyFill="1" applyBorder="1" applyAlignment="1" applyProtection="1">
      <alignment horizontal="center"/>
    </xf>
    <xf numFmtId="37" fontId="53" fillId="0" borderId="0" xfId="2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164" fontId="53" fillId="0" borderId="0" xfId="2" applyFont="1" applyFill="1" applyBorder="1"/>
    <xf numFmtId="164" fontId="53" fillId="0" borderId="26" xfId="2" applyFont="1" applyFill="1" applyBorder="1"/>
    <xf numFmtId="164" fontId="53" fillId="0" borderId="29" xfId="2" applyFont="1" applyFill="1" applyBorder="1"/>
    <xf numFmtId="37" fontId="53" fillId="0" borderId="7" xfId="2" applyNumberFormat="1" applyFont="1" applyFill="1" applyBorder="1" applyAlignment="1" applyProtection="1">
      <alignment horizontal="center"/>
      <protection locked="0"/>
    </xf>
    <xf numFmtId="3" fontId="53" fillId="0" borderId="0" xfId="2" applyNumberFormat="1" applyFont="1" applyFill="1" applyBorder="1" applyAlignment="1">
      <alignment horizontal="center"/>
    </xf>
    <xf numFmtId="37" fontId="53" fillId="0" borderId="29" xfId="2" applyNumberFormat="1" applyFont="1" applyFill="1" applyBorder="1" applyAlignment="1" applyProtection="1">
      <alignment horizontal="center"/>
      <protection locked="0"/>
    </xf>
    <xf numFmtId="3" fontId="53" fillId="0" borderId="29" xfId="2" applyNumberFormat="1" applyFont="1" applyFill="1" applyBorder="1" applyAlignment="1">
      <alignment horizontal="center"/>
    </xf>
    <xf numFmtId="164" fontId="52" fillId="0" borderId="13" xfId="2" applyFont="1" applyFill="1" applyBorder="1"/>
    <xf numFmtId="165" fontId="53" fillId="0" borderId="29" xfId="2" applyNumberFormat="1" applyFont="1" applyFill="1" applyBorder="1" applyAlignment="1" applyProtection="1">
      <alignment horizontal="left"/>
      <protection locked="0"/>
    </xf>
    <xf numFmtId="164" fontId="54" fillId="0" borderId="0" xfId="2" applyFont="1" applyFill="1" applyBorder="1" applyAlignment="1" applyProtection="1">
      <alignment horizontal="left" vertical="top"/>
      <protection locked="0"/>
    </xf>
    <xf numFmtId="164" fontId="49" fillId="0" borderId="0" xfId="2" applyFont="1" applyFill="1" applyBorder="1" applyAlignment="1">
      <alignment vertical="top"/>
    </xf>
    <xf numFmtId="0" fontId="54" fillId="0" borderId="0" xfId="2" applyNumberFormat="1" applyFont="1" applyFill="1" applyBorder="1" applyAlignment="1">
      <alignment horizontal="right" vertical="top" readingOrder="2"/>
    </xf>
    <xf numFmtId="164" fontId="50" fillId="0" borderId="28" xfId="2" applyFont="1" applyFill="1" applyBorder="1"/>
    <xf numFmtId="0" fontId="50" fillId="0" borderId="19" xfId="2" applyNumberFormat="1" applyFont="1" applyFill="1" applyBorder="1" applyAlignment="1">
      <alignment readingOrder="2"/>
    </xf>
    <xf numFmtId="164" fontId="50" fillId="0" borderId="28" xfId="2" applyFont="1" applyFill="1" applyBorder="1" applyAlignment="1"/>
    <xf numFmtId="0" fontId="49" fillId="0" borderId="19" xfId="2" applyNumberFormat="1" applyFont="1" applyFill="1" applyBorder="1" applyAlignment="1">
      <alignment readingOrder="2"/>
    </xf>
    <xf numFmtId="0" fontId="50" fillId="0" borderId="28" xfId="2" applyNumberFormat="1" applyFont="1" applyFill="1" applyBorder="1" applyAlignment="1">
      <alignment horizontal="centerContinuous" readingOrder="2"/>
    </xf>
    <xf numFmtId="164" fontId="50" fillId="0" borderId="28" xfId="2" applyFont="1" applyFill="1" applyBorder="1" applyAlignment="1">
      <alignment horizontal="centerContinuous"/>
    </xf>
    <xf numFmtId="164" fontId="50" fillId="0" borderId="19" xfId="2" applyFont="1" applyFill="1" applyBorder="1" applyAlignment="1">
      <alignment horizontal="centerContinuous"/>
    </xf>
    <xf numFmtId="164" fontId="50" fillId="0" borderId="19" xfId="2" applyFont="1" applyFill="1" applyBorder="1"/>
    <xf numFmtId="3" fontId="53" fillId="0" borderId="7" xfId="2" applyNumberFormat="1" applyFont="1" applyFill="1" applyBorder="1" applyAlignment="1">
      <alignment horizontal="center"/>
    </xf>
    <xf numFmtId="3" fontId="53" fillId="0" borderId="26" xfId="2" applyNumberFormat="1" applyFont="1" applyFill="1" applyBorder="1" applyAlignment="1">
      <alignment horizontal="center"/>
    </xf>
    <xf numFmtId="37" fontId="0" fillId="0" borderId="0" xfId="0" applyNumberFormat="1"/>
    <xf numFmtId="164" fontId="49" fillId="0" borderId="0" xfId="2" applyFont="1" applyFill="1"/>
    <xf numFmtId="164" fontId="53" fillId="0" borderId="4" xfId="2" applyFont="1" applyFill="1" applyBorder="1"/>
    <xf numFmtId="164" fontId="53" fillId="0" borderId="27" xfId="2" applyFont="1" applyFill="1" applyBorder="1"/>
    <xf numFmtId="165" fontId="53" fillId="0" borderId="23" xfId="2" applyNumberFormat="1" applyFont="1" applyFill="1" applyBorder="1" applyAlignment="1" applyProtection="1">
      <alignment horizontal="left"/>
      <protection locked="0"/>
    </xf>
    <xf numFmtId="37" fontId="53" fillId="0" borderId="28" xfId="2" applyNumberFormat="1" applyFont="1" applyFill="1" applyBorder="1" applyAlignment="1" applyProtection="1">
      <alignment horizontal="center"/>
    </xf>
    <xf numFmtId="0" fontId="49" fillId="0" borderId="28" xfId="2" applyNumberFormat="1" applyFont="1" applyFill="1" applyBorder="1" applyAlignment="1">
      <alignment readingOrder="2"/>
    </xf>
    <xf numFmtId="0" fontId="50" fillId="0" borderId="12" xfId="2" applyNumberFormat="1" applyFont="1" applyFill="1" applyBorder="1" applyAlignment="1">
      <alignment horizontal="center" readingOrder="2"/>
    </xf>
    <xf numFmtId="164" fontId="50" fillId="0" borderId="28" xfId="2" applyFont="1" applyFill="1" applyBorder="1" applyAlignment="1" applyProtection="1">
      <alignment horizontal="left"/>
      <protection locked="0"/>
    </xf>
    <xf numFmtId="3" fontId="53" fillId="0" borderId="0" xfId="2" applyNumberFormat="1" applyFont="1" applyFill="1" applyBorder="1" applyAlignment="1">
      <alignment horizontal="center" wrapText="1"/>
    </xf>
    <xf numFmtId="0" fontId="50" fillId="0" borderId="12" xfId="2" applyNumberFormat="1" applyFont="1" applyFill="1" applyBorder="1" applyAlignment="1" applyProtection="1">
      <alignment horizontal="center" readingOrder="2"/>
      <protection locked="0"/>
    </xf>
    <xf numFmtId="164" fontId="50" fillId="0" borderId="0" xfId="2" applyFont="1" applyFill="1" applyBorder="1" applyAlignment="1" applyProtection="1">
      <alignment horizontal="left"/>
      <protection locked="0"/>
    </xf>
    <xf numFmtId="164" fontId="50" fillId="0" borderId="29" xfId="2" applyFont="1" applyFill="1" applyBorder="1"/>
    <xf numFmtId="164" fontId="50" fillId="0" borderId="13" xfId="2" applyFont="1" applyFill="1" applyBorder="1"/>
    <xf numFmtId="164" fontId="53" fillId="0" borderId="29" xfId="2" applyFont="1" applyFill="1" applyBorder="1" applyAlignment="1">
      <alignment horizontal="center"/>
    </xf>
    <xf numFmtId="164" fontId="52" fillId="0" borderId="29" xfId="2" applyFont="1" applyFill="1" applyBorder="1" applyAlignment="1">
      <alignment horizontal="center"/>
    </xf>
    <xf numFmtId="0" fontId="51" fillId="0" borderId="19" xfId="2" applyNumberFormat="1" applyFont="1" applyBorder="1" applyAlignment="1">
      <alignment horizontal="center" readingOrder="2"/>
    </xf>
    <xf numFmtId="0" fontId="50" fillId="0" borderId="19" xfId="2" applyNumberFormat="1" applyFont="1" applyFill="1" applyBorder="1" applyAlignment="1">
      <alignment horizontal="center" readingOrder="2"/>
    </xf>
    <xf numFmtId="1" fontId="53" fillId="0" borderId="29" xfId="2" applyNumberFormat="1" applyFont="1" applyFill="1" applyBorder="1" applyAlignment="1">
      <alignment horizontal="center"/>
    </xf>
    <xf numFmtId="3" fontId="62" fillId="0" borderId="0" xfId="2" applyNumberFormat="1" applyFont="1" applyFill="1" applyBorder="1" applyAlignment="1">
      <alignment horizontal="center"/>
    </xf>
    <xf numFmtId="3" fontId="62" fillId="0" borderId="26" xfId="2" applyNumberFormat="1" applyFont="1" applyFill="1" applyBorder="1" applyAlignment="1">
      <alignment horizontal="center"/>
    </xf>
    <xf numFmtId="37" fontId="62" fillId="0" borderId="0" xfId="2" applyNumberFormat="1" applyFont="1" applyFill="1" applyBorder="1" applyAlignment="1" applyProtection="1">
      <alignment horizontal="center"/>
      <protection locked="0"/>
    </xf>
    <xf numFmtId="3" fontId="62" fillId="0" borderId="29" xfId="2" applyNumberFormat="1" applyFont="1" applyFill="1" applyBorder="1" applyAlignment="1">
      <alignment horizontal="center"/>
    </xf>
    <xf numFmtId="164" fontId="62" fillId="0" borderId="0" xfId="2" applyFont="1" applyFill="1" applyBorder="1"/>
    <xf numFmtId="165" fontId="62" fillId="0" borderId="29" xfId="2" applyNumberFormat="1" applyFont="1" applyFill="1" applyBorder="1" applyAlignment="1" applyProtection="1">
      <alignment horizontal="left"/>
      <protection locked="0"/>
    </xf>
    <xf numFmtId="1" fontId="62" fillId="0" borderId="29" xfId="2" applyNumberFormat="1" applyFont="1" applyFill="1" applyBorder="1" applyAlignment="1">
      <alignment horizontal="center"/>
    </xf>
    <xf numFmtId="37" fontId="62" fillId="0" borderId="29" xfId="2" applyNumberFormat="1" applyFont="1" applyFill="1" applyBorder="1" applyAlignment="1" applyProtection="1">
      <alignment horizontal="center"/>
      <protection locked="0"/>
    </xf>
    <xf numFmtId="164" fontId="62" fillId="0" borderId="26" xfId="2" applyFont="1" applyFill="1" applyBorder="1"/>
    <xf numFmtId="0" fontId="56" fillId="0" borderId="7" xfId="2" applyNumberFormat="1" applyFont="1" applyBorder="1" applyAlignment="1">
      <alignment horizontal="center" wrapText="1" readingOrder="2"/>
    </xf>
    <xf numFmtId="0" fontId="60" fillId="0" borderId="7" xfId="2" applyNumberFormat="1" applyFont="1" applyFill="1" applyBorder="1" applyAlignment="1">
      <alignment horizontal="center" wrapText="1" readingOrder="2"/>
    </xf>
    <xf numFmtId="164" fontId="56" fillId="0" borderId="0" xfId="2" applyFont="1" applyFill="1" applyBorder="1" applyAlignment="1">
      <alignment horizontal="center"/>
    </xf>
    <xf numFmtId="166" fontId="62" fillId="0" borderId="7" xfId="2" applyNumberFormat="1" applyFont="1" applyFill="1" applyBorder="1" applyAlignment="1" applyProtection="1">
      <alignment horizontal="center"/>
      <protection locked="0"/>
    </xf>
    <xf numFmtId="3" fontId="62" fillId="0" borderId="7" xfId="2" applyNumberFormat="1" applyFont="1" applyFill="1" applyBorder="1" applyAlignment="1">
      <alignment horizontal="center"/>
    </xf>
    <xf numFmtId="3" fontId="62" fillId="0" borderId="27" xfId="2" applyNumberFormat="1" applyFont="1" applyFill="1" applyBorder="1" applyAlignment="1">
      <alignment horizontal="center"/>
    </xf>
    <xf numFmtId="3" fontId="62" fillId="0" borderId="23" xfId="2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3" fontId="63" fillId="0" borderId="0" xfId="2" applyNumberFormat="1" applyFont="1" applyFill="1" applyBorder="1" applyAlignment="1">
      <alignment horizontal="center"/>
    </xf>
    <xf numFmtId="3" fontId="63" fillId="0" borderId="29" xfId="2" applyNumberFormat="1" applyFont="1" applyFill="1" applyBorder="1" applyAlignment="1">
      <alignment horizontal="center"/>
    </xf>
    <xf numFmtId="164" fontId="63" fillId="0" borderId="0" xfId="2" applyFont="1" applyFill="1" applyBorder="1"/>
    <xf numFmtId="165" fontId="63" fillId="0" borderId="29" xfId="2" applyNumberFormat="1" applyFont="1" applyFill="1" applyBorder="1" applyAlignment="1" applyProtection="1">
      <alignment horizontal="left"/>
      <protection locked="0"/>
    </xf>
    <xf numFmtId="1" fontId="63" fillId="0" borderId="29" xfId="2" applyNumberFormat="1" applyFont="1" applyFill="1" applyBorder="1" applyAlignment="1">
      <alignment horizontal="center"/>
    </xf>
    <xf numFmtId="37" fontId="63" fillId="0" borderId="0" xfId="2" applyNumberFormat="1" applyFont="1" applyFill="1" applyBorder="1" applyAlignment="1" applyProtection="1">
      <alignment horizontal="center"/>
      <protection locked="0"/>
    </xf>
    <xf numFmtId="37" fontId="63" fillId="0" borderId="29" xfId="2" applyNumberFormat="1" applyFont="1" applyFill="1" applyBorder="1" applyAlignment="1" applyProtection="1">
      <alignment horizontal="center"/>
      <protection locked="0"/>
    </xf>
    <xf numFmtId="164" fontId="63" fillId="0" borderId="26" xfId="2" applyFont="1" applyFill="1" applyBorder="1"/>
    <xf numFmtId="3" fontId="63" fillId="0" borderId="26" xfId="2" applyNumberFormat="1" applyFont="1" applyFill="1" applyBorder="1" applyAlignment="1">
      <alignment horizontal="center"/>
    </xf>
    <xf numFmtId="164" fontId="63" fillId="0" borderId="0" xfId="2" applyFont="1" applyFill="1"/>
    <xf numFmtId="164" fontId="63" fillId="0" borderId="29" xfId="2" applyFont="1" applyFill="1" applyBorder="1"/>
    <xf numFmtId="37" fontId="62" fillId="0" borderId="29" xfId="2" applyNumberFormat="1" applyFont="1" applyFill="1" applyBorder="1" applyAlignment="1" applyProtection="1">
      <alignment horizontal="center"/>
    </xf>
    <xf numFmtId="37" fontId="62" fillId="0" borderId="0" xfId="2" applyNumberFormat="1" applyFont="1" applyFill="1" applyBorder="1" applyAlignment="1" applyProtection="1">
      <alignment horizontal="center"/>
    </xf>
    <xf numFmtId="166" fontId="62" fillId="0" borderId="0" xfId="2" applyNumberFormat="1" applyFont="1" applyFill="1" applyBorder="1" applyAlignment="1" applyProtection="1">
      <alignment horizontal="center"/>
      <protection locked="0"/>
    </xf>
    <xf numFmtId="3" fontId="64" fillId="0" borderId="0" xfId="2" applyNumberFormat="1" applyFont="1" applyFill="1" applyBorder="1" applyAlignment="1">
      <alignment horizontal="center"/>
    </xf>
    <xf numFmtId="37" fontId="63" fillId="0" borderId="29" xfId="2" applyNumberFormat="1" applyFont="1" applyFill="1" applyBorder="1" applyAlignment="1" applyProtection="1">
      <alignment horizontal="center"/>
    </xf>
    <xf numFmtId="37" fontId="63" fillId="0" borderId="0" xfId="2" applyNumberFormat="1" applyFont="1" applyFill="1" applyBorder="1" applyAlignment="1" applyProtection="1">
      <alignment horizontal="center"/>
    </xf>
    <xf numFmtId="37" fontId="63" fillId="0" borderId="26" xfId="2" applyNumberFormat="1" applyFont="1" applyFill="1" applyBorder="1" applyAlignment="1" applyProtection="1">
      <alignment horizontal="center"/>
      <protection locked="0"/>
    </xf>
    <xf numFmtId="37" fontId="63" fillId="0" borderId="26" xfId="2" applyNumberFormat="1" applyFont="1" applyFill="1" applyBorder="1" applyAlignment="1" applyProtection="1">
      <alignment horizontal="center"/>
    </xf>
    <xf numFmtId="37" fontId="65" fillId="0" borderId="0" xfId="2" applyNumberFormat="1" applyFont="1" applyFill="1" applyBorder="1" applyProtection="1"/>
    <xf numFmtId="165" fontId="63" fillId="0" borderId="0" xfId="2" applyNumberFormat="1" applyFont="1" applyFill="1" applyBorder="1"/>
    <xf numFmtId="164" fontId="63" fillId="0" borderId="26" xfId="2" applyFont="1" applyFill="1" applyBorder="1" applyAlignment="1" applyProtection="1">
      <alignment horizontal="left"/>
    </xf>
    <xf numFmtId="3" fontId="66" fillId="0" borderId="0" xfId="2" applyNumberFormat="1" applyFont="1" applyFill="1" applyBorder="1" applyAlignment="1">
      <alignment horizontal="center"/>
    </xf>
    <xf numFmtId="10" fontId="53" fillId="0" borderId="0" xfId="30" applyNumberFormat="1" applyFont="1" applyFill="1"/>
    <xf numFmtId="10" fontId="46" fillId="0" borderId="0" xfId="2" applyNumberFormat="1" applyFont="1" applyFill="1"/>
    <xf numFmtId="167" fontId="53" fillId="0" borderId="0" xfId="2" applyNumberFormat="1" applyFont="1" applyFill="1" applyBorder="1" applyAlignment="1">
      <alignment horizontal="center"/>
    </xf>
    <xf numFmtId="167" fontId="62" fillId="0" borderId="0" xfId="2" applyNumberFormat="1" applyFont="1" applyFill="1" applyBorder="1" applyAlignment="1">
      <alignment horizontal="center"/>
    </xf>
    <xf numFmtId="167" fontId="46" fillId="0" borderId="0" xfId="2" applyNumberFormat="1" applyFont="1" applyFill="1"/>
    <xf numFmtId="10" fontId="62" fillId="0" borderId="0" xfId="2" applyNumberFormat="1" applyFont="1" applyFill="1" applyBorder="1" applyAlignment="1">
      <alignment horizontal="center"/>
    </xf>
    <xf numFmtId="164" fontId="69" fillId="0" borderId="0" xfId="2" applyFont="1" applyFill="1"/>
    <xf numFmtId="10" fontId="54" fillId="0" borderId="0" xfId="30" applyNumberFormat="1" applyFont="1" applyFill="1"/>
    <xf numFmtId="164" fontId="63" fillId="0" borderId="26" xfId="2" applyFont="1" applyFill="1" applyBorder="1" applyAlignment="1">
      <alignment horizontal="left"/>
    </xf>
    <xf numFmtId="164" fontId="53" fillId="0" borderId="26" xfId="2" applyFont="1" applyFill="1" applyBorder="1" applyAlignment="1">
      <alignment horizontal="left"/>
    </xf>
    <xf numFmtId="164" fontId="62" fillId="0" borderId="26" xfId="2" applyFont="1" applyFill="1" applyBorder="1" applyAlignment="1">
      <alignment horizontal="left"/>
    </xf>
    <xf numFmtId="3" fontId="66" fillId="0" borderId="29" xfId="2" applyNumberFormat="1" applyFont="1" applyFill="1" applyBorder="1" applyAlignment="1">
      <alignment horizontal="center"/>
    </xf>
    <xf numFmtId="168" fontId="62" fillId="0" borderId="0" xfId="2" applyNumberFormat="1" applyFont="1" applyFill="1" applyBorder="1" applyAlignment="1">
      <alignment horizontal="center"/>
    </xf>
    <xf numFmtId="164" fontId="50" fillId="0" borderId="27" xfId="2" applyFont="1" applyFill="1" applyBorder="1" applyAlignment="1">
      <alignment horizontal="center"/>
    </xf>
    <xf numFmtId="37" fontId="62" fillId="0" borderId="26" xfId="2" applyNumberFormat="1" applyFont="1" applyFill="1" applyBorder="1" applyAlignment="1" applyProtection="1">
      <alignment horizontal="center"/>
      <protection locked="0"/>
    </xf>
    <xf numFmtId="37" fontId="62" fillId="0" borderId="26" xfId="2" applyNumberFormat="1" applyFont="1" applyFill="1" applyBorder="1" applyAlignment="1" applyProtection="1">
      <alignment horizontal="center"/>
    </xf>
    <xf numFmtId="37" fontId="70" fillId="0" borderId="0" xfId="2" applyNumberFormat="1" applyFont="1" applyFill="1" applyBorder="1" applyProtection="1"/>
    <xf numFmtId="165" fontId="62" fillId="0" borderId="0" xfId="2" applyNumberFormat="1" applyFont="1" applyFill="1" applyBorder="1"/>
    <xf numFmtId="164" fontId="62" fillId="0" borderId="26" xfId="2" applyFont="1" applyFill="1" applyBorder="1" applyAlignment="1" applyProtection="1">
      <alignment horizontal="left"/>
    </xf>
    <xf numFmtId="3" fontId="64" fillId="0" borderId="29" xfId="2" applyNumberFormat="1" applyFont="1" applyFill="1" applyBorder="1" applyAlignment="1">
      <alignment horizontal="center"/>
    </xf>
    <xf numFmtId="37" fontId="64" fillId="0" borderId="29" xfId="2" applyNumberFormat="1" applyFont="1" applyFill="1" applyBorder="1" applyAlignment="1" applyProtection="1">
      <alignment horizontal="center"/>
      <protection locked="0"/>
    </xf>
    <xf numFmtId="169" fontId="46" fillId="0" borderId="0" xfId="30" applyNumberFormat="1" applyFont="1" applyFill="1"/>
    <xf numFmtId="37" fontId="66" fillId="0" borderId="29" xfId="2" applyNumberFormat="1" applyFont="1" applyFill="1" applyBorder="1" applyAlignment="1" applyProtection="1">
      <alignment horizontal="center"/>
      <protection locked="0"/>
    </xf>
    <xf numFmtId="169" fontId="53" fillId="0" borderId="0" xfId="30" applyNumberFormat="1" applyFont="1" applyFill="1"/>
    <xf numFmtId="164" fontId="46" fillId="0" borderId="0" xfId="2" applyFont="1" applyFill="1" applyAlignment="1">
      <alignment horizontal="center"/>
    </xf>
    <xf numFmtId="164" fontId="50" fillId="0" borderId="23" xfId="2" applyFont="1" applyFill="1" applyBorder="1"/>
    <xf numFmtId="3" fontId="62" fillId="0" borderId="4" xfId="2" applyNumberFormat="1" applyFont="1" applyFill="1" applyBorder="1" applyAlignment="1">
      <alignment horizontal="center"/>
    </xf>
    <xf numFmtId="164" fontId="53" fillId="0" borderId="23" xfId="2" applyFont="1" applyFill="1" applyBorder="1"/>
    <xf numFmtId="170" fontId="53" fillId="0" borderId="0" xfId="43" applyNumberFormat="1" applyFont="1" applyFill="1" applyBorder="1"/>
    <xf numFmtId="170" fontId="53" fillId="0" borderId="27" xfId="43" applyNumberFormat="1" applyFont="1" applyFill="1" applyBorder="1"/>
    <xf numFmtId="170" fontId="53" fillId="0" borderId="34" xfId="43" applyNumberFormat="1" applyFont="1" applyFill="1" applyBorder="1"/>
    <xf numFmtId="170" fontId="53" fillId="0" borderId="5" xfId="43" applyNumberFormat="1" applyFont="1" applyFill="1" applyBorder="1"/>
    <xf numFmtId="164" fontId="48" fillId="0" borderId="0" xfId="2" applyFont="1" applyFill="1" applyAlignment="1">
      <alignment horizontal="center" vertical="top"/>
    </xf>
    <xf numFmtId="164" fontId="49" fillId="0" borderId="0" xfId="2" applyFont="1" applyFill="1" applyAlignment="1">
      <alignment horizontal="center" vertical="top"/>
    </xf>
    <xf numFmtId="170" fontId="53" fillId="0" borderId="34" xfId="43" applyNumberFormat="1" applyFont="1" applyFill="1" applyBorder="1" applyAlignment="1">
      <alignment horizontal="center" vertical="center"/>
    </xf>
    <xf numFmtId="170" fontId="53" fillId="0" borderId="5" xfId="43" applyNumberFormat="1" applyFont="1" applyFill="1" applyBorder="1" applyAlignment="1">
      <alignment horizontal="center" vertical="center"/>
    </xf>
    <xf numFmtId="170" fontId="53" fillId="0" borderId="26" xfId="43" applyNumberFormat="1" applyFont="1" applyFill="1" applyBorder="1" applyAlignment="1">
      <alignment horizontal="center"/>
    </xf>
    <xf numFmtId="170" fontId="53" fillId="0" borderId="4" xfId="43" applyNumberFormat="1" applyFont="1" applyFill="1" applyBorder="1" applyAlignment="1">
      <alignment horizontal="center"/>
    </xf>
    <xf numFmtId="164" fontId="72" fillId="0" borderId="0" xfId="2" applyFont="1" applyFill="1" applyAlignment="1" applyProtection="1">
      <alignment horizontal="left"/>
      <protection locked="0"/>
    </xf>
    <xf numFmtId="164" fontId="70" fillId="0" borderId="0" xfId="2" applyFont="1" applyFill="1" applyAlignment="1" applyProtection="1">
      <alignment horizontal="left" vertical="top"/>
      <protection locked="0"/>
    </xf>
    <xf numFmtId="0" fontId="57" fillId="0" borderId="0" xfId="2" applyNumberFormat="1" applyFont="1" applyAlignment="1">
      <alignment horizontal="right" readingOrder="2"/>
    </xf>
    <xf numFmtId="0" fontId="57" fillId="0" borderId="0" xfId="2" applyNumberFormat="1" applyFont="1" applyFill="1" applyAlignment="1">
      <alignment vertical="top" readingOrder="2"/>
    </xf>
    <xf numFmtId="0" fontId="69" fillId="0" borderId="0" xfId="2" applyNumberFormat="1" applyFont="1" applyAlignment="1">
      <alignment horizontal="right" readingOrder="2"/>
    </xf>
    <xf numFmtId="0" fontId="69" fillId="0" borderId="0" xfId="2" applyNumberFormat="1" applyFont="1" applyFill="1" applyAlignment="1">
      <alignment vertical="top" readingOrder="2"/>
    </xf>
    <xf numFmtId="37" fontId="53" fillId="0" borderId="34" xfId="2" applyNumberFormat="1" applyFont="1" applyFill="1" applyBorder="1" applyAlignment="1" applyProtection="1">
      <alignment horizontal="center"/>
    </xf>
    <xf numFmtId="37" fontId="63" fillId="0" borderId="34" xfId="2" applyNumberFormat="1" applyFont="1" applyFill="1" applyBorder="1" applyAlignment="1" applyProtection="1">
      <alignment horizontal="center"/>
    </xf>
    <xf numFmtId="3" fontId="62" fillId="0" borderId="34" xfId="2" applyNumberFormat="1" applyFont="1" applyFill="1" applyBorder="1" applyAlignment="1">
      <alignment horizontal="center"/>
    </xf>
    <xf numFmtId="3" fontId="63" fillId="0" borderId="34" xfId="2" applyNumberFormat="1" applyFont="1" applyFill="1" applyBorder="1" applyAlignment="1">
      <alignment horizontal="center"/>
    </xf>
    <xf numFmtId="3" fontId="62" fillId="0" borderId="5" xfId="2" applyNumberFormat="1" applyFont="1" applyFill="1" applyBorder="1" applyAlignment="1">
      <alignment horizontal="center"/>
    </xf>
    <xf numFmtId="170" fontId="62" fillId="0" borderId="0" xfId="43" applyNumberFormat="1" applyFont="1" applyFill="1" applyBorder="1"/>
    <xf numFmtId="170" fontId="63" fillId="0" borderId="0" xfId="43" applyNumberFormat="1" applyFont="1" applyFill="1" applyBorder="1"/>
    <xf numFmtId="164" fontId="76" fillId="0" borderId="12" xfId="2" applyFont="1" applyFill="1" applyBorder="1" applyAlignment="1">
      <alignment horizontal="center"/>
    </xf>
    <xf numFmtId="0" fontId="76" fillId="0" borderId="34" xfId="2" applyNumberFormat="1" applyFont="1" applyFill="1" applyBorder="1" applyAlignment="1" applyProtection="1">
      <alignment horizontal="center" readingOrder="2"/>
      <protection locked="0"/>
    </xf>
    <xf numFmtId="164" fontId="76" fillId="0" borderId="19" xfId="2" applyFont="1" applyFill="1" applyBorder="1" applyAlignment="1">
      <alignment horizontal="center"/>
    </xf>
    <xf numFmtId="0" fontId="76" fillId="0" borderId="12" xfId="2" applyNumberFormat="1" applyFont="1" applyFill="1" applyBorder="1" applyAlignment="1">
      <alignment horizontal="center" readingOrder="2"/>
    </xf>
    <xf numFmtId="0" fontId="76" fillId="0" borderId="19" xfId="2" applyNumberFormat="1" applyFont="1" applyFill="1" applyBorder="1" applyAlignment="1">
      <alignment horizontal="center" readingOrder="2"/>
    </xf>
    <xf numFmtId="0" fontId="76" fillId="0" borderId="19" xfId="2" applyNumberFormat="1" applyFont="1" applyFill="1" applyBorder="1" applyAlignment="1" applyProtection="1">
      <alignment horizontal="center" readingOrder="2"/>
      <protection locked="0"/>
    </xf>
    <xf numFmtId="0" fontId="76" fillId="0" borderId="28" xfId="2" applyNumberFormat="1" applyFont="1" applyBorder="1" applyAlignment="1">
      <alignment horizontal="center" readingOrder="2"/>
    </xf>
    <xf numFmtId="164" fontId="76" fillId="0" borderId="13" xfId="2" applyFont="1" applyFill="1" applyBorder="1" applyAlignment="1">
      <alignment horizontal="center"/>
    </xf>
    <xf numFmtId="164" fontId="76" fillId="0" borderId="5" xfId="2" applyFont="1" applyFill="1" applyBorder="1" applyAlignment="1">
      <alignment horizontal="center"/>
    </xf>
    <xf numFmtId="164" fontId="76" fillId="0" borderId="4" xfId="2" applyFont="1" applyFill="1" applyBorder="1" applyAlignment="1">
      <alignment horizontal="center"/>
    </xf>
    <xf numFmtId="164" fontId="76" fillId="0" borderId="4" xfId="2" applyFont="1" applyFill="1" applyBorder="1" applyAlignment="1" applyProtection="1">
      <alignment horizontal="center"/>
      <protection locked="0"/>
    </xf>
    <xf numFmtId="164" fontId="76" fillId="0" borderId="27" xfId="2" applyFont="1" applyFill="1" applyBorder="1" applyAlignment="1">
      <alignment horizontal="center"/>
    </xf>
    <xf numFmtId="164" fontId="76" fillId="0" borderId="23" xfId="2" applyFont="1" applyFill="1" applyBorder="1" applyAlignment="1">
      <alignment horizontal="center"/>
    </xf>
    <xf numFmtId="170" fontId="53" fillId="0" borderId="0" xfId="43" applyNumberFormat="1" applyFont="1" applyFill="1" applyBorder="1" applyAlignment="1">
      <alignment horizontal="center"/>
    </xf>
    <xf numFmtId="170" fontId="53" fillId="0" borderId="27" xfId="43" applyNumberFormat="1" applyFont="1" applyFill="1" applyBorder="1" applyAlignment="1">
      <alignment horizontal="center"/>
    </xf>
    <xf numFmtId="170" fontId="53" fillId="0" borderId="0" xfId="43" applyNumberFormat="1" applyFont="1" applyFill="1" applyBorder="1" applyAlignment="1"/>
    <xf numFmtId="164" fontId="77" fillId="0" borderId="12" xfId="2" applyFont="1" applyFill="1" applyBorder="1" applyAlignment="1">
      <alignment horizontal="center"/>
    </xf>
    <xf numFmtId="164" fontId="77" fillId="0" borderId="19" xfId="2" applyFont="1" applyFill="1" applyBorder="1" applyAlignment="1">
      <alignment horizontal="right"/>
    </xf>
    <xf numFmtId="164" fontId="77" fillId="0" borderId="28" xfId="2" applyFont="1" applyFill="1" applyBorder="1"/>
    <xf numFmtId="164" fontId="78" fillId="0" borderId="13" xfId="2" applyFont="1" applyFill="1" applyBorder="1"/>
    <xf numFmtId="164" fontId="78" fillId="0" borderId="19" xfId="2" applyFont="1" applyFill="1" applyBorder="1"/>
    <xf numFmtId="164" fontId="78" fillId="0" borderId="29" xfId="2" applyFont="1" applyFill="1" applyBorder="1"/>
    <xf numFmtId="164" fontId="78" fillId="0" borderId="26" xfId="2" applyFont="1" applyFill="1" applyBorder="1"/>
    <xf numFmtId="164" fontId="77" fillId="0" borderId="28" xfId="2" applyFont="1" applyFill="1" applyBorder="1" applyAlignment="1">
      <alignment horizontal="right"/>
    </xf>
    <xf numFmtId="164" fontId="53" fillId="0" borderId="0" xfId="2" applyFont="1" applyFill="1" applyBorder="1" applyAlignment="1">
      <alignment horizontal="center"/>
    </xf>
    <xf numFmtId="3" fontId="66" fillId="0" borderId="26" xfId="2" applyNumberFormat="1" applyFont="1" applyFill="1" applyBorder="1" applyAlignment="1">
      <alignment horizontal="center"/>
    </xf>
    <xf numFmtId="3" fontId="64" fillId="0" borderId="26" xfId="2" applyNumberFormat="1" applyFont="1" applyFill="1" applyBorder="1" applyAlignment="1">
      <alignment horizontal="center"/>
    </xf>
    <xf numFmtId="0" fontId="76" fillId="0" borderId="26" xfId="2" applyNumberFormat="1" applyFont="1" applyFill="1" applyBorder="1" applyAlignment="1" applyProtection="1">
      <alignment horizontal="center" readingOrder="2"/>
      <protection locked="0"/>
    </xf>
    <xf numFmtId="0" fontId="70" fillId="0" borderId="0" xfId="2" applyNumberFormat="1" applyFont="1" applyAlignment="1">
      <alignment horizontal="right" readingOrder="2"/>
    </xf>
    <xf numFmtId="0" fontId="70" fillId="0" borderId="0" xfId="2" applyNumberFormat="1" applyFont="1" applyFill="1" applyAlignment="1">
      <alignment vertical="top" readingOrder="2"/>
    </xf>
    <xf numFmtId="164" fontId="77" fillId="0" borderId="5" xfId="2" applyFont="1" applyFill="1" applyBorder="1" applyAlignment="1">
      <alignment horizontal="center"/>
    </xf>
    <xf numFmtId="164" fontId="77" fillId="0" borderId="4" xfId="2" applyFont="1" applyFill="1" applyBorder="1"/>
    <xf numFmtId="164" fontId="77" fillId="0" borderId="27" xfId="2" applyFont="1" applyFill="1" applyBorder="1"/>
    <xf numFmtId="164" fontId="77" fillId="0" borderId="27" xfId="2" applyFont="1" applyFill="1" applyBorder="1" applyAlignment="1">
      <alignment horizontal="center"/>
    </xf>
    <xf numFmtId="170" fontId="53" fillId="0" borderId="34" xfId="43" applyNumberFormat="1" applyFont="1" applyFill="1" applyBorder="1" applyAlignment="1">
      <alignment horizontal="center"/>
    </xf>
    <xf numFmtId="170" fontId="53" fillId="0" borderId="5" xfId="43" applyNumberFormat="1" applyFont="1" applyFill="1" applyBorder="1" applyAlignment="1">
      <alignment horizontal="center"/>
    </xf>
    <xf numFmtId="164" fontId="62" fillId="0" borderId="29" xfId="2" applyFont="1" applyFill="1" applyBorder="1"/>
    <xf numFmtId="164" fontId="76" fillId="0" borderId="29" xfId="2" applyFont="1" applyFill="1" applyBorder="1" applyAlignment="1">
      <alignment horizontal="center"/>
    </xf>
    <xf numFmtId="164" fontId="76" fillId="0" borderId="26" xfId="2" applyFont="1" applyFill="1" applyBorder="1" applyAlignment="1">
      <alignment horizontal="center"/>
    </xf>
    <xf numFmtId="164" fontId="77" fillId="0" borderId="19" xfId="2" applyFont="1" applyFill="1" applyBorder="1" applyAlignment="1">
      <alignment horizontal="center"/>
    </xf>
    <xf numFmtId="164" fontId="54" fillId="0" borderId="0" xfId="2" applyFont="1" applyFill="1"/>
    <xf numFmtId="170" fontId="62" fillId="0" borderId="34" xfId="43" applyNumberFormat="1" applyFont="1" applyFill="1" applyBorder="1"/>
    <xf numFmtId="164" fontId="77" fillId="0" borderId="13" xfId="2" applyFont="1" applyFill="1" applyBorder="1" applyAlignment="1">
      <alignment horizontal="center"/>
    </xf>
    <xf numFmtId="170" fontId="62" fillId="0" borderId="34" xfId="43" applyNumberFormat="1" applyFont="1" applyFill="1" applyBorder="1" applyAlignment="1">
      <alignment horizontal="center"/>
    </xf>
    <xf numFmtId="164" fontId="77" fillId="0" borderId="13" xfId="2" applyFont="1" applyFill="1" applyBorder="1" applyAlignment="1"/>
    <xf numFmtId="164" fontId="77" fillId="0" borderId="23" xfId="2" applyFont="1" applyFill="1" applyBorder="1" applyAlignment="1"/>
    <xf numFmtId="170" fontId="53" fillId="0" borderId="34" xfId="43" applyNumberFormat="1" applyFont="1" applyFill="1" applyBorder="1" applyAlignment="1"/>
    <xf numFmtId="3" fontId="63" fillId="0" borderId="0" xfId="2" applyNumberFormat="1" applyFont="1" applyFill="1" applyBorder="1" applyAlignment="1"/>
    <xf numFmtId="170" fontId="62" fillId="0" borderId="34" xfId="43" applyNumberFormat="1" applyFont="1" applyFill="1" applyBorder="1" applyAlignment="1">
      <alignment horizontal="center" vertical="center"/>
    </xf>
    <xf numFmtId="170" fontId="62" fillId="0" borderId="26" xfId="43" applyNumberFormat="1" applyFont="1" applyFill="1" applyBorder="1" applyAlignment="1">
      <alignment horizontal="center"/>
    </xf>
    <xf numFmtId="170" fontId="62" fillId="0" borderId="0" xfId="43" applyNumberFormat="1" applyFont="1" applyFill="1" applyBorder="1" applyAlignment="1">
      <alignment horizontal="center"/>
    </xf>
    <xf numFmtId="49" fontId="62" fillId="0" borderId="29" xfId="2" applyNumberFormat="1" applyFont="1" applyFill="1" applyBorder="1"/>
    <xf numFmtId="170" fontId="63" fillId="0" borderId="26" xfId="43" applyNumberFormat="1" applyFont="1" applyFill="1" applyBorder="1" applyAlignment="1">
      <alignment horizontal="center"/>
    </xf>
    <xf numFmtId="170" fontId="63" fillId="0" borderId="34" xfId="43" applyNumberFormat="1" applyFont="1" applyFill="1" applyBorder="1" applyAlignment="1">
      <alignment horizontal="center" vertical="center"/>
    </xf>
    <xf numFmtId="0" fontId="63" fillId="0" borderId="29" xfId="2" applyNumberFormat="1" applyFont="1" applyFill="1" applyBorder="1" applyAlignment="1">
      <alignment horizontal="left"/>
    </xf>
    <xf numFmtId="49" fontId="53" fillId="0" borderId="23" xfId="2" applyNumberFormat="1" applyFont="1" applyFill="1" applyBorder="1"/>
    <xf numFmtId="164" fontId="79" fillId="0" borderId="0" xfId="2" applyFont="1" applyFill="1"/>
    <xf numFmtId="170" fontId="66" fillId="0" borderId="0" xfId="43" applyNumberFormat="1" applyFont="1" applyFill="1" applyBorder="1" applyAlignment="1">
      <alignment horizontal="center"/>
    </xf>
    <xf numFmtId="170" fontId="64" fillId="0" borderId="0" xfId="43" applyNumberFormat="1" applyFont="1" applyFill="1" applyBorder="1" applyAlignment="1">
      <alignment horizontal="center"/>
    </xf>
    <xf numFmtId="164" fontId="77" fillId="0" borderId="23" xfId="2" applyFont="1" applyFill="1" applyBorder="1" applyAlignment="1">
      <alignment horizontal="center"/>
    </xf>
    <xf numFmtId="170" fontId="63" fillId="0" borderId="34" xfId="43" applyNumberFormat="1" applyFont="1" applyFill="1" applyBorder="1" applyAlignment="1">
      <alignment horizontal="center"/>
    </xf>
    <xf numFmtId="37" fontId="53" fillId="0" borderId="34" xfId="2" applyNumberFormat="1" applyFont="1" applyFill="1" applyBorder="1" applyAlignment="1" applyProtection="1"/>
    <xf numFmtId="164" fontId="53" fillId="0" borderId="29" xfId="2" applyFont="1" applyFill="1" applyBorder="1" applyAlignment="1"/>
    <xf numFmtId="37" fontId="53" fillId="0" borderId="26" xfId="2" applyNumberFormat="1" applyFont="1" applyFill="1" applyBorder="1" applyAlignment="1" applyProtection="1"/>
    <xf numFmtId="164" fontId="53" fillId="0" borderId="0" xfId="2" applyFont="1" applyFill="1" applyBorder="1" applyAlignment="1"/>
    <xf numFmtId="37" fontId="53" fillId="0" borderId="0" xfId="2" applyNumberFormat="1" applyFont="1" applyFill="1" applyBorder="1" applyAlignment="1" applyProtection="1"/>
    <xf numFmtId="164" fontId="53" fillId="0" borderId="26" xfId="2" applyFont="1" applyFill="1" applyBorder="1" applyAlignment="1"/>
    <xf numFmtId="164" fontId="53" fillId="0" borderId="0" xfId="2" applyFont="1" applyFill="1" applyAlignment="1"/>
    <xf numFmtId="164" fontId="53" fillId="0" borderId="34" xfId="2" applyFont="1" applyFill="1" applyBorder="1" applyAlignment="1"/>
    <xf numFmtId="37" fontId="53" fillId="0" borderId="34" xfId="2" applyNumberFormat="1" applyFont="1" applyFill="1" applyBorder="1" applyAlignment="1" applyProtection="1">
      <protection locked="0"/>
    </xf>
    <xf numFmtId="3" fontId="53" fillId="0" borderId="26" xfId="2" applyNumberFormat="1" applyFont="1" applyFill="1" applyBorder="1" applyAlignment="1"/>
    <xf numFmtId="3" fontId="53" fillId="0" borderId="0" xfId="2" applyNumberFormat="1" applyFont="1" applyFill="1" applyBorder="1" applyAlignment="1"/>
    <xf numFmtId="3" fontId="53" fillId="0" borderId="34" xfId="2" applyNumberFormat="1" applyFont="1" applyFill="1" applyBorder="1" applyAlignment="1"/>
    <xf numFmtId="3" fontId="53" fillId="0" borderId="34" xfId="2" applyNumberFormat="1" applyFont="1" applyFill="1" applyBorder="1" applyAlignment="1">
      <alignment wrapText="1"/>
    </xf>
    <xf numFmtId="3" fontId="62" fillId="0" borderId="34" xfId="2" applyNumberFormat="1" applyFont="1" applyFill="1" applyBorder="1" applyAlignment="1"/>
    <xf numFmtId="3" fontId="62" fillId="0" borderId="26" xfId="2" applyNumberFormat="1" applyFont="1" applyFill="1" applyBorder="1" applyAlignment="1"/>
    <xf numFmtId="1" fontId="62" fillId="0" borderId="0" xfId="2" applyNumberFormat="1" applyFont="1" applyFill="1" applyBorder="1" applyAlignment="1"/>
    <xf numFmtId="3" fontId="62" fillId="0" borderId="0" xfId="2" applyNumberFormat="1" applyFont="1" applyFill="1" applyBorder="1" applyAlignment="1"/>
    <xf numFmtId="1" fontId="53" fillId="0" borderId="0" xfId="2" applyNumberFormat="1" applyFont="1" applyFill="1" applyBorder="1" applyAlignment="1"/>
    <xf numFmtId="3" fontId="63" fillId="0" borderId="34" xfId="2" applyNumberFormat="1" applyFont="1" applyFill="1" applyBorder="1" applyAlignment="1"/>
    <xf numFmtId="3" fontId="63" fillId="0" borderId="26" xfId="2" applyNumberFormat="1" applyFont="1" applyFill="1" applyBorder="1" applyAlignment="1"/>
    <xf numFmtId="1" fontId="63" fillId="0" borderId="0" xfId="2" applyNumberFormat="1" applyFont="1" applyFill="1" applyBorder="1" applyAlignment="1"/>
    <xf numFmtId="164" fontId="63" fillId="0" borderId="34" xfId="2" applyFont="1" applyFill="1" applyBorder="1" applyAlignment="1"/>
    <xf numFmtId="164" fontId="63" fillId="0" borderId="26" xfId="2" applyFont="1" applyFill="1" applyBorder="1" applyAlignment="1"/>
    <xf numFmtId="164" fontId="63" fillId="0" borderId="0" xfId="2" applyFont="1" applyFill="1" applyAlignment="1"/>
    <xf numFmtId="3" fontId="66" fillId="0" borderId="26" xfId="2" applyNumberFormat="1" applyFont="1" applyFill="1" applyBorder="1" applyAlignment="1"/>
    <xf numFmtId="3" fontId="64" fillId="0" borderId="26" xfId="2" applyNumberFormat="1" applyFont="1" applyFill="1" applyBorder="1" applyAlignment="1"/>
    <xf numFmtId="164" fontId="76" fillId="0" borderId="37" xfId="2" applyFont="1" applyFill="1" applyBorder="1" applyAlignment="1">
      <alignment horizontal="center"/>
    </xf>
    <xf numFmtId="0" fontId="76" fillId="0" borderId="38" xfId="2" applyNumberFormat="1" applyFont="1" applyFill="1" applyBorder="1" applyAlignment="1" applyProtection="1">
      <alignment horizontal="center" readingOrder="2"/>
      <protection locked="0"/>
    </xf>
    <xf numFmtId="164" fontId="76" fillId="0" borderId="39" xfId="2" applyFont="1" applyFill="1" applyBorder="1" applyAlignment="1">
      <alignment horizontal="center"/>
    </xf>
    <xf numFmtId="164" fontId="76" fillId="0" borderId="40" xfId="2" applyFont="1" applyFill="1" applyBorder="1" applyAlignment="1">
      <alignment horizontal="center"/>
    </xf>
    <xf numFmtId="0" fontId="76" fillId="0" borderId="37" xfId="2" applyNumberFormat="1" applyFont="1" applyBorder="1" applyAlignment="1">
      <alignment horizontal="center" readingOrder="2"/>
    </xf>
    <xf numFmtId="164" fontId="76" fillId="0" borderId="42" xfId="2" applyFont="1" applyFill="1" applyBorder="1" applyAlignment="1">
      <alignment horizontal="center"/>
    </xf>
    <xf numFmtId="164" fontId="76" fillId="0" borderId="43" xfId="2" applyFont="1" applyFill="1" applyBorder="1" applyAlignment="1">
      <alignment horizontal="center"/>
    </xf>
    <xf numFmtId="164" fontId="76" fillId="0" borderId="43" xfId="2" applyFont="1" applyFill="1" applyBorder="1" applyAlignment="1" applyProtection="1">
      <alignment horizontal="center"/>
      <protection locked="0"/>
    </xf>
    <xf numFmtId="164" fontId="76" fillId="0" borderId="44" xfId="2" applyFont="1" applyFill="1" applyBorder="1" applyAlignment="1">
      <alignment horizontal="center"/>
    </xf>
    <xf numFmtId="164" fontId="76" fillId="0" borderId="45" xfId="2" applyFont="1" applyFill="1" applyBorder="1" applyAlignment="1">
      <alignment horizontal="center"/>
    </xf>
    <xf numFmtId="0" fontId="76" fillId="0" borderId="11" xfId="2" applyNumberFormat="1" applyFont="1" applyBorder="1" applyAlignment="1">
      <alignment horizontal="center" readingOrder="2"/>
    </xf>
    <xf numFmtId="164" fontId="76" fillId="0" borderId="18" xfId="2" applyFont="1" applyFill="1" applyBorder="1" applyAlignment="1">
      <alignment horizontal="center"/>
    </xf>
    <xf numFmtId="164" fontId="77" fillId="0" borderId="11" xfId="2" applyFont="1" applyFill="1" applyBorder="1" applyAlignment="1">
      <alignment horizontal="center"/>
    </xf>
    <xf numFmtId="164" fontId="76" fillId="0" borderId="46" xfId="2" applyFont="1" applyFill="1" applyBorder="1" applyAlignment="1">
      <alignment horizontal="center"/>
    </xf>
    <xf numFmtId="37" fontId="53" fillId="0" borderId="47" xfId="2" applyNumberFormat="1" applyFont="1" applyFill="1" applyBorder="1" applyAlignment="1" applyProtection="1">
      <alignment horizontal="center"/>
      <protection locked="0"/>
    </xf>
    <xf numFmtId="37" fontId="53" fillId="0" borderId="48" xfId="2" applyNumberFormat="1" applyFont="1" applyFill="1" applyBorder="1" applyAlignment="1" applyProtection="1">
      <alignment horizontal="center"/>
      <protection locked="0"/>
    </xf>
    <xf numFmtId="37" fontId="53" fillId="0" borderId="49" xfId="2" applyNumberFormat="1" applyFont="1" applyFill="1" applyBorder="1" applyAlignment="1" applyProtection="1">
      <alignment horizontal="center"/>
      <protection locked="0"/>
    </xf>
    <xf numFmtId="3" fontId="53" fillId="0" borderId="53" xfId="2" applyNumberFormat="1" applyFont="1" applyFill="1" applyBorder="1" applyAlignment="1">
      <alignment horizontal="center"/>
    </xf>
    <xf numFmtId="3" fontId="53" fillId="0" borderId="54" xfId="2" applyNumberFormat="1" applyFont="1" applyFill="1" applyBorder="1" applyAlignment="1">
      <alignment horizontal="center"/>
    </xf>
    <xf numFmtId="3" fontId="53" fillId="0" borderId="21" xfId="2" applyNumberFormat="1" applyFont="1" applyFill="1" applyBorder="1" applyAlignment="1">
      <alignment horizontal="center"/>
    </xf>
    <xf numFmtId="3" fontId="53" fillId="0" borderId="20" xfId="2" applyNumberFormat="1" applyFont="1" applyFill="1" applyBorder="1" applyAlignment="1">
      <alignment horizontal="center"/>
    </xf>
    <xf numFmtId="3" fontId="53" fillId="0" borderId="9" xfId="2" applyNumberFormat="1" applyFont="1" applyFill="1" applyBorder="1" applyAlignment="1">
      <alignment horizontal="center"/>
    </xf>
    <xf numFmtId="3" fontId="53" fillId="0" borderId="50" xfId="2" applyNumberFormat="1" applyFont="1" applyFill="1" applyBorder="1" applyAlignment="1">
      <alignment horizontal="center"/>
    </xf>
    <xf numFmtId="3" fontId="53" fillId="0" borderId="52" xfId="2" applyNumberFormat="1" applyFont="1" applyFill="1" applyBorder="1" applyAlignment="1">
      <alignment horizontal="center"/>
    </xf>
    <xf numFmtId="3" fontId="53" fillId="0" borderId="51" xfId="2" applyNumberFormat="1" applyFont="1" applyFill="1" applyBorder="1" applyAlignment="1">
      <alignment horizontal="center"/>
    </xf>
    <xf numFmtId="164" fontId="76" fillId="0" borderId="34" xfId="2" applyFont="1" applyFill="1" applyBorder="1" applyAlignment="1">
      <alignment horizontal="center"/>
    </xf>
    <xf numFmtId="170" fontId="53" fillId="0" borderId="29" xfId="43" applyNumberFormat="1" applyFont="1" applyFill="1" applyBorder="1" applyAlignment="1">
      <alignment horizontal="center" vertical="center"/>
    </xf>
    <xf numFmtId="170" fontId="62" fillId="0" borderId="0" xfId="43" applyNumberFormat="1" applyFont="1" applyFill="1" applyBorder="1" applyAlignment="1">
      <alignment horizontal="center" vertical="center"/>
    </xf>
    <xf numFmtId="170" fontId="63" fillId="0" borderId="29" xfId="43" applyNumberFormat="1" applyFont="1" applyFill="1" applyBorder="1" applyAlignment="1">
      <alignment horizontal="center" vertical="center"/>
    </xf>
    <xf numFmtId="170" fontId="63" fillId="0" borderId="0" xfId="43" applyNumberFormat="1" applyFont="1" applyFill="1" applyBorder="1" applyAlignment="1">
      <alignment horizontal="center" vertical="center"/>
    </xf>
    <xf numFmtId="170" fontId="53" fillId="0" borderId="23" xfId="43" applyNumberFormat="1" applyFont="1" applyFill="1" applyBorder="1" applyAlignment="1">
      <alignment horizontal="center" vertical="center"/>
    </xf>
    <xf numFmtId="0" fontId="76" fillId="0" borderId="12" xfId="2" applyNumberFormat="1" applyFont="1" applyFill="1" applyBorder="1" applyAlignment="1" applyProtection="1">
      <alignment horizontal="center" readingOrder="2"/>
      <protection locked="0"/>
    </xf>
    <xf numFmtId="164" fontId="77" fillId="0" borderId="23" xfId="2" applyFont="1" applyFill="1" applyBorder="1"/>
    <xf numFmtId="37" fontId="53" fillId="0" borderId="29" xfId="2" applyNumberFormat="1" applyFont="1" applyFill="1" applyBorder="1" applyAlignment="1" applyProtection="1"/>
    <xf numFmtId="37" fontId="53" fillId="0" borderId="29" xfId="2" applyNumberFormat="1" applyFont="1" applyFill="1" applyBorder="1" applyAlignment="1" applyProtection="1">
      <protection locked="0"/>
    </xf>
    <xf numFmtId="3" fontId="53" fillId="0" borderId="29" xfId="2" applyNumberFormat="1" applyFont="1" applyFill="1" applyBorder="1" applyAlignment="1"/>
    <xf numFmtId="3" fontId="53" fillId="0" borderId="29" xfId="2" applyNumberFormat="1" applyFont="1" applyFill="1" applyBorder="1" applyAlignment="1">
      <alignment wrapText="1"/>
    </xf>
    <xf numFmtId="3" fontId="62" fillId="0" borderId="29" xfId="2" applyNumberFormat="1" applyFont="1" applyFill="1" applyBorder="1" applyAlignment="1"/>
    <xf numFmtId="3" fontId="63" fillId="0" borderId="29" xfId="2" applyNumberFormat="1" applyFont="1" applyFill="1" applyBorder="1" applyAlignment="1"/>
    <xf numFmtId="164" fontId="63" fillId="0" borderId="29" xfId="2" applyFont="1" applyFill="1" applyBorder="1" applyAlignment="1"/>
    <xf numFmtId="164" fontId="76" fillId="0" borderId="55" xfId="2" applyFont="1" applyFill="1" applyBorder="1" applyAlignment="1">
      <alignment horizontal="center"/>
    </xf>
    <xf numFmtId="164" fontId="76" fillId="0" borderId="56" xfId="2" applyFont="1" applyFill="1" applyBorder="1" applyAlignment="1">
      <alignment horizontal="center"/>
    </xf>
    <xf numFmtId="164" fontId="76" fillId="0" borderId="26" xfId="2" applyFont="1" applyFill="1" applyBorder="1" applyAlignment="1" applyProtection="1">
      <alignment horizontal="center"/>
      <protection locked="0"/>
    </xf>
    <xf numFmtId="49" fontId="63" fillId="0" borderId="29" xfId="2" applyNumberFormat="1" applyFont="1" applyFill="1" applyBorder="1"/>
    <xf numFmtId="171" fontId="53" fillId="0" borderId="0" xfId="43" applyNumberFormat="1" applyFont="1" applyFill="1"/>
    <xf numFmtId="170" fontId="63" fillId="0" borderId="0" xfId="43" applyNumberFormat="1" applyFont="1" applyFill="1" applyBorder="1" applyAlignment="1"/>
    <xf numFmtId="170" fontId="63" fillId="0" borderId="0" xfId="43" applyNumberFormat="1" applyFont="1" applyFill="1" applyBorder="1" applyAlignment="1">
      <alignment horizontal="center"/>
    </xf>
    <xf numFmtId="170" fontId="63" fillId="0" borderId="34" xfId="43" applyNumberFormat="1" applyFont="1" applyFill="1" applyBorder="1"/>
    <xf numFmtId="170" fontId="53" fillId="0" borderId="0" xfId="43" applyNumberFormat="1" applyFont="1" applyFill="1"/>
    <xf numFmtId="172" fontId="63" fillId="0" borderId="0" xfId="43" applyNumberFormat="1" applyFont="1" applyFill="1" applyBorder="1"/>
    <xf numFmtId="170" fontId="64" fillId="0" borderId="0" xfId="43" applyNumberFormat="1" applyFont="1" applyFill="1" applyBorder="1" applyAlignment="1">
      <alignment horizontal="right"/>
    </xf>
    <xf numFmtId="3" fontId="63" fillId="0" borderId="0" xfId="2" applyNumberFormat="1" applyFont="1" applyFill="1" applyBorder="1" applyAlignment="1">
      <alignment horizontal="right"/>
    </xf>
    <xf numFmtId="170" fontId="66" fillId="0" borderId="0" xfId="43" applyNumberFormat="1" applyFont="1" applyFill="1" applyBorder="1" applyAlignment="1">
      <alignment horizontal="right"/>
    </xf>
    <xf numFmtId="170" fontId="64" fillId="0" borderId="26" xfId="43" applyNumberFormat="1" applyFont="1" applyFill="1" applyBorder="1" applyAlignment="1">
      <alignment horizontal="center"/>
    </xf>
    <xf numFmtId="164" fontId="62" fillId="0" borderId="26" xfId="2" applyFont="1" applyFill="1" applyBorder="1" applyAlignment="1"/>
    <xf numFmtId="170" fontId="0" fillId="0" borderId="0" xfId="43" applyNumberFormat="1" applyFont="1"/>
    <xf numFmtId="170" fontId="66" fillId="0" borderId="0" xfId="43" applyNumberFormat="1" applyFont="1" applyFill="1" applyBorder="1"/>
    <xf numFmtId="173" fontId="53" fillId="0" borderId="0" xfId="43" applyNumberFormat="1" applyFont="1" applyFill="1"/>
    <xf numFmtId="37" fontId="53" fillId="0" borderId="5" xfId="2" applyNumberFormat="1" applyFont="1" applyFill="1" applyBorder="1" applyAlignment="1" applyProtection="1">
      <alignment horizontal="center"/>
      <protection locked="0"/>
    </xf>
    <xf numFmtId="0" fontId="56" fillId="0" borderId="57" xfId="2" applyNumberFormat="1" applyFont="1" applyBorder="1" applyAlignment="1">
      <alignment horizontal="center" wrapText="1" readingOrder="2"/>
    </xf>
    <xf numFmtId="0" fontId="56" fillId="0" borderId="16" xfId="2" applyNumberFormat="1" applyFont="1" applyBorder="1" applyAlignment="1">
      <alignment horizontal="center" wrapText="1" readingOrder="2"/>
    </xf>
    <xf numFmtId="0" fontId="56" fillId="0" borderId="17" xfId="2" applyNumberFormat="1" applyFont="1" applyBorder="1" applyAlignment="1">
      <alignment horizontal="center" wrapText="1" readingOrder="2"/>
    </xf>
    <xf numFmtId="0" fontId="60" fillId="0" borderId="57" xfId="2" applyNumberFormat="1" applyFont="1" applyFill="1" applyBorder="1" applyAlignment="1">
      <alignment horizontal="center" wrapText="1" readingOrder="2"/>
    </xf>
    <xf numFmtId="0" fontId="60" fillId="0" borderId="17" xfId="2" applyNumberFormat="1" applyFont="1" applyFill="1" applyBorder="1" applyAlignment="1">
      <alignment horizontal="center" wrapText="1" readingOrder="2"/>
    </xf>
    <xf numFmtId="0" fontId="56" fillId="0" borderId="1" xfId="2" applyNumberFormat="1" applyFont="1" applyBorder="1" applyAlignment="1">
      <alignment horizontal="center" wrapText="1" readingOrder="2"/>
    </xf>
    <xf numFmtId="0" fontId="60" fillId="0" borderId="1" xfId="2" applyNumberFormat="1" applyFont="1" applyFill="1" applyBorder="1" applyAlignment="1">
      <alignment horizontal="center" wrapText="1" readingOrder="2"/>
    </xf>
    <xf numFmtId="166" fontId="62" fillId="0" borderId="5" xfId="2" applyNumberFormat="1" applyFont="1" applyFill="1" applyBorder="1" applyAlignment="1" applyProtection="1">
      <alignment horizontal="center"/>
      <protection locked="0"/>
    </xf>
    <xf numFmtId="170" fontId="64" fillId="0" borderId="34" xfId="43" applyNumberFormat="1" applyFont="1" applyFill="1" applyBorder="1" applyAlignment="1">
      <alignment horizontal="center"/>
    </xf>
    <xf numFmtId="170" fontId="81" fillId="0" borderId="0" xfId="43" applyNumberFormat="1" applyFont="1" applyFill="1" applyBorder="1" applyAlignment="1">
      <alignment horizontal="right"/>
    </xf>
    <xf numFmtId="170" fontId="66" fillId="0" borderId="34" xfId="43" applyNumberFormat="1" applyFont="1" applyFill="1" applyBorder="1" applyAlignment="1">
      <alignment horizontal="center"/>
    </xf>
    <xf numFmtId="170" fontId="64" fillId="0" borderId="0" xfId="43" applyNumberFormat="1" applyFont="1" applyFill="1" applyBorder="1"/>
    <xf numFmtId="174" fontId="53" fillId="0" borderId="0" xfId="43" applyNumberFormat="1" applyFont="1" applyFill="1"/>
    <xf numFmtId="170" fontId="62" fillId="0" borderId="0" xfId="43" applyNumberFormat="1" applyFont="1" applyFill="1"/>
    <xf numFmtId="170" fontId="82" fillId="0" borderId="0" xfId="43" applyNumberFormat="1" applyFont="1" applyFill="1"/>
    <xf numFmtId="170" fontId="83" fillId="0" borderId="0" xfId="43" applyNumberFormat="1" applyFont="1" applyFill="1" applyBorder="1"/>
    <xf numFmtId="170" fontId="83" fillId="0" borderId="34" xfId="43" applyNumberFormat="1" applyFont="1" applyFill="1" applyBorder="1" applyAlignment="1">
      <alignment horizontal="center" vertical="center"/>
    </xf>
    <xf numFmtId="164" fontId="82" fillId="0" borderId="0" xfId="2" applyFont="1" applyFill="1" applyBorder="1"/>
    <xf numFmtId="170" fontId="82" fillId="0" borderId="26" xfId="43" applyNumberFormat="1" applyFont="1" applyFill="1" applyBorder="1" applyAlignment="1">
      <alignment horizontal="center"/>
    </xf>
    <xf numFmtId="170" fontId="64" fillId="0" borderId="34" xfId="43" applyNumberFormat="1" applyFont="1" applyFill="1" applyBorder="1" applyAlignment="1">
      <alignment horizontal="center" vertical="center"/>
    </xf>
    <xf numFmtId="170" fontId="66" fillId="0" borderId="34" xfId="43" applyNumberFormat="1" applyFont="1" applyFill="1" applyBorder="1" applyAlignment="1">
      <alignment horizontal="center" vertical="center"/>
    </xf>
    <xf numFmtId="43" fontId="0" fillId="0" borderId="0" xfId="43" applyFont="1"/>
    <xf numFmtId="37" fontId="53" fillId="0" borderId="1" xfId="2" applyNumberFormat="1" applyFont="1" applyFill="1" applyBorder="1" applyAlignment="1" applyProtection="1">
      <alignment horizontal="center"/>
      <protection locked="0"/>
    </xf>
    <xf numFmtId="0" fontId="0" fillId="0" borderId="58" xfId="0" applyBorder="1"/>
    <xf numFmtId="0" fontId="76" fillId="0" borderId="1" xfId="2" applyNumberFormat="1" applyFont="1" applyBorder="1" applyAlignment="1">
      <alignment horizontal="center" readingOrder="2"/>
    </xf>
    <xf numFmtId="37" fontId="53" fillId="0" borderId="18" xfId="2" applyNumberFormat="1" applyFont="1" applyFill="1" applyBorder="1" applyAlignment="1" applyProtection="1">
      <alignment horizontal="center"/>
      <protection locked="0"/>
    </xf>
    <xf numFmtId="171" fontId="64" fillId="0" borderId="0" xfId="43" applyNumberFormat="1" applyFont="1" applyFill="1" applyBorder="1" applyAlignment="1">
      <alignment horizontal="center"/>
    </xf>
    <xf numFmtId="0" fontId="36" fillId="3" borderId="2" xfId="1" applyFont="1" applyFill="1" applyBorder="1" applyAlignment="1">
      <alignment wrapText="1"/>
    </xf>
    <xf numFmtId="0" fontId="36" fillId="3" borderId="3" xfId="1" applyFont="1" applyFill="1" applyBorder="1" applyAlignment="1">
      <alignment wrapText="1"/>
    </xf>
    <xf numFmtId="0" fontId="33" fillId="0" borderId="0" xfId="1" applyFont="1" applyAlignment="1"/>
    <xf numFmtId="0" fontId="35" fillId="2" borderId="2" xfId="1" applyNumberFormat="1" applyFont="1" applyFill="1" applyBorder="1" applyAlignment="1">
      <alignment horizontal="center"/>
    </xf>
    <xf numFmtId="0" fontId="35" fillId="2" borderId="25" xfId="1" applyNumberFormat="1" applyFont="1" applyFill="1" applyBorder="1" applyAlignment="1">
      <alignment horizontal="center"/>
    </xf>
    <xf numFmtId="0" fontId="35" fillId="2" borderId="3" xfId="1" applyNumberFormat="1" applyFont="1" applyFill="1" applyBorder="1" applyAlignment="1">
      <alignment horizontal="center"/>
    </xf>
    <xf numFmtId="0" fontId="35" fillId="2" borderId="25" xfId="1" applyFont="1" applyFill="1" applyBorder="1" applyAlignment="1">
      <alignment horizontal="center"/>
    </xf>
    <xf numFmtId="0" fontId="35" fillId="2" borderId="30" xfId="1" applyFont="1" applyFill="1" applyBorder="1" applyAlignment="1">
      <alignment horizontal="center"/>
    </xf>
    <xf numFmtId="0" fontId="35" fillId="2" borderId="31" xfId="1" applyFont="1" applyFill="1" applyBorder="1" applyAlignment="1">
      <alignment horizontal="center"/>
    </xf>
    <xf numFmtId="0" fontId="35" fillId="2" borderId="2" xfId="1" applyFont="1" applyFill="1" applyBorder="1" applyAlignment="1">
      <alignment horizontal="center"/>
    </xf>
    <xf numFmtId="0" fontId="37" fillId="4" borderId="11" xfId="1" applyFont="1" applyFill="1" applyBorder="1" applyAlignment="1">
      <alignment vertical="center" textRotation="180"/>
    </xf>
    <xf numFmtId="0" fontId="37" fillId="4" borderId="32" xfId="1" applyFont="1" applyFill="1" applyBorder="1" applyAlignment="1">
      <alignment vertical="center" textRotation="180"/>
    </xf>
    <xf numFmtId="0" fontId="30" fillId="0" borderId="33" xfId="1" applyBorder="1" applyAlignment="1"/>
    <xf numFmtId="0" fontId="30" fillId="0" borderId="18" xfId="1" applyBorder="1" applyAlignment="1"/>
    <xf numFmtId="0" fontId="37" fillId="4" borderId="18" xfId="1" applyFont="1" applyFill="1" applyBorder="1" applyAlignment="1">
      <alignment vertical="center" textRotation="180"/>
    </xf>
    <xf numFmtId="0" fontId="35" fillId="2" borderId="30" xfId="1" applyNumberFormat="1" applyFont="1" applyFill="1" applyBorder="1" applyAlignment="1">
      <alignment horizontal="center"/>
    </xf>
    <xf numFmtId="0" fontId="35" fillId="2" borderId="31" xfId="1" applyNumberFormat="1" applyFont="1" applyFill="1" applyBorder="1" applyAlignment="1">
      <alignment horizontal="center"/>
    </xf>
    <xf numFmtId="0" fontId="80" fillId="0" borderId="35" xfId="0" applyFont="1" applyBorder="1" applyAlignment="1">
      <alignment horizontal="center" vertical="center"/>
    </xf>
    <xf numFmtId="0" fontId="80" fillId="0" borderId="41" xfId="0" applyFont="1" applyBorder="1" applyAlignment="1">
      <alignment horizontal="center" vertical="center"/>
    </xf>
    <xf numFmtId="0" fontId="80" fillId="0" borderId="36" xfId="0" applyFont="1" applyBorder="1" applyAlignment="1">
      <alignment horizontal="center" vertical="center"/>
    </xf>
    <xf numFmtId="0" fontId="80" fillId="0" borderId="30" xfId="0" applyFont="1" applyBorder="1" applyAlignment="1">
      <alignment horizontal="center" vertical="center"/>
    </xf>
  </cellXfs>
  <cellStyles count="44">
    <cellStyle name="Comma" xfId="43" builtinId="3"/>
    <cellStyle name="Comma 2" xfId="24" xr:uid="{00000000-0005-0000-0000-000001000000}"/>
    <cellStyle name="Comma 2 2" xfId="36" xr:uid="{00000000-0005-0000-0000-000002000000}"/>
    <cellStyle name="Comma 3" xfId="27" xr:uid="{00000000-0005-0000-0000-000003000000}"/>
    <cellStyle name="Comma 4" xfId="29" xr:uid="{00000000-0005-0000-0000-000004000000}"/>
    <cellStyle name="Comma 5" xfId="32" xr:uid="{00000000-0005-0000-0000-000005000000}"/>
    <cellStyle name="Comma 6" xfId="34" xr:uid="{00000000-0005-0000-0000-000006000000}"/>
    <cellStyle name="Comma 7" xfId="40" xr:uid="{00000000-0005-0000-0000-000007000000}"/>
    <cellStyle name="Normal" xfId="0" builtinId="0"/>
    <cellStyle name="Normal 10" xfId="11" xr:uid="{00000000-0005-0000-0000-000009000000}"/>
    <cellStyle name="Normal 11" xfId="12" xr:uid="{00000000-0005-0000-0000-00000A000000}"/>
    <cellStyle name="Normal 12" xfId="13" xr:uid="{00000000-0005-0000-0000-00000B000000}"/>
    <cellStyle name="Normal 13" xfId="14" xr:uid="{00000000-0005-0000-0000-00000C000000}"/>
    <cellStyle name="Normal 14" xfId="15" xr:uid="{00000000-0005-0000-0000-00000D000000}"/>
    <cellStyle name="Normal 15" xfId="16" xr:uid="{00000000-0005-0000-0000-00000E000000}"/>
    <cellStyle name="Normal 16" xfId="17" xr:uid="{00000000-0005-0000-0000-00000F000000}"/>
    <cellStyle name="Normal 17" xfId="18" xr:uid="{00000000-0005-0000-0000-000010000000}"/>
    <cellStyle name="Normal 18" xfId="19" xr:uid="{00000000-0005-0000-0000-000011000000}"/>
    <cellStyle name="Normal 19" xfId="20" xr:uid="{00000000-0005-0000-0000-000012000000}"/>
    <cellStyle name="Normal 2" xfId="3" xr:uid="{00000000-0005-0000-0000-000013000000}"/>
    <cellStyle name="Normal 2 2" xfId="37" xr:uid="{00000000-0005-0000-0000-000014000000}"/>
    <cellStyle name="Normal 20" xfId="21" xr:uid="{00000000-0005-0000-0000-000015000000}"/>
    <cellStyle name="Normal 21" xfId="22" xr:uid="{00000000-0005-0000-0000-000016000000}"/>
    <cellStyle name="Normal 22" xfId="23" xr:uid="{00000000-0005-0000-0000-000017000000}"/>
    <cellStyle name="Normal 23" xfId="25" xr:uid="{00000000-0005-0000-0000-000018000000}"/>
    <cellStyle name="Normal 24" xfId="26" xr:uid="{00000000-0005-0000-0000-000019000000}"/>
    <cellStyle name="Normal 25" xfId="28" xr:uid="{00000000-0005-0000-0000-00001A000000}"/>
    <cellStyle name="Normal 26" xfId="31" xr:uid="{00000000-0005-0000-0000-00001B000000}"/>
    <cellStyle name="Normal 27" xfId="33" xr:uid="{00000000-0005-0000-0000-00001C000000}"/>
    <cellStyle name="Normal 28" xfId="39" xr:uid="{00000000-0005-0000-0000-00001D000000}"/>
    <cellStyle name="Normal 29" xfId="41" xr:uid="{00000000-0005-0000-0000-00001E000000}"/>
    <cellStyle name="Normal 3" xfId="4" xr:uid="{00000000-0005-0000-0000-00001F000000}"/>
    <cellStyle name="Normal 3 2" xfId="35" xr:uid="{00000000-0005-0000-0000-000020000000}"/>
    <cellStyle name="Normal 30" xfId="42" xr:uid="{00000000-0005-0000-0000-000021000000}"/>
    <cellStyle name="Normal 4" xfId="5" xr:uid="{00000000-0005-0000-0000-000022000000}"/>
    <cellStyle name="Normal 5" xfId="6" xr:uid="{00000000-0005-0000-0000-000023000000}"/>
    <cellStyle name="Normal 6" xfId="7" xr:uid="{00000000-0005-0000-0000-000024000000}"/>
    <cellStyle name="Normal 7" xfId="8" xr:uid="{00000000-0005-0000-0000-000025000000}"/>
    <cellStyle name="Normal 8" xfId="9" xr:uid="{00000000-0005-0000-0000-000026000000}"/>
    <cellStyle name="Normal 9" xfId="10" xr:uid="{00000000-0005-0000-0000-000027000000}"/>
    <cellStyle name="Normal_1תנועת מטענים-חתך מטענים" xfId="1" xr:uid="{00000000-0005-0000-0000-000028000000}"/>
    <cellStyle name="Normal_פריקה וטעינת מטענים בנמלי ישראל" xfId="2" xr:uid="{00000000-0005-0000-0000-000029000000}"/>
    <cellStyle name="Percent" xfId="30" builtinId="5"/>
    <cellStyle name="Percent 2" xfId="38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3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 sz="1600" b="1" i="1" u="sng" strike="noStrike" baseline="0">
                <a:solidFill>
                  <a:srgbClr val="003366"/>
                </a:solidFill>
                <a:latin typeface="David" pitchFamily="34" charset="-79"/>
                <a:cs typeface="David" pitchFamily="34" charset="-79"/>
              </a:rPr>
              <a:t>סה"כ תנועת מטענים (באלפי טונות) בנמלי ישראל</a:t>
            </a:r>
            <a:r>
              <a:rPr lang="en-US" sz="1600" b="1" i="1" u="sng" strike="noStrike" baseline="0">
                <a:solidFill>
                  <a:srgbClr val="003366"/>
                </a:solidFill>
                <a:latin typeface="David" pitchFamily="34" charset="-79"/>
                <a:cs typeface="David" pitchFamily="34" charset="-79"/>
              </a:rPr>
              <a:t> </a:t>
            </a:r>
            <a:r>
              <a:rPr lang="he-IL" sz="1600" b="1" i="1" u="sng" strike="noStrike" baseline="0">
                <a:solidFill>
                  <a:srgbClr val="003366"/>
                </a:solidFill>
                <a:latin typeface="David" pitchFamily="34" charset="-79"/>
                <a:cs typeface="David" pitchFamily="34" charset="-79"/>
              </a:rPr>
              <a:t> </a:t>
            </a:r>
            <a:r>
              <a:rPr lang="en-US" sz="1600" b="1" i="1" u="sng" strike="noStrike" baseline="0">
                <a:solidFill>
                  <a:srgbClr val="003366"/>
                </a:solidFill>
                <a:latin typeface="David" pitchFamily="34" charset="-79"/>
                <a:cs typeface="David" pitchFamily="34" charset="-79"/>
              </a:rPr>
              <a:t>Q2/2021 - Q1/2016</a:t>
            </a:r>
          </a:p>
          <a:p>
            <a:pPr marL="0" marR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 b="1" i="1" u="sng" strike="noStrike" kern="1200" baseline="0">
                <a:solidFill>
                  <a:srgbClr val="003366"/>
                </a:solidFill>
                <a:latin typeface="Arial"/>
                <a:ea typeface="Arial"/>
                <a:cs typeface="Arial"/>
              </a:rPr>
              <a:t>Total Freight (thousands of tons) Israeli ports Q1/2016-Q2/2021</a:t>
            </a:r>
            <a:endParaRPr lang="en-US" sz="1400" b="1" i="1" u="sng" strike="noStrike" baseline="0">
              <a:solidFill>
                <a:srgbClr val="003366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23511278848764594"/>
          <c:y val="1.299426372608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34436401240951"/>
          <c:y val="0.16663857911426233"/>
          <c:w val="0.85625646328852323"/>
          <c:h val="0.68312751630028201"/>
        </c:manualLayout>
      </c:layout>
      <c:lineChart>
        <c:grouping val="standard"/>
        <c:varyColors val="0"/>
        <c:ser>
          <c:idx val="0"/>
          <c:order val="0"/>
          <c:tx>
            <c:strRef>
              <c:f>גיליון3!$B$4</c:f>
              <c:strCache>
                <c:ptCount val="1"/>
                <c:pt idx="0">
                  <c:v>תחום נמל חיפה 
Haifa port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0104525455517634E-2"/>
                  <c:y val="-2.5985319631656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6A-4291-B2FF-1715B4315A42}"/>
                </c:ext>
              </c:extLst>
            </c:dLbl>
            <c:dLbl>
              <c:idx val="1"/>
              <c:layout>
                <c:manualLayout>
                  <c:x val="-2.6887280248190402E-2"/>
                  <c:y val="-2.3161706481605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6A-4291-B2FF-1715B4315A42}"/>
                </c:ext>
              </c:extLst>
            </c:dLbl>
            <c:dLbl>
              <c:idx val="2"/>
              <c:layout>
                <c:manualLayout>
                  <c:x val="-2.9184469182731473E-2"/>
                  <c:y val="5.98728043609933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6A-4291-B2FF-1715B4315A42}"/>
                </c:ext>
              </c:extLst>
            </c:dLbl>
            <c:dLbl>
              <c:idx val="3"/>
              <c:layout>
                <c:manualLayout>
                  <c:x val="-3.6651642682595735E-2"/>
                  <c:y val="-2.1810132896283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6A-4291-B2FF-1715B4315A42}"/>
                </c:ext>
              </c:extLst>
            </c:dLbl>
            <c:dLbl>
              <c:idx val="4"/>
              <c:layout>
                <c:manualLayout>
                  <c:x val="-3.619441571871769E-2"/>
                  <c:y val="-1.7342586413986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6A-4291-B2FF-1715B4315A42}"/>
                </c:ext>
              </c:extLst>
            </c:dLbl>
            <c:dLbl>
              <c:idx val="5"/>
              <c:layout>
                <c:manualLayout>
                  <c:x val="-3.332187923252096E-2"/>
                  <c:y val="-2.0115841452021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6A-4291-B2FF-1715B4315A42}"/>
                </c:ext>
              </c:extLst>
            </c:dLbl>
            <c:dLbl>
              <c:idx val="6"/>
              <c:layout>
                <c:manualLayout>
                  <c:x val="-3.5964573714738608E-2"/>
                  <c:y val="-2.2644957515903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6A-4291-B2FF-1715B4315A42}"/>
                </c:ext>
              </c:extLst>
            </c:dLbl>
            <c:dLbl>
              <c:idx val="7"/>
              <c:layout>
                <c:manualLayout>
                  <c:x val="-2.9300241296104791E-2"/>
                  <c:y val="-2.144597179589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6A-4291-B2FF-1715B4315A42}"/>
                </c:ext>
              </c:extLst>
            </c:dLbl>
            <c:dLbl>
              <c:idx val="8"/>
              <c:layout>
                <c:manualLayout>
                  <c:x val="-2.815124841556188E-2"/>
                  <c:y val="-2.7672227412252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6A-4291-B2FF-1715B4315A42}"/>
                </c:ext>
              </c:extLst>
            </c:dLbl>
            <c:dLbl>
              <c:idx val="9"/>
              <c:layout>
                <c:manualLayout>
                  <c:x val="-2.5968020801949827E-2"/>
                  <c:y val="-2.53171404421904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6A-4291-B2FF-1715B4315A42}"/>
                </c:ext>
              </c:extLst>
            </c:dLbl>
            <c:dLbl>
              <c:idx val="10"/>
              <c:layout>
                <c:manualLayout>
                  <c:x val="-2.7921406411582181E-2"/>
                  <c:y val="-2.03247475421504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6A-4291-B2FF-1715B4315A42}"/>
                </c:ext>
              </c:extLst>
            </c:dLbl>
            <c:dLbl>
              <c:idx val="11"/>
              <c:layout>
                <c:manualLayout>
                  <c:x val="-2.9188704860168339E-2"/>
                  <c:y val="-2.03416824028218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6A-4291-B2FF-1715B4315A42}"/>
                </c:ext>
              </c:extLst>
            </c:dLbl>
            <c:dLbl>
              <c:idx val="12"/>
              <c:layout>
                <c:manualLayout>
                  <c:x val="-3.0793942897779664E-2"/>
                  <c:y val="-2.6196183104230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56A-4291-B2FF-1715B4315A42}"/>
                </c:ext>
              </c:extLst>
            </c:dLbl>
            <c:dLbl>
              <c:idx val="13"/>
              <c:layout>
                <c:manualLayout>
                  <c:x val="-3.8262668045501554E-2"/>
                  <c:y val="-2.7682548156056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56A-4291-B2FF-1715B4315A42}"/>
                </c:ext>
              </c:extLst>
            </c:dLbl>
            <c:dLbl>
              <c:idx val="14"/>
              <c:layout>
                <c:manualLayout>
                  <c:x val="-3.1250285093673662E-2"/>
                  <c:y val="-2.5818576976520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56A-4291-B2FF-1715B4315A42}"/>
                </c:ext>
              </c:extLst>
            </c:dLbl>
            <c:dLbl>
              <c:idx val="15"/>
              <c:layout>
                <c:manualLayout>
                  <c:x val="-3.3896321387954634E-2"/>
                  <c:y val="-1.7798300636149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56A-4291-B2FF-1715B4315A42}"/>
                </c:ext>
              </c:extLst>
            </c:dLbl>
            <c:dLbl>
              <c:idx val="16"/>
              <c:layout>
                <c:manualLayout>
                  <c:x val="-2.8954547922888943E-2"/>
                  <c:y val="-2.22362561014714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56A-4291-B2FF-1715B4315A42}"/>
                </c:ext>
              </c:extLst>
            </c:dLbl>
            <c:dLbl>
              <c:idx val="17"/>
              <c:layout>
                <c:manualLayout>
                  <c:x val="-2.125560684224817E-2"/>
                  <c:y val="-2.4616631631453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56A-4291-B2FF-1715B4315A42}"/>
                </c:ext>
              </c:extLst>
            </c:dLbl>
            <c:dLbl>
              <c:idx val="18"/>
              <c:layout>
                <c:manualLayout>
                  <c:x val="-2.3437415150692271E-2"/>
                  <c:y val="1.5872911248084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56A-4291-B2FF-1715B4315A42}"/>
                </c:ext>
              </c:extLst>
            </c:dLbl>
            <c:dLbl>
              <c:idx val="19"/>
              <c:layout>
                <c:manualLayout>
                  <c:x val="-2.6195927233233791E-2"/>
                  <c:y val="-1.5814123347703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56A-4291-B2FF-1715B4315A42}"/>
                </c:ext>
              </c:extLst>
            </c:dLbl>
            <c:dLbl>
              <c:idx val="20"/>
              <c:layout>
                <c:manualLayout>
                  <c:x val="-3.3092037228541885E-2"/>
                  <c:y val="-3.1638418079096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56A-4291-B2FF-1715B4315A42}"/>
                </c:ext>
              </c:extLst>
            </c:dLbl>
            <c:dLbl>
              <c:idx val="21"/>
              <c:layout>
                <c:manualLayout>
                  <c:x val="-2.4819027921406452E-2"/>
                  <c:y val="-3.1638418079096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56A-4291-B2FF-1715B4315A42}"/>
                </c:ext>
              </c:extLst>
            </c:dLbl>
            <c:dLbl>
              <c:idx val="22"/>
              <c:layout>
                <c:manualLayout>
                  <c:x val="-3.0335921802878196E-2"/>
                  <c:y val="-1.3544019667224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56A-4291-B2FF-1715B4315A42}"/>
                </c:ext>
              </c:extLst>
            </c:dLbl>
            <c:dLbl>
              <c:idx val="23"/>
              <c:layout>
                <c:manualLayout>
                  <c:x val="-1.517045886505587E-2"/>
                  <c:y val="-9.019132789396800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56A-4291-B2FF-1715B4315A42}"/>
                </c:ext>
              </c:extLst>
            </c:dLbl>
            <c:dLbl>
              <c:idx val="24"/>
              <c:layout>
                <c:manualLayout>
                  <c:x val="-2.3448275862068983E-2"/>
                  <c:y val="-2.262443438914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56A-4291-B2FF-1715B4315A42}"/>
                </c:ext>
              </c:extLst>
            </c:dLbl>
            <c:dLbl>
              <c:idx val="25"/>
              <c:layout>
                <c:manualLayout>
                  <c:x val="-3.0344936193320782E-2"/>
                  <c:y val="-2.4886877828054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56A-4291-B2FF-1715B4315A42}"/>
                </c:ext>
              </c:extLst>
            </c:dLbl>
            <c:dLbl>
              <c:idx val="26"/>
              <c:layout>
                <c:manualLayout>
                  <c:x val="-2.6206896551724274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56A-4291-B2FF-1715B4315A42}"/>
                </c:ext>
              </c:extLst>
            </c:dLbl>
            <c:dLbl>
              <c:idx val="27"/>
              <c:layout>
                <c:manualLayout>
                  <c:x val="-2.0689655172413821E-2"/>
                  <c:y val="-2.262443438914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56A-4291-B2FF-1715B4315A4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גיליון3!$A$5:$A$74</c:f>
              <c:strCache>
                <c:ptCount val="2"/>
                <c:pt idx="0">
                  <c:v>Q1-2021</c:v>
                </c:pt>
                <c:pt idx="1">
                  <c:v>Q2-2021</c:v>
                </c:pt>
              </c:strCache>
            </c:strRef>
          </c:cat>
          <c:val>
            <c:numRef>
              <c:f>גיליון3!$B$5:$B$74</c:f>
              <c:numCache>
                <c:formatCode>#,##0</c:formatCode>
                <c:ptCount val="2"/>
                <c:pt idx="0">
                  <c:v>6756.695256</c:v>
                </c:pt>
                <c:pt idx="1">
                  <c:v>7230.7219180000002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256A-4291-B2FF-1715B4315A42}"/>
            </c:ext>
          </c:extLst>
        </c:ser>
        <c:ser>
          <c:idx val="1"/>
          <c:order val="1"/>
          <c:tx>
            <c:strRef>
              <c:f>גיליון3!$E$4</c:f>
              <c:strCache>
                <c:ptCount val="1"/>
                <c:pt idx="0">
                  <c:v>תחום נמל אשדוד 
Ashdod port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655661145805049E-2"/>
                  <c:y val="1.9395731642142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56A-4291-B2FF-1715B4315A42}"/>
                </c:ext>
              </c:extLst>
            </c:dLbl>
            <c:dLbl>
              <c:idx val="1"/>
              <c:layout>
                <c:manualLayout>
                  <c:x val="-2.8611783871843606E-2"/>
                  <c:y val="-1.83646274984857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56A-4291-B2FF-1715B4315A42}"/>
                </c:ext>
              </c:extLst>
            </c:dLbl>
            <c:dLbl>
              <c:idx val="2"/>
              <c:layout>
                <c:manualLayout>
                  <c:x val="-3.1253626905737089E-2"/>
                  <c:y val="2.7747141776770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56A-4291-B2FF-1715B4315A42}"/>
                </c:ext>
              </c:extLst>
            </c:dLbl>
            <c:dLbl>
              <c:idx val="3"/>
              <c:layout>
                <c:manualLayout>
                  <c:x val="-3.3903882704317115E-2"/>
                  <c:y val="-1.1896889585634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56A-4291-B2FF-1715B4315A42}"/>
                </c:ext>
              </c:extLst>
            </c:dLbl>
            <c:dLbl>
              <c:idx val="4"/>
              <c:layout>
                <c:manualLayout>
                  <c:x val="-3.3092037228541885E-2"/>
                  <c:y val="2.1965211975621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56A-4291-B2FF-1715B4315A42}"/>
                </c:ext>
              </c:extLst>
            </c:dLbl>
            <c:dLbl>
              <c:idx val="5"/>
              <c:layout>
                <c:manualLayout>
                  <c:x val="-3.3666587953651621E-2"/>
                  <c:y val="-2.20746474487307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56A-4291-B2FF-1715B4315A42}"/>
                </c:ext>
              </c:extLst>
            </c:dLbl>
            <c:dLbl>
              <c:idx val="6"/>
              <c:layout>
                <c:manualLayout>
                  <c:x val="-2.3208471354873746E-2"/>
                  <c:y val="-1.3408985641500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56A-4291-B2FF-1715B4315A42}"/>
                </c:ext>
              </c:extLst>
            </c:dLbl>
            <c:dLbl>
              <c:idx val="7"/>
              <c:layout>
                <c:manualLayout>
                  <c:x val="-4.6540863426554335E-2"/>
                  <c:y val="1.3220686215128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56A-4291-B2FF-1715B4315A42}"/>
                </c:ext>
              </c:extLst>
            </c:dLbl>
            <c:dLbl>
              <c:idx val="8"/>
              <c:layout>
                <c:manualLayout>
                  <c:x val="-2.1597936464838395E-2"/>
                  <c:y val="1.3290340969822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56A-4291-B2FF-1715B4315A42}"/>
                </c:ext>
              </c:extLst>
            </c:dLbl>
            <c:dLbl>
              <c:idx val="9"/>
              <c:layout>
                <c:manualLayout>
                  <c:x val="-3.0793483573174064E-2"/>
                  <c:y val="-1.68516407168561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56A-4291-B2FF-1715B4315A42}"/>
                </c:ext>
              </c:extLst>
            </c:dLbl>
            <c:dLbl>
              <c:idx val="10"/>
              <c:layout>
                <c:manualLayout>
                  <c:x val="-4.8265870214499046E-2"/>
                  <c:y val="1.0452488687782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56A-4291-B2FF-1715B4315A42}"/>
                </c:ext>
              </c:extLst>
            </c:dLbl>
            <c:dLbl>
              <c:idx val="11"/>
              <c:layout>
                <c:manualLayout>
                  <c:x val="-4.2284305981917715E-2"/>
                  <c:y val="2.25034921482272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56A-4291-B2FF-1715B4315A42}"/>
                </c:ext>
              </c:extLst>
            </c:dLbl>
            <c:dLbl>
              <c:idx val="12"/>
              <c:layout>
                <c:manualLayout>
                  <c:x val="-3.2864078197121942E-2"/>
                  <c:y val="-8.045747675205772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56A-4291-B2FF-1715B4315A42}"/>
                </c:ext>
              </c:extLst>
            </c:dLbl>
            <c:dLbl>
              <c:idx val="13"/>
              <c:layout>
                <c:manualLayout>
                  <c:x val="-3.3435351615530816E-2"/>
                  <c:y val="1.877418320447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56A-4291-B2FF-1715B4315A42}"/>
                </c:ext>
              </c:extLst>
            </c:dLbl>
            <c:dLbl>
              <c:idx val="14"/>
              <c:layout>
                <c:manualLayout>
                  <c:x val="-2.1599891392886227E-2"/>
                  <c:y val="1.864912530730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56A-4291-B2FF-1715B4315A42}"/>
                </c:ext>
              </c:extLst>
            </c:dLbl>
            <c:dLbl>
              <c:idx val="15"/>
              <c:layout>
                <c:manualLayout>
                  <c:x val="-3.6657290252511569E-2"/>
                  <c:y val="-1.9217942779776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56A-4291-B2FF-1715B4315A42}"/>
                </c:ext>
              </c:extLst>
            </c:dLbl>
            <c:dLbl>
              <c:idx val="16"/>
              <c:layout>
                <c:manualLayout>
                  <c:x val="-3.4468531088786315E-2"/>
                  <c:y val="-2.2233762069334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56A-4291-B2FF-1715B4315A42}"/>
                </c:ext>
              </c:extLst>
            </c:dLbl>
            <c:dLbl>
              <c:idx val="17"/>
              <c:layout>
                <c:manualLayout>
                  <c:x val="-3.194547922888949E-2"/>
                  <c:y val="-1.8701856272490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56A-4291-B2FF-1715B4315A42}"/>
                </c:ext>
              </c:extLst>
            </c:dLbl>
            <c:dLbl>
              <c:idx val="18"/>
              <c:layout>
                <c:manualLayout>
                  <c:x val="-3.9986211651154811E-2"/>
                  <c:y val="2.2598870056497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56A-4291-B2FF-1715B4315A42}"/>
                </c:ext>
              </c:extLst>
            </c:dLbl>
            <c:dLbl>
              <c:idx val="19"/>
              <c:layout>
                <c:manualLayout>
                  <c:x val="-3.585251153950595E-2"/>
                  <c:y val="1.8073716464175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56A-4291-B2FF-1715B4315A42}"/>
                </c:ext>
              </c:extLst>
            </c:dLbl>
            <c:dLbl>
              <c:idx val="20"/>
              <c:layout>
                <c:manualLayout>
                  <c:x val="-2.7573825685582341E-2"/>
                  <c:y val="2.0384971674920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56A-4291-B2FF-1715B4315A42}"/>
                </c:ext>
              </c:extLst>
            </c:dLbl>
            <c:dLbl>
              <c:idx val="21"/>
              <c:layout>
                <c:manualLayout>
                  <c:x val="-3.0337225088243318E-2"/>
                  <c:y val="1.58575907649552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56A-4291-B2FF-1715B4315A42}"/>
                </c:ext>
              </c:extLst>
            </c:dLbl>
            <c:dLbl>
              <c:idx val="22"/>
              <c:layout>
                <c:manualLayout>
                  <c:x val="-2.4822373065435686E-2"/>
                  <c:y val="1.8117362026579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56A-4291-B2FF-1715B4315A42}"/>
                </c:ext>
              </c:extLst>
            </c:dLbl>
            <c:dLbl>
              <c:idx val="23"/>
              <c:layout>
                <c:manualLayout>
                  <c:x val="-2.2062340483301687E-2"/>
                  <c:y val="1.5859906651940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56A-4291-B2FF-1715B4315A42}"/>
                </c:ext>
              </c:extLst>
            </c:dLbl>
            <c:dLbl>
              <c:idx val="24"/>
              <c:layout>
                <c:manualLayout>
                  <c:x val="-3.7241379310344859E-2"/>
                  <c:y val="-1.8099547511312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56A-4291-B2FF-1715B4315A42}"/>
                </c:ext>
              </c:extLst>
            </c:dLbl>
            <c:dLbl>
              <c:idx val="25"/>
              <c:layout>
                <c:manualLayout>
                  <c:x val="-2.3448384469182834E-2"/>
                  <c:y val="-2.0361990950226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56A-4291-B2FF-1715B4315A42}"/>
                </c:ext>
              </c:extLst>
            </c:dLbl>
            <c:dLbl>
              <c:idx val="26"/>
              <c:layout>
                <c:manualLayout>
                  <c:x val="-2.0689655172413821E-2"/>
                  <c:y val="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56A-4291-B2FF-1715B4315A42}"/>
                </c:ext>
              </c:extLst>
            </c:dLbl>
            <c:dLbl>
              <c:idx val="27"/>
              <c:layout>
                <c:manualLayout>
                  <c:x val="-1.5172413793103448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56A-4291-B2FF-1715B4315A4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גיליון3!$A$5:$A$74</c:f>
              <c:strCache>
                <c:ptCount val="2"/>
                <c:pt idx="0">
                  <c:v>Q1-2021</c:v>
                </c:pt>
                <c:pt idx="1">
                  <c:v>Q2-2021</c:v>
                </c:pt>
              </c:strCache>
            </c:strRef>
          </c:cat>
          <c:val>
            <c:numRef>
              <c:f>גיליון3!$E$5:$E$74</c:f>
              <c:numCache>
                <c:formatCode>#,##0</c:formatCode>
                <c:ptCount val="2"/>
                <c:pt idx="0">
                  <c:v>6092.5160399999995</c:v>
                </c:pt>
                <c:pt idx="1">
                  <c:v>6102.208971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256A-4291-B2FF-1715B4315A42}"/>
            </c:ext>
          </c:extLst>
        </c:ser>
        <c:ser>
          <c:idx val="2"/>
          <c:order val="2"/>
          <c:tx>
            <c:strRef>
              <c:f>גיליון3!$G$4</c:f>
              <c:strCache>
                <c:ptCount val="1"/>
                <c:pt idx="0">
                  <c:v>נמל אילת 
Eilat port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2865642311774941E-2"/>
                  <c:y val="-2.1442412918724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56A-4291-B2FF-1715B4315A42}"/>
                </c:ext>
              </c:extLst>
            </c:dLbl>
            <c:dLbl>
              <c:idx val="1"/>
              <c:layout>
                <c:manualLayout>
                  <c:x val="-2.8955532574974803E-2"/>
                  <c:y val="-2.4810000444859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56A-4291-B2FF-1715B4315A42}"/>
                </c:ext>
              </c:extLst>
            </c:dLbl>
            <c:dLbl>
              <c:idx val="2"/>
              <c:layout>
                <c:manualLayout>
                  <c:x val="-2.3670035040862916E-2"/>
                  <c:y val="-2.2397259664576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56A-4291-B2FF-1715B4315A42}"/>
                </c:ext>
              </c:extLst>
            </c:dLbl>
            <c:dLbl>
              <c:idx val="3"/>
              <c:layout>
                <c:manualLayout>
                  <c:x val="-2.3555059754035369E-2"/>
                  <c:y val="-2.1959517772143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56A-4291-B2FF-1715B4315A42}"/>
                </c:ext>
              </c:extLst>
            </c:dLbl>
            <c:dLbl>
              <c:idx val="4"/>
              <c:layout>
                <c:manualLayout>
                  <c:x val="-2.2406066873491916E-2"/>
                  <c:y val="-2.1825526046532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56A-4291-B2FF-1715B4315A42}"/>
                </c:ext>
              </c:extLst>
            </c:dLbl>
            <c:dLbl>
              <c:idx val="5"/>
              <c:layout>
                <c:manualLayout>
                  <c:x val="-1.9188821666165111E-2"/>
                  <c:y val="-2.3488945237777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56A-4291-B2FF-1715B4315A42}"/>
                </c:ext>
              </c:extLst>
            </c:dLbl>
            <c:dLbl>
              <c:idx val="6"/>
              <c:layout>
                <c:manualLayout>
                  <c:x val="-2.3210351032904745E-2"/>
                  <c:y val="-2.4080074736420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56A-4291-B2FF-1715B4315A42}"/>
                </c:ext>
              </c:extLst>
            </c:dLbl>
            <c:dLbl>
              <c:idx val="7"/>
              <c:layout>
                <c:manualLayout>
                  <c:x val="-2.5163736642537037E-2"/>
                  <c:y val="-2.46667556385961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56A-4291-B2FF-1715B4315A42}"/>
                </c:ext>
              </c:extLst>
            </c:dLbl>
            <c:dLbl>
              <c:idx val="8"/>
              <c:layout>
                <c:manualLayout>
                  <c:x val="-1.8844112945033922E-2"/>
                  <c:y val="-2.3351038747275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56A-4291-B2FF-1715B4315A42}"/>
                </c:ext>
              </c:extLst>
            </c:dLbl>
            <c:dLbl>
              <c:idx val="9"/>
              <c:layout>
                <c:manualLayout>
                  <c:x val="-2.3899768475166606E-2"/>
                  <c:y val="-2.4565327639129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56A-4291-B2FF-1715B4315A42}"/>
                </c:ext>
              </c:extLst>
            </c:dLbl>
            <c:dLbl>
              <c:idx val="10"/>
              <c:layout>
                <c:manualLayout>
                  <c:x val="-2.5853154084798359E-2"/>
                  <c:y val="-2.7363138929667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56A-4291-B2FF-1715B4315A42}"/>
                </c:ext>
              </c:extLst>
            </c:dLbl>
            <c:dLbl>
              <c:idx val="11"/>
              <c:layout>
                <c:manualLayout>
                  <c:x val="-2.6772413793103456E-2"/>
                  <c:y val="2.0217337086257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56A-4291-B2FF-1715B4315A42}"/>
                </c:ext>
              </c:extLst>
            </c:dLbl>
            <c:dLbl>
              <c:idx val="12"/>
              <c:layout>
                <c:manualLayout>
                  <c:x val="-2.5623312080820419E-2"/>
                  <c:y val="-2.543227011877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56A-4291-B2FF-1715B4315A42}"/>
                </c:ext>
              </c:extLst>
            </c:dLbl>
            <c:dLbl>
              <c:idx val="13"/>
              <c:layout>
                <c:manualLayout>
                  <c:x val="-2.3095484315753187E-2"/>
                  <c:y val="-1.8004537568397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56A-4291-B2FF-1715B4315A42}"/>
                </c:ext>
              </c:extLst>
            </c:dLbl>
            <c:dLbl>
              <c:idx val="14"/>
              <c:layout>
                <c:manualLayout>
                  <c:x val="-2.8496877545479259E-2"/>
                  <c:y val="1.4963480243702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56A-4291-B2FF-1715B4315A42}"/>
                </c:ext>
              </c:extLst>
            </c:dLbl>
            <c:dLbl>
              <c:idx val="15"/>
              <c:layout>
                <c:manualLayout>
                  <c:x val="-2.4589185917427342E-2"/>
                  <c:y val="-3.3993505049156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256A-4291-B2FF-1715B4315A42}"/>
                </c:ext>
              </c:extLst>
            </c:dLbl>
            <c:dLbl>
              <c:idx val="16"/>
              <c:layout>
                <c:manualLayout>
                  <c:x val="-2.7231988969321809E-2"/>
                  <c:y val="-2.9954357400240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256A-4291-B2FF-1715B4315A42}"/>
                </c:ext>
              </c:extLst>
            </c:dLbl>
            <c:dLbl>
              <c:idx val="17"/>
              <c:layout>
                <c:manualLayout>
                  <c:x val="-2.6197862805929666E-2"/>
                  <c:y val="-2.9378709017305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256A-4291-B2FF-1715B4315A42}"/>
                </c:ext>
              </c:extLst>
            </c:dLbl>
            <c:dLbl>
              <c:idx val="18"/>
              <c:layout>
                <c:manualLayout>
                  <c:x val="-2.8955532574974796E-2"/>
                  <c:y val="-2.25988700564972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256A-4291-B2FF-1715B4315A42}"/>
                </c:ext>
              </c:extLst>
            </c:dLbl>
            <c:dLbl>
              <c:idx val="19"/>
              <c:layout>
                <c:manualLayout>
                  <c:x val="-2.3440193036883834E-2"/>
                  <c:y val="-2.9378531073446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256A-4291-B2FF-1715B4315A42}"/>
                </c:ext>
              </c:extLst>
            </c:dLbl>
            <c:dLbl>
              <c:idx val="20"/>
              <c:layout>
                <c:manualLayout>
                  <c:x val="-2.0680640781971255E-2"/>
                  <c:y val="1.8127694445434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256A-4291-B2FF-1715B4315A42}"/>
                </c:ext>
              </c:extLst>
            </c:dLbl>
            <c:dLbl>
              <c:idx val="21"/>
              <c:layout>
                <c:manualLayout>
                  <c:x val="-8.2710833559598226E-3"/>
                  <c:y val="1.358481490718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256A-4291-B2FF-1715B4315A42}"/>
                </c:ext>
              </c:extLst>
            </c:dLbl>
            <c:dLbl>
              <c:idx val="22"/>
              <c:layout>
                <c:manualLayout>
                  <c:x val="-1.6548900352973121E-2"/>
                  <c:y val="1.58422702818256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256A-4291-B2FF-1715B4315A42}"/>
                </c:ext>
              </c:extLst>
            </c:dLbl>
            <c:dLbl>
              <c:idx val="23"/>
              <c:layout>
                <c:manualLayout>
                  <c:x val="-2.20689655172416E-2"/>
                  <c:y val="1.8099547511312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256A-4291-B2FF-1715B4315A42}"/>
                </c:ext>
              </c:extLst>
            </c:dLbl>
            <c:dLbl>
              <c:idx val="24"/>
              <c:layout>
                <c:manualLayout>
                  <c:x val="-2.3448275862068983E-2"/>
                  <c:y val="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256A-4291-B2FF-1715B4315A42}"/>
                </c:ext>
              </c:extLst>
            </c:dLbl>
            <c:dLbl>
              <c:idx val="25"/>
              <c:layout>
                <c:manualLayout>
                  <c:x val="-1.2413901710561941E-2"/>
                  <c:y val="1.8099547511312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256A-4291-B2FF-1715B4315A42}"/>
                </c:ext>
              </c:extLst>
            </c:dLbl>
            <c:dLbl>
              <c:idx val="26"/>
              <c:layout>
                <c:manualLayout>
                  <c:x val="-1.2413793103448478E-2"/>
                  <c:y val="9.04977375565610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256A-4291-B2FF-1715B4315A42}"/>
                </c:ext>
              </c:extLst>
            </c:dLbl>
            <c:dLbl>
              <c:idx val="27"/>
              <c:layout>
                <c:manualLayout>
                  <c:x val="-1.6551724137931049E-2"/>
                  <c:y val="-4.0723981900452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256A-4291-B2FF-1715B4315A4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גיליון3!$A$5:$A$74</c:f>
              <c:strCache>
                <c:ptCount val="2"/>
                <c:pt idx="0">
                  <c:v>Q1-2021</c:v>
                </c:pt>
                <c:pt idx="1">
                  <c:v>Q2-2021</c:v>
                </c:pt>
              </c:strCache>
            </c:strRef>
          </c:cat>
          <c:val>
            <c:numRef>
              <c:f>גיליון3!$G$5:$G$74</c:f>
              <c:numCache>
                <c:formatCode>#,##0</c:formatCode>
                <c:ptCount val="2"/>
                <c:pt idx="0">
                  <c:v>404.05700000000002</c:v>
                </c:pt>
                <c:pt idx="1">
                  <c:v>507.96699999999998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56-256A-4291-B2FF-1715B4315A42}"/>
            </c:ext>
          </c:extLst>
        </c:ser>
        <c:ser>
          <c:idx val="3"/>
          <c:order val="3"/>
          <c:tx>
            <c:strRef>
              <c:f>גיליון3!#REF!</c:f>
              <c:strCache>
                <c:ptCount val="1"/>
                <c:pt idx="0">
                  <c:v>#REF!</c:v>
                </c:pt>
              </c:strCache>
            </c:strRef>
          </c:tx>
          <c:spPr>
            <a:ln w="381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41166092604508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256A-4291-B2FF-1715B4315A42}"/>
                </c:ext>
              </c:extLst>
            </c:dLbl>
            <c:dLbl>
              <c:idx val="1"/>
              <c:layout>
                <c:manualLayout>
                  <c:x val="-3.309203722854187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256A-4291-B2FF-1715B4315A42}"/>
                </c:ext>
              </c:extLst>
            </c:dLbl>
            <c:dLbl>
              <c:idx val="2"/>
              <c:layout>
                <c:manualLayout>
                  <c:x val="-2.573828736764677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256A-4291-B2FF-1715B4315A42}"/>
                </c:ext>
              </c:extLst>
            </c:dLbl>
            <c:dLbl>
              <c:idx val="3"/>
              <c:layout>
                <c:manualLayout>
                  <c:x val="-2.562331208082040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56A-4291-B2FF-1715B4315A42}"/>
                </c:ext>
              </c:extLst>
            </c:dLbl>
            <c:dLbl>
              <c:idx val="4"/>
              <c:layout>
                <c:manualLayout>
                  <c:x val="-2.861082385384351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56A-4291-B2FF-1715B4315A42}"/>
                </c:ext>
              </c:extLst>
            </c:dLbl>
            <c:dLbl>
              <c:idx val="5"/>
              <c:layout>
                <c:manualLayout>
                  <c:x val="-2.953008330008387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256A-4291-B2FF-1715B4315A42}"/>
                </c:ext>
              </c:extLst>
            </c:dLbl>
            <c:dLbl>
              <c:idx val="6"/>
              <c:layout>
                <c:manualLayout>
                  <c:x val="-3.8722243483783801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256A-4291-B2FF-1715B4315A42}"/>
                </c:ext>
              </c:extLst>
            </c:dLbl>
            <c:dLbl>
              <c:idx val="7"/>
              <c:layout>
                <c:manualLayout>
                  <c:x val="-4.584625991037580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256A-4291-B2FF-1715B4315A42}"/>
                </c:ext>
              </c:extLst>
            </c:dLbl>
            <c:dLbl>
              <c:idx val="8"/>
              <c:layout>
                <c:manualLayout>
                  <c:x val="-3.4700714117043542E-2"/>
                  <c:y val="2.03389830508474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56A-4291-B2FF-1715B4315A42}"/>
                </c:ext>
              </c:extLst>
            </c:dLbl>
            <c:dLbl>
              <c:idx val="9"/>
              <c:layout>
                <c:manualLayout>
                  <c:x val="-3.5619864993607961E-2"/>
                  <c:y val="2.2598870056497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256A-4291-B2FF-1715B4315A42}"/>
                </c:ext>
              </c:extLst>
            </c:dLbl>
            <c:dLbl>
              <c:idx val="10"/>
              <c:layout>
                <c:manualLayout>
                  <c:x val="-3.0679076180627898E-2"/>
                  <c:y val="2.2598870056497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256A-4291-B2FF-1715B4315A42}"/>
                </c:ext>
              </c:extLst>
            </c:dLbl>
            <c:dLbl>
              <c:idx val="11"/>
              <c:layout>
                <c:manualLayout>
                  <c:x val="-2.4702688026065706E-2"/>
                  <c:y val="-2.0379805465493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256A-4291-B2FF-1715B4315A42}"/>
                </c:ext>
              </c:extLst>
            </c:dLbl>
            <c:dLbl>
              <c:idx val="12"/>
              <c:layout>
                <c:manualLayout>
                  <c:x val="-2.7691564407603848E-2"/>
                  <c:y val="2.7053694559366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256A-4291-B2FF-1715B4315A42}"/>
                </c:ext>
              </c:extLst>
            </c:dLbl>
            <c:dLbl>
              <c:idx val="13"/>
              <c:layout>
                <c:manualLayout>
                  <c:x val="-2.6542571527059692E-2"/>
                  <c:y val="3.0223942346189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256A-4291-B2FF-1715B4315A42}"/>
                </c:ext>
              </c:extLst>
            </c:dLbl>
            <c:dLbl>
              <c:idx val="14"/>
              <c:layout>
                <c:manualLayout>
                  <c:x val="-2.2636872115123604E-2"/>
                  <c:y val="-1.7942957922114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256A-4291-B2FF-1715B4315A42}"/>
                </c:ext>
              </c:extLst>
            </c:dLbl>
            <c:dLbl>
              <c:idx val="15"/>
              <c:layout>
                <c:manualLayout>
                  <c:x val="-2.1142098706120886E-2"/>
                  <c:y val="2.3786645313403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256A-4291-B2FF-1715B4315A42}"/>
                </c:ext>
              </c:extLst>
            </c:dLbl>
            <c:dLbl>
              <c:idx val="16"/>
              <c:layout>
                <c:manualLayout>
                  <c:x val="-2.2750775594622602E-2"/>
                  <c:y val="2.7151385737799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256A-4291-B2FF-1715B4315A42}"/>
                </c:ext>
              </c:extLst>
            </c:dLbl>
            <c:dLbl>
              <c:idx val="17"/>
              <c:layout>
                <c:manualLayout>
                  <c:x val="-2.574162367635081E-2"/>
                  <c:y val="1.7610004631773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256A-4291-B2FF-1715B4315A42}"/>
                </c:ext>
              </c:extLst>
            </c:dLbl>
            <c:dLbl>
              <c:idx val="18"/>
              <c:layout>
                <c:manualLayout>
                  <c:x val="-2.3439261471626317E-2"/>
                  <c:y val="2.25886272134535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256A-4291-B2FF-1715B4315A42}"/>
                </c:ext>
              </c:extLst>
            </c:dLbl>
            <c:dLbl>
              <c:idx val="19"/>
              <c:layout>
                <c:manualLayout>
                  <c:x val="-2.3440238935650191E-2"/>
                  <c:y val="1.35440196672248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256A-4291-B2FF-1715B4315A42}"/>
                </c:ext>
              </c:extLst>
            </c:dLbl>
            <c:dLbl>
              <c:idx val="20"/>
              <c:layout>
                <c:manualLayout>
                  <c:x val="-2.4819549280477995E-2"/>
                  <c:y val="-2.2647415113834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256A-4291-B2FF-1715B4315A42}"/>
                </c:ext>
              </c:extLst>
            </c:dLbl>
            <c:dLbl>
              <c:idx val="21"/>
              <c:layout>
                <c:manualLayout>
                  <c:x val="-1.9307086614173144E-2"/>
                  <c:y val="-2.4915024762176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256A-4291-B2FF-1715B4315A42}"/>
                </c:ext>
              </c:extLst>
            </c:dLbl>
            <c:dLbl>
              <c:idx val="22"/>
              <c:layout>
                <c:manualLayout>
                  <c:x val="-2.0686288351887235E-2"/>
                  <c:y val="-1.8063740335625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256A-4291-B2FF-1715B4315A42}"/>
                </c:ext>
              </c:extLst>
            </c:dLbl>
            <c:dLbl>
              <c:idx val="23"/>
              <c:layout>
                <c:manualLayout>
                  <c:x val="-2.0684442030953046E-2"/>
                  <c:y val="-2.2596287455018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256A-4291-B2FF-1715B4315A42}"/>
                </c:ext>
              </c:extLst>
            </c:dLbl>
            <c:dLbl>
              <c:idx val="24"/>
              <c:layout>
                <c:manualLayout>
                  <c:x val="-1.793103448275862E-2"/>
                  <c:y val="-1.35746606334841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256A-4291-B2FF-1715B4315A42}"/>
                </c:ext>
              </c:extLst>
            </c:dLbl>
            <c:dLbl>
              <c:idx val="25"/>
              <c:layout>
                <c:manualLayout>
                  <c:x val="-1.9310453434699875E-2"/>
                  <c:y val="-1.5837104072398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256A-4291-B2FF-1715B4315A42}"/>
                </c:ext>
              </c:extLst>
            </c:dLbl>
            <c:dLbl>
              <c:idx val="26"/>
              <c:layout>
                <c:manualLayout>
                  <c:x val="-2.0689655172413925E-2"/>
                  <c:y val="-2.4886877828054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256A-4291-B2FF-1715B4315A42}"/>
                </c:ext>
              </c:extLst>
            </c:dLbl>
            <c:dLbl>
              <c:idx val="27"/>
              <c:layout>
                <c:manualLayout>
                  <c:x val="-9.655172413793104E-3"/>
                  <c:y val="-2.2624434389140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256A-4291-B2FF-1715B4315A4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C0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גיליון3!$A$5:$A$74</c:f>
              <c:strCache>
                <c:ptCount val="2"/>
                <c:pt idx="0">
                  <c:v>Q1-2021</c:v>
                </c:pt>
                <c:pt idx="1">
                  <c:v>Q2-2021</c:v>
                </c:pt>
              </c:strCache>
            </c:strRef>
          </c:cat>
          <c:val>
            <c:numRef>
              <c:f>גיליון3!#REF!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73-256A-4291-B2FF-1715B4315A42}"/>
            </c:ext>
          </c:extLst>
        </c:ser>
        <c:ser>
          <c:idx val="4"/>
          <c:order val="4"/>
          <c:tx>
            <c:strRef>
              <c:f>גיליון3!$H$4</c:f>
              <c:strCache>
                <c:ptCount val="1"/>
                <c:pt idx="0">
                  <c:v>כל הנמלים 
 Total ports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4240999185446659E-2"/>
                  <c:y val="2.038746570705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256A-4291-B2FF-1715B4315A42}"/>
                </c:ext>
              </c:extLst>
            </c:dLbl>
            <c:dLbl>
              <c:idx val="1"/>
              <c:layout>
                <c:manualLayout>
                  <c:x val="-2.7237686668476813E-2"/>
                  <c:y val="-2.5795418106673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256A-4291-B2FF-1715B4315A42}"/>
                </c:ext>
              </c:extLst>
            </c:dLbl>
            <c:dLbl>
              <c:idx val="2"/>
              <c:layout>
                <c:manualLayout>
                  <c:x val="-1.539462394786862E-2"/>
                  <c:y val="2.5968931485374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256A-4291-B2FF-1715B4315A42}"/>
                </c:ext>
              </c:extLst>
            </c:dLbl>
            <c:dLbl>
              <c:idx val="3"/>
              <c:layout>
                <c:manualLayout>
                  <c:x val="-3.7004507195221296E-2"/>
                  <c:y val="-2.360530159974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256A-4291-B2FF-1715B4315A42}"/>
                </c:ext>
              </c:extLst>
            </c:dLbl>
            <c:dLbl>
              <c:idx val="4"/>
              <c:layout>
                <c:manualLayout>
                  <c:x val="-2.2401737713820358E-2"/>
                  <c:y val="1.6565717746820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256A-4291-B2FF-1715B4315A42}"/>
                </c:ext>
              </c:extLst>
            </c:dLbl>
            <c:dLbl>
              <c:idx val="5"/>
              <c:layout>
                <c:manualLayout>
                  <c:x val="-3.1938311159380964E-2"/>
                  <c:y val="-1.3824063847222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256A-4291-B2FF-1715B4315A42}"/>
                </c:ext>
              </c:extLst>
            </c:dLbl>
            <c:dLbl>
              <c:idx val="6"/>
              <c:layout>
                <c:manualLayout>
                  <c:x val="-3.4930437143632961E-2"/>
                  <c:y val="2.29000249403213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256A-4291-B2FF-1715B4315A42}"/>
                </c:ext>
              </c:extLst>
            </c:dLbl>
            <c:dLbl>
              <c:idx val="7"/>
              <c:layout>
                <c:manualLayout>
                  <c:x val="-2.8265653000271517E-2"/>
                  <c:y val="-2.85401004738661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256A-4291-B2FF-1715B4315A42}"/>
                </c:ext>
              </c:extLst>
            </c:dLbl>
            <c:dLbl>
              <c:idx val="8"/>
              <c:layout>
                <c:manualLayout>
                  <c:x val="-4.1596307358132044E-2"/>
                  <c:y val="2.3228702746998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256A-4291-B2FF-1715B4315A42}"/>
                </c:ext>
              </c:extLst>
            </c:dLbl>
            <c:dLbl>
              <c:idx val="9"/>
              <c:layout>
                <c:manualLayout>
                  <c:x val="-4.1824621973959572E-2"/>
                  <c:y val="-2.5060723341785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256A-4291-B2FF-1715B4315A42}"/>
                </c:ext>
              </c:extLst>
            </c:dLbl>
            <c:dLbl>
              <c:idx val="10"/>
              <c:layout>
                <c:manualLayout>
                  <c:x val="-4.9293455691358116E-2"/>
                  <c:y val="2.53112682948530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256A-4291-B2FF-1715B4315A42}"/>
                </c:ext>
              </c:extLst>
            </c:dLbl>
            <c:dLbl>
              <c:idx val="11"/>
              <c:layout>
                <c:manualLayout>
                  <c:x val="-3.0567037740972032E-2"/>
                  <c:y val="2.1607938148003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256A-4291-B2FF-1715B4315A42}"/>
                </c:ext>
              </c:extLst>
            </c:dLbl>
            <c:dLbl>
              <c:idx val="12"/>
              <c:layout>
                <c:manualLayout>
                  <c:x val="-4.28587481373515E-2"/>
                  <c:y val="-2.2876640419948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256A-4291-B2FF-1715B4315A42}"/>
                </c:ext>
              </c:extLst>
            </c:dLbl>
            <c:dLbl>
              <c:idx val="13"/>
              <c:layout>
                <c:manualLayout>
                  <c:x val="-2.8258484930762932E-2"/>
                  <c:y val="-2.4887590408665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256A-4291-B2FF-1715B4315A42}"/>
                </c:ext>
              </c:extLst>
            </c:dLbl>
            <c:dLbl>
              <c:idx val="14"/>
              <c:layout>
                <c:manualLayout>
                  <c:x val="-2.125180559326649E-2"/>
                  <c:y val="2.5566501585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256A-4291-B2FF-1715B4315A42}"/>
                </c:ext>
              </c:extLst>
            </c:dLbl>
            <c:dLbl>
              <c:idx val="15"/>
              <c:layout>
                <c:manualLayout>
                  <c:x val="-4.1484224816725541E-2"/>
                  <c:y val="-2.5668400612819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256A-4291-B2FF-1715B4315A42}"/>
                </c:ext>
              </c:extLst>
            </c:dLbl>
            <c:dLbl>
              <c:idx val="16"/>
              <c:layout>
                <c:manualLayout>
                  <c:x val="-3.8260765680152048E-2"/>
                  <c:y val="2.23705775465849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256A-4291-B2FF-1715B4315A42}"/>
                </c:ext>
              </c:extLst>
            </c:dLbl>
            <c:dLbl>
              <c:idx val="17"/>
              <c:layout>
                <c:manualLayout>
                  <c:x val="-3.452457235948965E-2"/>
                  <c:y val="-2.4814016460612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256A-4291-B2FF-1715B4315A42}"/>
                </c:ext>
              </c:extLst>
            </c:dLbl>
            <c:dLbl>
              <c:idx val="18"/>
              <c:layout>
                <c:manualLayout>
                  <c:x val="-2.7578169970133046E-2"/>
                  <c:y val="-2.26066198738732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256A-4291-B2FF-1715B4315A42}"/>
                </c:ext>
              </c:extLst>
            </c:dLbl>
            <c:dLbl>
              <c:idx val="19"/>
              <c:layout>
                <c:manualLayout>
                  <c:x val="-3.4468531088786315E-2"/>
                  <c:y val="-2.7182634410517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256A-4291-B2FF-1715B4315A42}"/>
                </c:ext>
              </c:extLst>
            </c:dLbl>
            <c:dLbl>
              <c:idx val="20"/>
              <c:layout>
                <c:manualLayout>
                  <c:x val="-3.1709367363562349E-2"/>
                  <c:y val="-2.0334022161256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256A-4291-B2FF-1715B4315A42}"/>
                </c:ext>
              </c:extLst>
            </c:dLbl>
            <c:dLbl>
              <c:idx val="21"/>
              <c:layout>
                <c:manualLayout>
                  <c:x val="-3.3093021992940633E-2"/>
                  <c:y val="-2.0334200306409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256A-4291-B2FF-1715B4315A42}"/>
                </c:ext>
              </c:extLst>
            </c:dLbl>
            <c:dLbl>
              <c:idx val="22"/>
              <c:layout>
                <c:manualLayout>
                  <c:x val="-3.1715340754819389E-2"/>
                  <c:y val="2.0341147967363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256A-4291-B2FF-1715B4315A42}"/>
                </c:ext>
              </c:extLst>
            </c:dLbl>
            <c:dLbl>
              <c:idx val="23"/>
              <c:layout>
                <c:manualLayout>
                  <c:x val="-3.0344827586207119E-2"/>
                  <c:y val="-2.0361990950226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256A-4291-B2FF-1715B4315A42}"/>
                </c:ext>
              </c:extLst>
            </c:dLbl>
            <c:dLbl>
              <c:idx val="24"/>
              <c:layout>
                <c:manualLayout>
                  <c:x val="-2.3448275862068983E-2"/>
                  <c:y val="2.4886877828054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256A-4291-B2FF-1715B4315A42}"/>
                </c:ext>
              </c:extLst>
            </c:dLbl>
            <c:dLbl>
              <c:idx val="25"/>
              <c:layout>
                <c:manualLayout>
                  <c:x val="-2.3448384469182629E-2"/>
                  <c:y val="-2.7149499412121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256A-4291-B2FF-1715B4315A42}"/>
                </c:ext>
              </c:extLst>
            </c:dLbl>
            <c:dLbl>
              <c:idx val="26"/>
              <c:layout>
                <c:manualLayout>
                  <c:x val="-2.6206896551724177E-2"/>
                  <c:y val="2.48868778280543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256A-4291-B2FF-1715B4315A42}"/>
                </c:ext>
              </c:extLst>
            </c:dLbl>
            <c:dLbl>
              <c:idx val="27"/>
              <c:layout>
                <c:manualLayout>
                  <c:x val="-1.2413793103448274E-2"/>
                  <c:y val="-1.5837104072398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256A-4291-B2FF-1715B4315A4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גיליון3!$A$5:$A$74</c:f>
              <c:strCache>
                <c:ptCount val="2"/>
                <c:pt idx="0">
                  <c:v>Q1-2021</c:v>
                </c:pt>
                <c:pt idx="1">
                  <c:v>Q2-2021</c:v>
                </c:pt>
              </c:strCache>
            </c:strRef>
          </c:cat>
          <c:val>
            <c:numRef>
              <c:f>גיליון3!$H$5:$H$74</c:f>
              <c:numCache>
                <c:formatCode>#,##0</c:formatCode>
                <c:ptCount val="2"/>
                <c:pt idx="0">
                  <c:v>14398.373685</c:v>
                </c:pt>
                <c:pt idx="1">
                  <c:v>15081.000889000001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90-256A-4291-B2FF-1715B431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39392"/>
        <c:axId val="69398912"/>
      </c:lineChart>
      <c:catAx>
        <c:axId val="6933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69398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398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3366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/>
                  <a:t>אלפי טונות</a:t>
                </a:r>
                <a:r>
                  <a:rPr lang="en-US"/>
                  <a:t> </a:t>
                </a:r>
                <a:r>
                  <a:rPr lang="en-US" sz="1400" b="1" i="1" u="none" strike="noStrike" baseline="0"/>
                  <a:t>thousands of tons - </a:t>
                </a:r>
                <a:endParaRPr lang="he-IL"/>
              </a:p>
            </c:rich>
          </c:tx>
          <c:layout>
            <c:manualLayout>
              <c:xMode val="edge"/>
              <c:yMode val="edge"/>
              <c:x val="0"/>
              <c:y val="0.233333333333333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693393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1951191963073581"/>
          <c:y val="9.8274486051234566E-2"/>
          <c:w val="0.5422268183385065"/>
          <c:h val="5.762711864406784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e-IL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e-I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 sz="1400" b="1" i="1" u="none" strike="noStrike" baseline="0">
                <a:solidFill>
                  <a:srgbClr val="000000"/>
                </a:solidFill>
                <a:latin typeface="Arial"/>
                <a:cs typeface="Arial"/>
              </a:rPr>
              <a:t>סה"כ תנועת מטענים(באלפי טונות) בנמלי ישראל 2003 - 2005(</a:t>
            </a:r>
            <a:r>
              <a:rPr lang="en-US" sz="1400" b="1" i="1" u="none" strike="noStrike" baseline="0">
                <a:solidFill>
                  <a:srgbClr val="000000"/>
                </a:solidFill>
                <a:latin typeface="Arial"/>
                <a:cs typeface="Arial"/>
              </a:rPr>
              <a:t>Q2)</a:t>
            </a:r>
          </a:p>
        </c:rich>
      </c:tx>
      <c:layout>
        <c:manualLayout>
          <c:xMode val="edge"/>
          <c:yMode val="edge"/>
          <c:x val="0.30935875216637782"/>
          <c:y val="4.20315236427320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57885615251299E-2"/>
          <c:y val="0.13134862370415087"/>
          <c:w val="0.68457538994800649"/>
          <c:h val="0.6847641582443067"/>
        </c:manualLayout>
      </c:layout>
      <c:barChart>
        <c:barDir val="col"/>
        <c:grouping val="clustered"/>
        <c:varyColors val="0"/>
        <c:ser>
          <c:idx val="12"/>
          <c:order val="0"/>
          <c:tx>
            <c:strRef>
              <c:f>'לא להפצה'!$C$6</c:f>
              <c:strCache>
                <c:ptCount val="1"/>
                <c:pt idx="0">
                  <c:v>נמל</c:v>
                </c:pt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להפצה'!$C$7:$C$22</c:f>
            </c:numRef>
          </c:val>
          <c:extLst>
            <c:ext xmlns:c16="http://schemas.microsoft.com/office/drawing/2014/chart" uri="{C3380CC4-5D6E-409C-BE32-E72D297353CC}">
              <c16:uniqueId val="{00000000-6D6B-431A-B0AC-9788D12D5844}"/>
            </c:ext>
          </c:extLst>
        </c:ser>
        <c:ser>
          <c:idx val="0"/>
          <c:order val="1"/>
          <c:tx>
            <c:strRef>
              <c:f>'לא להפצה'!$D$6</c:f>
              <c:strCache>
                <c:ptCount val="1"/>
                <c:pt idx="0">
                  <c:v>נמל חיפה: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'לא להפצה'!$J$30:$J$41</c:f>
              <c:strCache>
                <c:ptCount val="12"/>
                <c:pt idx="0">
                  <c:v>Q4- 2005</c:v>
                </c:pt>
                <c:pt idx="1">
                  <c:v>Q3- 2005</c:v>
                </c:pt>
                <c:pt idx="2">
                  <c:v>Q2- 2005</c:v>
                </c:pt>
                <c:pt idx="3">
                  <c:v>Q1- 2005</c:v>
                </c:pt>
                <c:pt idx="4">
                  <c:v>Q4- 2004</c:v>
                </c:pt>
                <c:pt idx="5">
                  <c:v>Q3- 2004</c:v>
                </c:pt>
                <c:pt idx="6">
                  <c:v>Q2- 2004</c:v>
                </c:pt>
                <c:pt idx="7">
                  <c:v>Q1- 2004</c:v>
                </c:pt>
                <c:pt idx="8">
                  <c:v>Q4- 2003</c:v>
                </c:pt>
                <c:pt idx="9">
                  <c:v>Q3- 2003</c:v>
                </c:pt>
                <c:pt idx="10">
                  <c:v>Q2- 2003</c:v>
                </c:pt>
                <c:pt idx="11">
                  <c:v>Q1- 2003</c:v>
                </c:pt>
              </c:strCache>
            </c:strRef>
          </c:cat>
          <c:val>
            <c:numRef>
              <c:f>'לא להפצה'!$D$7:$D$22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5079.6392999999998</c:v>
                </c:pt>
                <c:pt idx="2">
                  <c:v>5398.7501999999995</c:v>
                </c:pt>
                <c:pt idx="3">
                  <c:v>5645.1269000000002</c:v>
                </c:pt>
                <c:pt idx="4">
                  <c:v>4867.1174000000001</c:v>
                </c:pt>
                <c:pt idx="5">
                  <c:v>5205.1331</c:v>
                </c:pt>
                <c:pt idx="6">
                  <c:v>4851.0235999999995</c:v>
                </c:pt>
                <c:pt idx="7">
                  <c:v>5481.1415999999999</c:v>
                </c:pt>
                <c:pt idx="8">
                  <c:v>5000.8362999999999</c:v>
                </c:pt>
                <c:pt idx="9">
                  <c:v>4683.5923000000003</c:v>
                </c:pt>
                <c:pt idx="10">
                  <c:v>5003.9269999999997</c:v>
                </c:pt>
                <c:pt idx="11">
                  <c:v>4909.7534999999998</c:v>
                </c:pt>
                <c:pt idx="12">
                  <c:v>4207.6980999999996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B-431A-B0AC-9788D12D5844}"/>
            </c:ext>
          </c:extLst>
        </c:ser>
        <c:ser>
          <c:idx val="1"/>
          <c:order val="2"/>
          <c:tx>
            <c:strRef>
              <c:f>'לא להפצה'!$E$6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להפצה'!$E$7:$E$22</c:f>
            </c:numRef>
          </c:val>
          <c:extLst>
            <c:ext xmlns:c16="http://schemas.microsoft.com/office/drawing/2014/chart" uri="{C3380CC4-5D6E-409C-BE32-E72D297353CC}">
              <c16:uniqueId val="{00000002-6D6B-431A-B0AC-9788D12D5844}"/>
            </c:ext>
          </c:extLst>
        </c:ser>
        <c:ser>
          <c:idx val="2"/>
          <c:order val="3"/>
          <c:tx>
            <c:strRef>
              <c:f>'לא להפצה'!$F$6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להפצה'!$F$7:$F$22</c:f>
            </c:numRef>
          </c:val>
          <c:extLst>
            <c:ext xmlns:c16="http://schemas.microsoft.com/office/drawing/2014/chart" uri="{C3380CC4-5D6E-409C-BE32-E72D297353CC}">
              <c16:uniqueId val="{00000003-6D6B-431A-B0AC-9788D12D5844}"/>
            </c:ext>
          </c:extLst>
        </c:ser>
        <c:ser>
          <c:idx val="3"/>
          <c:order val="4"/>
          <c:tx>
            <c:strRef>
              <c:f>'לא להפצה'!$G$6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להפצה'!$G$7:$G$22</c:f>
            </c:numRef>
          </c:val>
          <c:extLst>
            <c:ext xmlns:c16="http://schemas.microsoft.com/office/drawing/2014/chart" uri="{C3380CC4-5D6E-409C-BE32-E72D297353CC}">
              <c16:uniqueId val="{00000004-6D6B-431A-B0AC-9788D12D5844}"/>
            </c:ext>
          </c:extLst>
        </c:ser>
        <c:ser>
          <c:idx val="13"/>
          <c:order val="5"/>
          <c:tx>
            <c:strRef>
              <c:f>'לא להפצה'!$H$6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להפצה'!$H$7:$H$22</c:f>
            </c:numRef>
          </c:val>
          <c:extLst>
            <c:ext xmlns:c16="http://schemas.microsoft.com/office/drawing/2014/chart" uri="{C3380CC4-5D6E-409C-BE32-E72D297353CC}">
              <c16:uniqueId val="{00000005-6D6B-431A-B0AC-9788D12D5844}"/>
            </c:ext>
          </c:extLst>
        </c:ser>
        <c:ser>
          <c:idx val="4"/>
          <c:order val="6"/>
          <c:tx>
            <c:strRef>
              <c:f>'לא להפצה'!$I$6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להפצה'!$I$7:$I$22</c:f>
            </c:numRef>
          </c:val>
          <c:extLst>
            <c:ext xmlns:c16="http://schemas.microsoft.com/office/drawing/2014/chart" uri="{C3380CC4-5D6E-409C-BE32-E72D297353CC}">
              <c16:uniqueId val="{00000006-6D6B-431A-B0AC-9788D12D5844}"/>
            </c:ext>
          </c:extLst>
        </c:ser>
        <c:ser>
          <c:idx val="5"/>
          <c:order val="7"/>
          <c:tx>
            <c:strRef>
              <c:f>'לא להפצה'!$J$6</c:f>
              <c:strCache>
                <c:ptCount val="1"/>
                <c:pt idx="0">
                  <c:v>נמל אשדוד: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'לא להפצה'!$J$30:$J$41</c:f>
              <c:strCache>
                <c:ptCount val="12"/>
                <c:pt idx="0">
                  <c:v>Q4- 2005</c:v>
                </c:pt>
                <c:pt idx="1">
                  <c:v>Q3- 2005</c:v>
                </c:pt>
                <c:pt idx="2">
                  <c:v>Q2- 2005</c:v>
                </c:pt>
                <c:pt idx="3">
                  <c:v>Q1- 2005</c:v>
                </c:pt>
                <c:pt idx="4">
                  <c:v>Q4- 2004</c:v>
                </c:pt>
                <c:pt idx="5">
                  <c:v>Q3- 2004</c:v>
                </c:pt>
                <c:pt idx="6">
                  <c:v>Q2- 2004</c:v>
                </c:pt>
                <c:pt idx="7">
                  <c:v>Q1- 2004</c:v>
                </c:pt>
                <c:pt idx="8">
                  <c:v>Q4- 2003</c:v>
                </c:pt>
                <c:pt idx="9">
                  <c:v>Q3- 2003</c:v>
                </c:pt>
                <c:pt idx="10">
                  <c:v>Q2- 2003</c:v>
                </c:pt>
                <c:pt idx="11">
                  <c:v>Q1- 2003</c:v>
                </c:pt>
              </c:strCache>
            </c:strRef>
          </c:cat>
          <c:val>
            <c:numRef>
              <c:f>'לא להפצה'!$J$7:$J$22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3358.4488999999999</c:v>
                </c:pt>
                <c:pt idx="2">
                  <c:v>3498.0922</c:v>
                </c:pt>
                <c:pt idx="3">
                  <c:v>3807.277</c:v>
                </c:pt>
                <c:pt idx="4">
                  <c:v>3564.1179999999999</c:v>
                </c:pt>
                <c:pt idx="5">
                  <c:v>3783.0149999999999</c:v>
                </c:pt>
                <c:pt idx="6">
                  <c:v>3478.8404</c:v>
                </c:pt>
                <c:pt idx="7">
                  <c:v>3707.2907</c:v>
                </c:pt>
                <c:pt idx="8">
                  <c:v>3480.3854000000001</c:v>
                </c:pt>
                <c:pt idx="9">
                  <c:v>3278.9078999999997</c:v>
                </c:pt>
                <c:pt idx="10">
                  <c:v>3787.2473</c:v>
                </c:pt>
                <c:pt idx="11">
                  <c:v>3546.5729999999999</c:v>
                </c:pt>
                <c:pt idx="12">
                  <c:v>3449.5672000000004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6B-431A-B0AC-9788D12D5844}"/>
            </c:ext>
          </c:extLst>
        </c:ser>
        <c:ser>
          <c:idx val="6"/>
          <c:order val="8"/>
          <c:tx>
            <c:strRef>
              <c:f>'לא להפצה'!$K$6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להפצה'!$K$7:$K$22</c:f>
            </c:numRef>
          </c:val>
          <c:extLst>
            <c:ext xmlns:c16="http://schemas.microsoft.com/office/drawing/2014/chart" uri="{C3380CC4-5D6E-409C-BE32-E72D297353CC}">
              <c16:uniqueId val="{00000008-6D6B-431A-B0AC-9788D12D5844}"/>
            </c:ext>
          </c:extLst>
        </c:ser>
        <c:ser>
          <c:idx val="7"/>
          <c:order val="9"/>
          <c:tx>
            <c:strRef>
              <c:f>'לא להפצה'!$L$6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להפצה'!$L$7:$L$22</c:f>
            </c:numRef>
          </c:val>
          <c:extLst>
            <c:ext xmlns:c16="http://schemas.microsoft.com/office/drawing/2014/chart" uri="{C3380CC4-5D6E-409C-BE32-E72D297353CC}">
              <c16:uniqueId val="{00000009-6D6B-431A-B0AC-9788D12D5844}"/>
            </c:ext>
          </c:extLst>
        </c:ser>
        <c:ser>
          <c:idx val="14"/>
          <c:order val="10"/>
          <c:tx>
            <c:strRef>
              <c:f>'לא להפצה'!$M$6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להפצה'!$M$7:$M$22</c:f>
            </c:numRef>
          </c:val>
          <c:extLst>
            <c:ext xmlns:c16="http://schemas.microsoft.com/office/drawing/2014/chart" uri="{C3380CC4-5D6E-409C-BE32-E72D297353CC}">
              <c16:uniqueId val="{0000000A-6D6B-431A-B0AC-9788D12D5844}"/>
            </c:ext>
          </c:extLst>
        </c:ser>
        <c:ser>
          <c:idx val="8"/>
          <c:order val="11"/>
          <c:tx>
            <c:strRef>
              <c:f>'לא להפצה'!$N$6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להפצה'!$N$7:$N$22</c:f>
            </c:numRef>
          </c:val>
          <c:extLst>
            <c:ext xmlns:c16="http://schemas.microsoft.com/office/drawing/2014/chart" uri="{C3380CC4-5D6E-409C-BE32-E72D297353CC}">
              <c16:uniqueId val="{0000000B-6D6B-431A-B0AC-9788D12D5844}"/>
            </c:ext>
          </c:extLst>
        </c:ser>
        <c:ser>
          <c:idx val="9"/>
          <c:order val="12"/>
          <c:tx>
            <c:strRef>
              <c:f>'לא להפצה'!$O$6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להפצה'!$O$7:$O$22</c:f>
            </c:numRef>
          </c:val>
          <c:extLst>
            <c:ext xmlns:c16="http://schemas.microsoft.com/office/drawing/2014/chart" uri="{C3380CC4-5D6E-409C-BE32-E72D297353CC}">
              <c16:uniqueId val="{0000000C-6D6B-431A-B0AC-9788D12D5844}"/>
            </c:ext>
          </c:extLst>
        </c:ser>
        <c:ser>
          <c:idx val="10"/>
          <c:order val="13"/>
          <c:tx>
            <c:strRef>
              <c:f>'לא להפצה'!$P$6</c:f>
              <c:strCache>
                <c:ptCount val="1"/>
                <c:pt idx="0">
                  <c:v>נמל אילת: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'לא להפצה'!$J$30:$J$41</c:f>
              <c:strCache>
                <c:ptCount val="12"/>
                <c:pt idx="0">
                  <c:v>Q4- 2005</c:v>
                </c:pt>
                <c:pt idx="1">
                  <c:v>Q3- 2005</c:v>
                </c:pt>
                <c:pt idx="2">
                  <c:v>Q2- 2005</c:v>
                </c:pt>
                <c:pt idx="3">
                  <c:v>Q1- 2005</c:v>
                </c:pt>
                <c:pt idx="4">
                  <c:v>Q4- 2004</c:v>
                </c:pt>
                <c:pt idx="5">
                  <c:v>Q3- 2004</c:v>
                </c:pt>
                <c:pt idx="6">
                  <c:v>Q2- 2004</c:v>
                </c:pt>
                <c:pt idx="7">
                  <c:v>Q1- 2004</c:v>
                </c:pt>
                <c:pt idx="8">
                  <c:v>Q4- 2003</c:v>
                </c:pt>
                <c:pt idx="9">
                  <c:v>Q3- 2003</c:v>
                </c:pt>
                <c:pt idx="10">
                  <c:v>Q2- 2003</c:v>
                </c:pt>
                <c:pt idx="11">
                  <c:v>Q1- 2003</c:v>
                </c:pt>
              </c:strCache>
            </c:strRef>
          </c:cat>
          <c:val>
            <c:numRef>
              <c:f>'לא להפצה'!$P$7:$P$22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634.70799999999997</c:v>
                </c:pt>
                <c:pt idx="2">
                  <c:v>728.01580000000001</c:v>
                </c:pt>
                <c:pt idx="3">
                  <c:v>477.06700000000001</c:v>
                </c:pt>
                <c:pt idx="4">
                  <c:v>653.99400000000003</c:v>
                </c:pt>
                <c:pt idx="5">
                  <c:v>600.27190000000007</c:v>
                </c:pt>
                <c:pt idx="6">
                  <c:v>525.56200000000001</c:v>
                </c:pt>
                <c:pt idx="7">
                  <c:v>556.73199999999997</c:v>
                </c:pt>
                <c:pt idx="8">
                  <c:v>427.83600000000001</c:v>
                </c:pt>
                <c:pt idx="9">
                  <c:v>444.46100000000001</c:v>
                </c:pt>
                <c:pt idx="10">
                  <c:v>524.35</c:v>
                </c:pt>
                <c:pt idx="11">
                  <c:v>605.36940000000004</c:v>
                </c:pt>
                <c:pt idx="12">
                  <c:v>530.1706999999999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6B-431A-B0AC-9788D12D5844}"/>
            </c:ext>
          </c:extLst>
        </c:ser>
        <c:ser>
          <c:idx val="11"/>
          <c:order val="14"/>
          <c:tx>
            <c:strRef>
              <c:f>'לא להפצה'!$Q$6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להפצה'!$Q$7:$Q$22</c:f>
            </c:numRef>
          </c:val>
          <c:extLst>
            <c:ext xmlns:c16="http://schemas.microsoft.com/office/drawing/2014/chart" uri="{C3380CC4-5D6E-409C-BE32-E72D297353CC}">
              <c16:uniqueId val="{0000000E-6D6B-431A-B0AC-9788D12D5844}"/>
            </c:ext>
          </c:extLst>
        </c:ser>
        <c:ser>
          <c:idx val="15"/>
          <c:order val="15"/>
          <c:tx>
            <c:strRef>
              <c:f>'לא להפצה'!$R$6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להפצה'!$R$7:$R$22</c:f>
            </c:numRef>
          </c:val>
          <c:extLst>
            <c:ext xmlns:c16="http://schemas.microsoft.com/office/drawing/2014/chart" uri="{C3380CC4-5D6E-409C-BE32-E72D297353CC}">
              <c16:uniqueId val="{0000000F-6D6B-431A-B0AC-9788D12D5844}"/>
            </c:ext>
          </c:extLst>
        </c:ser>
        <c:ser>
          <c:idx val="16"/>
          <c:order val="16"/>
          <c:tx>
            <c:strRef>
              <c:f>'לא להפצה'!$S$6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להפצה'!$S$7:$S$22</c:f>
            </c:numRef>
          </c:val>
          <c:extLst>
            <c:ext xmlns:c16="http://schemas.microsoft.com/office/drawing/2014/chart" uri="{C3380CC4-5D6E-409C-BE32-E72D297353CC}">
              <c16:uniqueId val="{00000010-6D6B-431A-B0AC-9788D12D5844}"/>
            </c:ext>
          </c:extLst>
        </c:ser>
        <c:ser>
          <c:idx val="17"/>
          <c:order val="17"/>
          <c:tx>
            <c:strRef>
              <c:f>'לא להפצה'!$T$6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להפצה'!$T$7:$T$22</c:f>
            </c:numRef>
          </c:val>
          <c:extLst>
            <c:ext xmlns:c16="http://schemas.microsoft.com/office/drawing/2014/chart" uri="{C3380CC4-5D6E-409C-BE32-E72D297353CC}">
              <c16:uniqueId val="{00000011-6D6B-431A-B0AC-9788D12D5844}"/>
            </c:ext>
          </c:extLst>
        </c:ser>
        <c:ser>
          <c:idx val="18"/>
          <c:order val="18"/>
          <c:tx>
            <c:strRef>
              <c:f>'לא להפצה'!$U$6</c:f>
              <c:strCache>
                <c:ptCount val="1"/>
              </c:strCache>
            </c:strRef>
          </c:tx>
          <c:invertIfNegative val="0"/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להפצה'!$U$7:$U$22</c:f>
            </c:numRef>
          </c:val>
          <c:extLst>
            <c:ext xmlns:c16="http://schemas.microsoft.com/office/drawing/2014/chart" uri="{C3380CC4-5D6E-409C-BE32-E72D297353CC}">
              <c16:uniqueId val="{00000012-6D6B-431A-B0AC-9788D12D5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75296"/>
        <c:axId val="68797952"/>
      </c:barChart>
      <c:catAx>
        <c:axId val="6877529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1" u="none" strike="noStrike" baseline="0">
                    <a:solidFill>
                      <a:srgbClr val="FF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/>
                  <a:t>שנה + רבעון</a:t>
                </a:r>
              </a:p>
            </c:rich>
          </c:tx>
          <c:layout>
            <c:manualLayout>
              <c:xMode val="edge"/>
              <c:yMode val="edge"/>
              <c:x val="0.75736568457539966"/>
              <c:y val="0.7915944307311848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68797952"/>
        <c:crosses val="autoZero"/>
        <c:auto val="1"/>
        <c:lblAlgn val="ctr"/>
        <c:lblOffset val="100"/>
        <c:tickMarkSkip val="1"/>
        <c:noMultiLvlLbl val="0"/>
      </c:catAx>
      <c:valAx>
        <c:axId val="68797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1" u="none" strike="noStrike" baseline="0">
                    <a:solidFill>
                      <a:srgbClr val="FF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/>
                  <a:t>סה"כ תנועות בנמל( באלפי טונות)</a:t>
                </a:r>
              </a:p>
            </c:rich>
          </c:tx>
          <c:layout>
            <c:manualLayout>
              <c:xMode val="edge"/>
              <c:yMode val="edge"/>
              <c:x val="5.1993067590987872E-3"/>
              <c:y val="0.29772347633429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68775296"/>
        <c:crosses val="max"/>
        <c:crossBetween val="between"/>
        <c:dispUnits>
          <c:builtInUnit val="thousands"/>
        </c:dispUnits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</c:dTable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4.3327556325823404E-3"/>
          <c:y val="8.7565674255693747E-3"/>
          <c:w val="0.20797227036395147"/>
          <c:h val="7.355516637477775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e-IL"/>
    </a:p>
  </c:txPr>
  <c:printSettings>
    <c:headerFooter alignWithMargins="0"/>
    <c:pageMargins b="1" l="0.75000000000000977" r="0.75000000000000977" t="1" header="0.5" footer="0.5"/>
    <c:pageSetup paperSize="9" orientation="landscape" horizontalDpi="300" verticalDpi="3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e-IL" sz="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סה"כ תנועת מטענים(באלפי טונות) בנמלי ישראל 2003 - 2005(</a:t>
            </a:r>
            <a:r>
              <a:rPr lang="en-US" sz="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Q2)</a:t>
            </a:r>
          </a:p>
        </c:rich>
      </c:tx>
      <c:layout>
        <c:manualLayout>
          <c:xMode val="edge"/>
          <c:yMode val="edge"/>
          <c:x val="0.30870712401055411"/>
          <c:y val="1.8662519440124661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64907651715041"/>
          <c:y val="0.13374815755321837"/>
          <c:w val="0.7255936675461867"/>
          <c:h val="0.70917627725891064"/>
        </c:manualLayout>
      </c:layout>
      <c:lineChart>
        <c:grouping val="standard"/>
        <c:varyColors val="0"/>
        <c:ser>
          <c:idx val="12"/>
          <c:order val="0"/>
          <c:tx>
            <c:strRef>
              <c:f>'לא להפצה'!$C$6</c:f>
              <c:strCache>
                <c:ptCount val="1"/>
                <c:pt idx="0">
                  <c:v>נמל</c:v>
                </c:pt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להפצה'!$C$7:$C$22</c:f>
            </c:numRef>
          </c:val>
          <c:smooth val="0"/>
          <c:extLst>
            <c:ext xmlns:c16="http://schemas.microsoft.com/office/drawing/2014/chart" uri="{C3380CC4-5D6E-409C-BE32-E72D297353CC}">
              <c16:uniqueId val="{00000000-D4EC-49AD-A3A0-A3A7B64CED7D}"/>
            </c:ext>
          </c:extLst>
        </c:ser>
        <c:ser>
          <c:idx val="0"/>
          <c:order val="1"/>
          <c:tx>
            <c:strRef>
              <c:f>'לא להפצה'!$D$6</c:f>
              <c:strCache>
                <c:ptCount val="1"/>
                <c:pt idx="0">
                  <c:v>נמל חיפה: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4388119031295414E-2"/>
                  <c:y val="-3.4012367658733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EC-49AD-A3A0-A3A7B64CED7D}"/>
                </c:ext>
              </c:extLst>
            </c:dLbl>
            <c:dLbl>
              <c:idx val="1"/>
              <c:layout>
                <c:manualLayout>
                  <c:x val="-4.1343638113837324E-2"/>
                  <c:y val="-2.4599428569488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EC-49AD-A3A0-A3A7B64CED7D}"/>
                </c:ext>
              </c:extLst>
            </c:dLbl>
            <c:dLbl>
              <c:idx val="2"/>
              <c:layout>
                <c:manualLayout>
                  <c:x val="-3.0383589914057593E-2"/>
                  <c:y val="-1.9541143201944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EC-49AD-A3A0-A3A7B64CED7D}"/>
                </c:ext>
              </c:extLst>
            </c:dLbl>
            <c:dLbl>
              <c:idx val="3"/>
              <c:layout>
                <c:manualLayout>
                  <c:x val="-4.3170243561243465E-2"/>
                  <c:y val="-2.77454959275406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EC-49AD-A3A0-A3A7B64CED7D}"/>
                </c:ext>
              </c:extLst>
            </c:dLbl>
            <c:dLbl>
              <c:idx val="4"/>
              <c:layout>
                <c:manualLayout>
                  <c:x val="-2.9571811439137442E-2"/>
                  <c:y val="-2.172475886656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EC-49AD-A3A0-A3A7B64CED7D}"/>
                </c:ext>
              </c:extLst>
            </c:dLbl>
            <c:dLbl>
              <c:idx val="5"/>
              <c:layout>
                <c:manualLayout>
                  <c:x val="-3.0485114162840492E-2"/>
                  <c:y val="-2.2208251690242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EC-49AD-A3A0-A3A7B64CED7D}"/>
                </c:ext>
              </c:extLst>
            </c:dLbl>
            <c:dLbl>
              <c:idx val="6"/>
              <c:layout>
                <c:manualLayout>
                  <c:x val="-3.0079155672824258E-2"/>
                  <c:y val="-1.8961461544010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EC-49AD-A3A0-A3A7B64CED7D}"/>
                </c:ext>
              </c:extLst>
            </c:dLbl>
            <c:dLbl>
              <c:idx val="7"/>
              <c:layout>
                <c:manualLayout>
                  <c:x val="-3.2311719610246606E-2"/>
                  <c:y val="-2.8465368441603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EC-49AD-A3A0-A3A7B64CED7D}"/>
                </c:ext>
              </c:extLst>
            </c:dLbl>
            <c:dLbl>
              <c:idx val="8"/>
              <c:layout>
                <c:manualLayout>
                  <c:x val="-3.3225022333949687E-2"/>
                  <c:y val="-2.61374885711226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EC-49AD-A3A0-A3A7B64CED7D}"/>
                </c:ext>
              </c:extLst>
            </c:dLbl>
            <c:dLbl>
              <c:idx val="9"/>
              <c:layout>
                <c:manualLayout>
                  <c:x val="-3.545772477648737E-2"/>
                  <c:y val="-2.1643757121404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EC-49AD-A3A0-A3A7B64CED7D}"/>
                </c:ext>
              </c:extLst>
            </c:dLbl>
            <c:dLbl>
              <c:idx val="10"/>
              <c:layout>
                <c:manualLayout>
                  <c:x val="-3.6371027500191132E-2"/>
                  <c:y val="-2.4217027603121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EC-49AD-A3A0-A3A7B64CED7D}"/>
                </c:ext>
              </c:extLst>
            </c:dLbl>
            <c:dLbl>
              <c:idx val="11"/>
              <c:layout>
                <c:manualLayout>
                  <c:x val="-3.464580779645289E-2"/>
                  <c:y val="-2.4461444459524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EC-49AD-A3A0-A3A7B64CED7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'לא להפצה'!$J$30:$J$41</c:f>
              <c:strCache>
                <c:ptCount val="12"/>
                <c:pt idx="0">
                  <c:v>Q4- 2005</c:v>
                </c:pt>
                <c:pt idx="1">
                  <c:v>Q3- 2005</c:v>
                </c:pt>
                <c:pt idx="2">
                  <c:v>Q2- 2005</c:v>
                </c:pt>
                <c:pt idx="3">
                  <c:v>Q1- 2005</c:v>
                </c:pt>
                <c:pt idx="4">
                  <c:v>Q4- 2004</c:v>
                </c:pt>
                <c:pt idx="5">
                  <c:v>Q3- 2004</c:v>
                </c:pt>
                <c:pt idx="6">
                  <c:v>Q2- 2004</c:v>
                </c:pt>
                <c:pt idx="7">
                  <c:v>Q1- 2004</c:v>
                </c:pt>
                <c:pt idx="8">
                  <c:v>Q4- 2003</c:v>
                </c:pt>
                <c:pt idx="9">
                  <c:v>Q3- 2003</c:v>
                </c:pt>
                <c:pt idx="10">
                  <c:v>Q2- 2003</c:v>
                </c:pt>
                <c:pt idx="11">
                  <c:v>Q1- 2003</c:v>
                </c:pt>
              </c:strCache>
            </c:strRef>
          </c:cat>
          <c:val>
            <c:numRef>
              <c:f>'לא להפצה'!$D$7:$D$22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5079.6392999999998</c:v>
                </c:pt>
                <c:pt idx="2">
                  <c:v>5398.7501999999995</c:v>
                </c:pt>
                <c:pt idx="3">
                  <c:v>5645.1269000000002</c:v>
                </c:pt>
                <c:pt idx="4">
                  <c:v>4867.1174000000001</c:v>
                </c:pt>
                <c:pt idx="5">
                  <c:v>5205.1331</c:v>
                </c:pt>
                <c:pt idx="6">
                  <c:v>4851.0235999999995</c:v>
                </c:pt>
                <c:pt idx="7">
                  <c:v>5481.1415999999999</c:v>
                </c:pt>
                <c:pt idx="8">
                  <c:v>5000.8362999999999</c:v>
                </c:pt>
                <c:pt idx="9">
                  <c:v>4683.5923000000003</c:v>
                </c:pt>
                <c:pt idx="10">
                  <c:v>5003.9269999999997</c:v>
                </c:pt>
                <c:pt idx="11">
                  <c:v>4909.7534999999998</c:v>
                </c:pt>
                <c:pt idx="12">
                  <c:v>4207.6980999999996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4EC-49AD-A3A0-A3A7B64CED7D}"/>
            </c:ext>
          </c:extLst>
        </c:ser>
        <c:ser>
          <c:idx val="1"/>
          <c:order val="2"/>
          <c:tx>
            <c:strRef>
              <c:f>'לא להפצה'!$E$6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להפצה'!$E$7:$E$22</c:f>
            </c:numRef>
          </c:val>
          <c:smooth val="0"/>
          <c:extLst>
            <c:ext xmlns:c16="http://schemas.microsoft.com/office/drawing/2014/chart" uri="{C3380CC4-5D6E-409C-BE32-E72D297353CC}">
              <c16:uniqueId val="{0000000E-D4EC-49AD-A3A0-A3A7B64CED7D}"/>
            </c:ext>
          </c:extLst>
        </c:ser>
        <c:ser>
          <c:idx val="2"/>
          <c:order val="3"/>
          <c:tx>
            <c:strRef>
              <c:f>'לא להפצה'!$F$6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להפצה'!$F$7:$F$22</c:f>
            </c:numRef>
          </c:val>
          <c:smooth val="0"/>
          <c:extLst>
            <c:ext xmlns:c16="http://schemas.microsoft.com/office/drawing/2014/chart" uri="{C3380CC4-5D6E-409C-BE32-E72D297353CC}">
              <c16:uniqueId val="{0000000F-D4EC-49AD-A3A0-A3A7B64CED7D}"/>
            </c:ext>
          </c:extLst>
        </c:ser>
        <c:ser>
          <c:idx val="3"/>
          <c:order val="4"/>
          <c:tx>
            <c:strRef>
              <c:f>'לא להפצה'!$G$6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להפצה'!$G$7:$G$22</c:f>
            </c:numRef>
          </c:val>
          <c:smooth val="0"/>
          <c:extLst>
            <c:ext xmlns:c16="http://schemas.microsoft.com/office/drawing/2014/chart" uri="{C3380CC4-5D6E-409C-BE32-E72D297353CC}">
              <c16:uniqueId val="{00000010-D4EC-49AD-A3A0-A3A7B64CED7D}"/>
            </c:ext>
          </c:extLst>
        </c:ser>
        <c:ser>
          <c:idx val="13"/>
          <c:order val="5"/>
          <c:tx>
            <c:strRef>
              <c:f>'לא להפצה'!$H$6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להפצה'!$H$7:$H$22</c:f>
            </c:numRef>
          </c:val>
          <c:smooth val="0"/>
          <c:extLst>
            <c:ext xmlns:c16="http://schemas.microsoft.com/office/drawing/2014/chart" uri="{C3380CC4-5D6E-409C-BE32-E72D297353CC}">
              <c16:uniqueId val="{00000011-D4EC-49AD-A3A0-A3A7B64CED7D}"/>
            </c:ext>
          </c:extLst>
        </c:ser>
        <c:ser>
          <c:idx val="4"/>
          <c:order val="6"/>
          <c:tx>
            <c:strRef>
              <c:f>'לא להפצה'!$I$6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להפצה'!$I$7:$I$22</c:f>
            </c:numRef>
          </c:val>
          <c:smooth val="0"/>
          <c:extLst>
            <c:ext xmlns:c16="http://schemas.microsoft.com/office/drawing/2014/chart" uri="{C3380CC4-5D6E-409C-BE32-E72D297353CC}">
              <c16:uniqueId val="{00000012-D4EC-49AD-A3A0-A3A7B64CED7D}"/>
            </c:ext>
          </c:extLst>
        </c:ser>
        <c:ser>
          <c:idx val="5"/>
          <c:order val="7"/>
          <c:tx>
            <c:strRef>
              <c:f>'לא להפצה'!$J$6</c:f>
              <c:strCache>
                <c:ptCount val="1"/>
                <c:pt idx="0">
                  <c:v>נמל אשדוד: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0430335390134284E-2"/>
                  <c:y val="-2.4681100852695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4EC-49AD-A3A0-A3A7B64CED7D}"/>
                </c:ext>
              </c:extLst>
            </c:dLbl>
            <c:dLbl>
              <c:idx val="1"/>
              <c:layout>
                <c:manualLayout>
                  <c:x val="-4.3982160541277966E-2"/>
                  <c:y val="-2.74149818005740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4EC-49AD-A3A0-A3A7B64CED7D}"/>
                </c:ext>
              </c:extLst>
            </c:dLbl>
            <c:dLbl>
              <c:idx val="2"/>
              <c:layout>
                <c:manualLayout>
                  <c:x val="-4.3576202051260726E-2"/>
                  <c:y val="-2.4906573478018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4EC-49AD-A3A0-A3A7B64CED7D}"/>
                </c:ext>
              </c:extLst>
            </c:dLbl>
            <c:dLbl>
              <c:idx val="3"/>
              <c:layout>
                <c:manualLayout>
                  <c:x val="-4.1850982347523324E-2"/>
                  <c:y val="-1.7911171744654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4EC-49AD-A3A0-A3A7B64CED7D}"/>
                </c:ext>
              </c:extLst>
            </c:dLbl>
            <c:dLbl>
              <c:idx val="4"/>
              <c:layout>
                <c:manualLayout>
                  <c:x val="-4.1445162362618679E-2"/>
                  <c:y val="-2.17682368096454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4EC-49AD-A3A0-A3A7B64CED7D}"/>
                </c:ext>
              </c:extLst>
            </c:dLbl>
            <c:dLbl>
              <c:idx val="5"/>
              <c:layout>
                <c:manualLayout>
                  <c:x val="-4.4996987513764124E-2"/>
                  <c:y val="-2.85550182426545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4EC-49AD-A3A0-A3A7B64CED7D}"/>
                </c:ext>
              </c:extLst>
            </c:dLbl>
            <c:dLbl>
              <c:idx val="6"/>
              <c:layout>
                <c:manualLayout>
                  <c:x val="-4.7229551451187353E-2"/>
                  <c:y val="-2.7182159947284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4EC-49AD-A3A0-A3A7B64CED7D}"/>
                </c:ext>
              </c:extLst>
            </c:dLbl>
            <c:dLbl>
              <c:idx val="7"/>
              <c:layout>
                <c:manualLayout>
                  <c:x val="-4.2865809320009156E-2"/>
                  <c:y val="-2.1953078952012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4EC-49AD-A3A0-A3A7B64CED7D}"/>
                </c:ext>
              </c:extLst>
            </c:dLbl>
            <c:dLbl>
              <c:idx val="8"/>
              <c:layout>
                <c:manualLayout>
                  <c:x val="-2.7947977479069696E-2"/>
                  <c:y val="-1.9223397720436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4EC-49AD-A3A0-A3A7B64CED7D}"/>
                </c:ext>
              </c:extLst>
            </c:dLbl>
            <c:dLbl>
              <c:idx val="9"/>
              <c:layout>
                <c:manualLayout>
                  <c:x val="-3.6776985990207699E-2"/>
                  <c:y val="-2.1264339130513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4EC-49AD-A3A0-A3A7B64CED7D}"/>
                </c:ext>
              </c:extLst>
            </c:dLbl>
            <c:dLbl>
              <c:idx val="10"/>
              <c:layout>
                <c:manualLayout>
                  <c:x val="-3.6371027500191132E-2"/>
                  <c:y val="-2.4944316362736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4EC-49AD-A3A0-A3A7B64CED7D}"/>
                </c:ext>
              </c:extLst>
            </c:dLbl>
            <c:dLbl>
              <c:idx val="11"/>
              <c:layout>
                <c:manualLayout>
                  <c:x val="-3.3326546582732576E-2"/>
                  <c:y val="-2.0731591088726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4EC-49AD-A3A0-A3A7B64CED7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339966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'לא להפצה'!$J$30:$J$41</c:f>
              <c:strCache>
                <c:ptCount val="12"/>
                <c:pt idx="0">
                  <c:v>Q4- 2005</c:v>
                </c:pt>
                <c:pt idx="1">
                  <c:v>Q3- 2005</c:v>
                </c:pt>
                <c:pt idx="2">
                  <c:v>Q2- 2005</c:v>
                </c:pt>
                <c:pt idx="3">
                  <c:v>Q1- 2005</c:v>
                </c:pt>
                <c:pt idx="4">
                  <c:v>Q4- 2004</c:v>
                </c:pt>
                <c:pt idx="5">
                  <c:v>Q3- 2004</c:v>
                </c:pt>
                <c:pt idx="6">
                  <c:v>Q2- 2004</c:v>
                </c:pt>
                <c:pt idx="7">
                  <c:v>Q1- 2004</c:v>
                </c:pt>
                <c:pt idx="8">
                  <c:v>Q4- 2003</c:v>
                </c:pt>
                <c:pt idx="9">
                  <c:v>Q3- 2003</c:v>
                </c:pt>
                <c:pt idx="10">
                  <c:v>Q2- 2003</c:v>
                </c:pt>
                <c:pt idx="11">
                  <c:v>Q1- 2003</c:v>
                </c:pt>
              </c:strCache>
            </c:strRef>
          </c:cat>
          <c:val>
            <c:numRef>
              <c:f>'לא להפצה'!$J$7:$J$22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3358.4488999999999</c:v>
                </c:pt>
                <c:pt idx="2">
                  <c:v>3498.0922</c:v>
                </c:pt>
                <c:pt idx="3">
                  <c:v>3807.277</c:v>
                </c:pt>
                <c:pt idx="4">
                  <c:v>3564.1179999999999</c:v>
                </c:pt>
                <c:pt idx="5">
                  <c:v>3783.0149999999999</c:v>
                </c:pt>
                <c:pt idx="6">
                  <c:v>3478.8404</c:v>
                </c:pt>
                <c:pt idx="7">
                  <c:v>3707.2907</c:v>
                </c:pt>
                <c:pt idx="8">
                  <c:v>3480.3854000000001</c:v>
                </c:pt>
                <c:pt idx="9">
                  <c:v>3278.9078999999997</c:v>
                </c:pt>
                <c:pt idx="10">
                  <c:v>3787.2473</c:v>
                </c:pt>
                <c:pt idx="11">
                  <c:v>3546.5729999999999</c:v>
                </c:pt>
                <c:pt idx="12">
                  <c:v>3449.5672000000004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D4EC-49AD-A3A0-A3A7B64CED7D}"/>
            </c:ext>
          </c:extLst>
        </c:ser>
        <c:ser>
          <c:idx val="6"/>
          <c:order val="8"/>
          <c:tx>
            <c:strRef>
              <c:f>'לא להפצה'!$K$6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להפצה'!$K$7:$K$22</c:f>
            </c:numRef>
          </c:val>
          <c:smooth val="0"/>
          <c:extLst>
            <c:ext xmlns:c16="http://schemas.microsoft.com/office/drawing/2014/chart" uri="{C3380CC4-5D6E-409C-BE32-E72D297353CC}">
              <c16:uniqueId val="{00000020-D4EC-49AD-A3A0-A3A7B64CED7D}"/>
            </c:ext>
          </c:extLst>
        </c:ser>
        <c:ser>
          <c:idx val="7"/>
          <c:order val="9"/>
          <c:tx>
            <c:strRef>
              <c:f>'לא להפצה'!$L$6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להפצה'!$L$7:$L$22</c:f>
            </c:numRef>
          </c:val>
          <c:smooth val="0"/>
          <c:extLst>
            <c:ext xmlns:c16="http://schemas.microsoft.com/office/drawing/2014/chart" uri="{C3380CC4-5D6E-409C-BE32-E72D297353CC}">
              <c16:uniqueId val="{00000021-D4EC-49AD-A3A0-A3A7B64CED7D}"/>
            </c:ext>
          </c:extLst>
        </c:ser>
        <c:ser>
          <c:idx val="14"/>
          <c:order val="10"/>
          <c:tx>
            <c:strRef>
              <c:f>'לא להפצה'!$M$6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להפצה'!$M$7:$M$22</c:f>
            </c:numRef>
          </c:val>
          <c:smooth val="0"/>
          <c:extLst>
            <c:ext xmlns:c16="http://schemas.microsoft.com/office/drawing/2014/chart" uri="{C3380CC4-5D6E-409C-BE32-E72D297353CC}">
              <c16:uniqueId val="{00000022-D4EC-49AD-A3A0-A3A7B64CED7D}"/>
            </c:ext>
          </c:extLst>
        </c:ser>
        <c:ser>
          <c:idx val="8"/>
          <c:order val="11"/>
          <c:tx>
            <c:strRef>
              <c:f>'לא להפצה'!$N$6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להפצה'!$N$7:$N$22</c:f>
            </c:numRef>
          </c:val>
          <c:smooth val="0"/>
          <c:extLst>
            <c:ext xmlns:c16="http://schemas.microsoft.com/office/drawing/2014/chart" uri="{C3380CC4-5D6E-409C-BE32-E72D297353CC}">
              <c16:uniqueId val="{00000023-D4EC-49AD-A3A0-A3A7B64CED7D}"/>
            </c:ext>
          </c:extLst>
        </c:ser>
        <c:ser>
          <c:idx val="9"/>
          <c:order val="12"/>
          <c:tx>
            <c:strRef>
              <c:f>'לא להפצה'!$O$6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להפצה'!$O$7:$O$22</c:f>
            </c:numRef>
          </c:val>
          <c:smooth val="0"/>
          <c:extLst>
            <c:ext xmlns:c16="http://schemas.microsoft.com/office/drawing/2014/chart" uri="{C3380CC4-5D6E-409C-BE32-E72D297353CC}">
              <c16:uniqueId val="{00000024-D4EC-49AD-A3A0-A3A7B64CED7D}"/>
            </c:ext>
          </c:extLst>
        </c:ser>
        <c:ser>
          <c:idx val="10"/>
          <c:order val="13"/>
          <c:tx>
            <c:strRef>
              <c:f>'לא להפצה'!$P$6</c:f>
              <c:strCache>
                <c:ptCount val="1"/>
                <c:pt idx="0">
                  <c:v>נמל אילת:</c:v>
                </c:pt>
              </c:strCache>
            </c:strRef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0430335390134284E-2"/>
                  <c:y val="-3.40123676587332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4EC-49AD-A3A0-A3A7B64CED7D}"/>
                </c:ext>
              </c:extLst>
            </c:dLbl>
            <c:dLbl>
              <c:idx val="1"/>
              <c:layout>
                <c:manualLayout>
                  <c:x val="-4.0024376900117023E-2"/>
                  <c:y val="-3.0532180498405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4EC-49AD-A3A0-A3A7B64CED7D}"/>
                </c:ext>
              </c:extLst>
            </c:dLbl>
            <c:dLbl>
              <c:idx val="2"/>
              <c:layout>
                <c:manualLayout>
                  <c:x val="-2.6425806272896646E-2"/>
                  <c:y val="-2.4169130278479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4EC-49AD-A3A0-A3A7B64CED7D}"/>
                </c:ext>
              </c:extLst>
            </c:dLbl>
            <c:dLbl>
              <c:idx val="3"/>
              <c:layout>
                <c:manualLayout>
                  <c:x val="-2.8658370210320052E-2"/>
                  <c:y val="-2.117085661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4EC-49AD-A3A0-A3A7B64CED7D}"/>
                </c:ext>
              </c:extLst>
            </c:dLbl>
            <c:dLbl>
              <c:idx val="4"/>
              <c:layout>
                <c:manualLayout>
                  <c:x val="-2.9571811439137442E-2"/>
                  <c:y val="-1.8921245307214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4EC-49AD-A3A0-A3A7B64CED7D}"/>
                </c:ext>
              </c:extLst>
            </c:dLbl>
            <c:dLbl>
              <c:idx val="5"/>
              <c:layout>
                <c:manualLayout>
                  <c:x val="-2.784659173539979E-2"/>
                  <c:y val="-2.06054402596321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4EC-49AD-A3A0-A3A7B64CED7D}"/>
                </c:ext>
              </c:extLst>
            </c:dLbl>
            <c:dLbl>
              <c:idx val="6"/>
              <c:layout>
                <c:manualLayout>
                  <c:x val="-2.8759894459102878E-2"/>
                  <c:y val="-1.699407818719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4EC-49AD-A3A0-A3A7B64CED7D}"/>
                </c:ext>
              </c:extLst>
            </c:dLbl>
            <c:dLbl>
              <c:idx val="7"/>
              <c:layout>
                <c:manualLayout>
                  <c:x val="-2.7034674755365452E-2"/>
                  <c:y val="-1.797553758630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4EC-49AD-A3A0-A3A7B64CED7D}"/>
                </c:ext>
              </c:extLst>
            </c:dLbl>
            <c:dLbl>
              <c:idx val="8"/>
              <c:layout>
                <c:manualLayout>
                  <c:x val="-2.9267238692788741E-2"/>
                  <c:y val="-2.0768864818841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4EC-49AD-A3A0-A3A7B64CED7D}"/>
                </c:ext>
              </c:extLst>
            </c:dLbl>
            <c:dLbl>
              <c:idx val="9"/>
              <c:layout>
                <c:manualLayout>
                  <c:x val="-2.4903635066725417E-2"/>
                  <c:y val="-2.191425277901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4EC-49AD-A3A0-A3A7B64CED7D}"/>
                </c:ext>
              </c:extLst>
            </c:dLbl>
            <c:dLbl>
              <c:idx val="10"/>
              <c:layout>
                <c:manualLayout>
                  <c:x val="-2.713619900414823E-2"/>
                  <c:y val="-1.8692646207523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4EC-49AD-A3A0-A3A7B64CED7D}"/>
                </c:ext>
              </c:extLst>
            </c:dLbl>
            <c:dLbl>
              <c:idx val="11"/>
              <c:layout>
                <c:manualLayout>
                  <c:x val="-2.8049501727851294E-2"/>
                  <c:y val="-1.8447738340218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4EC-49AD-A3A0-A3A7B64CED7D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3366FF"/>
                    </a:solidFill>
                    <a:latin typeface="Arial"/>
                    <a:ea typeface="Arial"/>
                    <a:cs typeface="Arial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'לא להפצה'!$J$30:$J$41</c:f>
              <c:strCache>
                <c:ptCount val="12"/>
                <c:pt idx="0">
                  <c:v>Q4- 2005</c:v>
                </c:pt>
                <c:pt idx="1">
                  <c:v>Q3- 2005</c:v>
                </c:pt>
                <c:pt idx="2">
                  <c:v>Q2- 2005</c:v>
                </c:pt>
                <c:pt idx="3">
                  <c:v>Q1- 2005</c:v>
                </c:pt>
                <c:pt idx="4">
                  <c:v>Q4- 2004</c:v>
                </c:pt>
                <c:pt idx="5">
                  <c:v>Q3- 2004</c:v>
                </c:pt>
                <c:pt idx="6">
                  <c:v>Q2- 2004</c:v>
                </c:pt>
                <c:pt idx="7">
                  <c:v>Q1- 2004</c:v>
                </c:pt>
                <c:pt idx="8">
                  <c:v>Q4- 2003</c:v>
                </c:pt>
                <c:pt idx="9">
                  <c:v>Q3- 2003</c:v>
                </c:pt>
                <c:pt idx="10">
                  <c:v>Q2- 2003</c:v>
                </c:pt>
                <c:pt idx="11">
                  <c:v>Q1- 2003</c:v>
                </c:pt>
              </c:strCache>
            </c:strRef>
          </c:cat>
          <c:val>
            <c:numRef>
              <c:f>'לא להפצה'!$P$7:$P$22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634.70799999999997</c:v>
                </c:pt>
                <c:pt idx="2">
                  <c:v>728.01580000000001</c:v>
                </c:pt>
                <c:pt idx="3">
                  <c:v>477.06700000000001</c:v>
                </c:pt>
                <c:pt idx="4">
                  <c:v>653.99400000000003</c:v>
                </c:pt>
                <c:pt idx="5">
                  <c:v>600.27190000000007</c:v>
                </c:pt>
                <c:pt idx="6">
                  <c:v>525.56200000000001</c:v>
                </c:pt>
                <c:pt idx="7">
                  <c:v>556.73199999999997</c:v>
                </c:pt>
                <c:pt idx="8">
                  <c:v>427.83600000000001</c:v>
                </c:pt>
                <c:pt idx="9">
                  <c:v>444.46100000000001</c:v>
                </c:pt>
                <c:pt idx="10">
                  <c:v>524.35</c:v>
                </c:pt>
                <c:pt idx="11">
                  <c:v>605.36940000000004</c:v>
                </c:pt>
                <c:pt idx="12">
                  <c:v>530.1706999999999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D4EC-49AD-A3A0-A3A7B64CED7D}"/>
            </c:ext>
          </c:extLst>
        </c:ser>
        <c:ser>
          <c:idx val="11"/>
          <c:order val="14"/>
          <c:tx>
            <c:strRef>
              <c:f>'לא להפצה'!$Q$6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להפצה'!$Q$7:$Q$22</c:f>
            </c:numRef>
          </c:val>
          <c:smooth val="0"/>
          <c:extLst>
            <c:ext xmlns:c16="http://schemas.microsoft.com/office/drawing/2014/chart" uri="{C3380CC4-5D6E-409C-BE32-E72D297353CC}">
              <c16:uniqueId val="{00000032-D4EC-49AD-A3A0-A3A7B64CED7D}"/>
            </c:ext>
          </c:extLst>
        </c:ser>
        <c:ser>
          <c:idx val="15"/>
          <c:order val="15"/>
          <c:tx>
            <c:strRef>
              <c:f>'לא להפצה'!$R$6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להפצה'!$R$7:$R$22</c:f>
            </c:numRef>
          </c:val>
          <c:smooth val="0"/>
          <c:extLst>
            <c:ext xmlns:c16="http://schemas.microsoft.com/office/drawing/2014/chart" uri="{C3380CC4-5D6E-409C-BE32-E72D297353CC}">
              <c16:uniqueId val="{00000033-D4EC-49AD-A3A0-A3A7B64CED7D}"/>
            </c:ext>
          </c:extLst>
        </c:ser>
        <c:ser>
          <c:idx val="16"/>
          <c:order val="16"/>
          <c:tx>
            <c:strRef>
              <c:f>'לא להפצה'!$S$6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להפצה'!$S$7:$S$22</c:f>
            </c:numRef>
          </c:val>
          <c:smooth val="0"/>
          <c:extLst>
            <c:ext xmlns:c16="http://schemas.microsoft.com/office/drawing/2014/chart" uri="{C3380CC4-5D6E-409C-BE32-E72D297353CC}">
              <c16:uniqueId val="{00000034-D4EC-49AD-A3A0-A3A7B64CED7D}"/>
            </c:ext>
          </c:extLst>
        </c:ser>
        <c:ser>
          <c:idx val="17"/>
          <c:order val="17"/>
          <c:tx>
            <c:strRef>
              <c:f>'לא להפצה'!$T$6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להפצה'!$T$7:$T$22</c:f>
            </c:numRef>
          </c:val>
          <c:smooth val="0"/>
          <c:extLst>
            <c:ext xmlns:c16="http://schemas.microsoft.com/office/drawing/2014/chart" uri="{C3380CC4-5D6E-409C-BE32-E72D297353CC}">
              <c16:uniqueId val="{00000035-D4EC-49AD-A3A0-A3A7B64CED7D}"/>
            </c:ext>
          </c:extLst>
        </c:ser>
        <c:ser>
          <c:idx val="18"/>
          <c:order val="18"/>
          <c:tx>
            <c:strRef>
              <c:f>'לא להפצה'!$U$6</c:f>
              <c:strCache>
                <c:ptCount val="1"/>
              </c:strCache>
            </c:strRef>
          </c:tx>
          <c:cat>
            <c:strRef>
              <c:f>'לא להפצה'!$B$7:$B$22</c:f>
              <c:strCache>
                <c:ptCount val="10"/>
                <c:pt idx="0">
                  <c:v>שנה</c:v>
                </c:pt>
                <c:pt idx="1">
                  <c:v>2005</c:v>
                </c:pt>
                <c:pt idx="5">
                  <c:v>2004</c:v>
                </c:pt>
                <c:pt idx="9">
                  <c:v>2003</c:v>
                </c:pt>
              </c:strCache>
            </c:strRef>
          </c:cat>
          <c:val>
            <c:numRef>
              <c:f>'לא להפצה'!$U$7:$U$22</c:f>
            </c:numRef>
          </c:val>
          <c:smooth val="0"/>
          <c:extLst>
            <c:ext xmlns:c16="http://schemas.microsoft.com/office/drawing/2014/chart" uri="{C3380CC4-5D6E-409C-BE32-E72D297353CC}">
              <c16:uniqueId val="{00000036-D4EC-49AD-A3A0-A3A7B64C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87456"/>
        <c:axId val="69197824"/>
      </c:lineChart>
      <c:catAx>
        <c:axId val="6918745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1" u="none" strike="noStrike" baseline="0">
                    <a:solidFill>
                      <a:srgbClr val="FF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/>
                  <a:t>שנה+רבעון</a:t>
                </a:r>
              </a:p>
            </c:rich>
          </c:tx>
          <c:layout>
            <c:manualLayout>
              <c:xMode val="edge"/>
              <c:yMode val="edge"/>
              <c:x val="0.85488126649078189"/>
              <c:y val="0.7900473094051423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69197824"/>
        <c:crosses val="autoZero"/>
        <c:auto val="1"/>
        <c:lblAlgn val="ctr"/>
        <c:lblOffset val="100"/>
        <c:tickMarkSkip val="1"/>
        <c:noMultiLvlLbl val="0"/>
      </c:catAx>
      <c:valAx>
        <c:axId val="69197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50" b="1" i="1" u="none" strike="noStrike" baseline="0">
                    <a:solidFill>
                      <a:srgbClr val="FF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e-IL"/>
                  <a:t>סה"כ תנועות בנמל( באלפי טונות)</a:t>
                </a:r>
              </a:p>
            </c:rich>
          </c:tx>
          <c:layout>
            <c:manualLayout>
              <c:xMode val="edge"/>
              <c:yMode val="edge"/>
              <c:x val="1.3192612137203158E-2"/>
              <c:y val="0.3934684447492359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  <c:crossAx val="69187456"/>
        <c:crosses val="max"/>
        <c:crossBetween val="between"/>
        <c:dispUnits>
          <c:builtInUnit val="thousands"/>
        </c:dispUnits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e-IL"/>
          </a:p>
        </c:txPr>
      </c:dTable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5963060686015833E-3"/>
          <c:y val="9.3312597200622092E-3"/>
          <c:w val="0.20052770448548821"/>
          <c:h val="0.101088646967338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1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e-IL"/>
    </a:p>
  </c:txPr>
  <c:printSettings>
    <c:headerFooter alignWithMargins="0"/>
    <c:pageMargins b="1" l="0.75000000000000977" r="0.75000000000000977" t="1" header="0.5" footer="0.5"/>
    <c:pageSetup paperSize="9" orientation="landscape" horizontalDpi="300" verticalDpi="3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תחום נמל חיפה - </a:t>
            </a:r>
            <a:r>
              <a:rPr lang="en-US" sz="1400" b="0" i="0" u="none" strike="noStrike" baseline="0">
                <a:effectLst/>
              </a:rPr>
              <a:t>H1-2025</a:t>
            </a:r>
            <a:endParaRPr lang="he-IL"/>
          </a:p>
        </c:rich>
      </c:tx>
      <c:layout>
        <c:manualLayout>
          <c:xMode val="edge"/>
          <c:yMode val="edge"/>
          <c:x val="0.28310600637730199"/>
          <c:y val="3.129890453834115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גיליון3!$P$111</c:f>
              <c:strCache>
                <c:ptCount val="1"/>
                <c:pt idx="0">
                  <c:v>H1-2025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7-4F5C-BC4D-63B379EDA7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A7-4F5C-BC4D-63B379EDA7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A7-4F5C-BC4D-63B379EDA7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A7-4F5C-BC4D-63B379EDA7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A7-4F5C-BC4D-63B379EDA7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CA7-4F5C-BC4D-63B379EDA72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גיליון3!$Q$104:$V$106</c15:sqref>
                  </c15:fullRef>
                  <c15:levelRef>
                    <c15:sqref>גיליון3!$Q$105:$V$105</c15:sqref>
                  </c15:levelRef>
                </c:ext>
              </c:extLst>
              <c:f>גיליון3!$Q$105:$V$105</c:f>
              <c:strCache>
                <c:ptCount val="6"/>
                <c:pt idx="0">
                  <c:v> ח.נמל חיפה</c:v>
                </c:pt>
                <c:pt idx="1">
                  <c:v>ממגורות </c:v>
                </c:pt>
                <c:pt idx="2">
                  <c:v>דלק</c:v>
                </c:pt>
                <c:pt idx="3">
                  <c:v>כימיקלים</c:v>
                </c:pt>
                <c:pt idx="4">
                  <c:v>נמל המפרץ</c:v>
                </c:pt>
                <c:pt idx="5">
                  <c:v>נמל מספנות </c:v>
                </c:pt>
              </c:strCache>
            </c:strRef>
          </c:cat>
          <c:val>
            <c:numRef>
              <c:f>גיליון3!$Q$111:$V$111</c:f>
              <c:numCache>
                <c:formatCode>#,##0</c:formatCode>
                <c:ptCount val="6"/>
                <c:pt idx="0">
                  <c:v>5840.4985999999999</c:v>
                </c:pt>
                <c:pt idx="1">
                  <c:v>1251.6128119999998</c:v>
                </c:pt>
                <c:pt idx="2">
                  <c:v>2201.0708450000002</c:v>
                </c:pt>
                <c:pt idx="3">
                  <c:v>348.17</c:v>
                </c:pt>
                <c:pt idx="4">
                  <c:v>2855.9913179999999</c:v>
                </c:pt>
                <c:pt idx="5">
                  <c:v>1511.707486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F-4CDE-873F-34485776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 sz="1400" b="0" i="0" u="none" strike="noStrike" baseline="0">
                <a:effectLst/>
              </a:rPr>
              <a:t>תחום</a:t>
            </a:r>
            <a:r>
              <a:rPr lang="he-IL"/>
              <a:t> נמל אשדוד -</a:t>
            </a:r>
            <a:r>
              <a:rPr lang="en-US" sz="1400" b="0" i="0" u="none" strike="noStrike" baseline="0">
                <a:effectLst/>
              </a:rPr>
              <a:t>H1-2025 </a:t>
            </a:r>
            <a:endParaRPr lang="he-IL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גיליון3!$P$111</c:f>
              <c:strCache>
                <c:ptCount val="1"/>
                <c:pt idx="0">
                  <c:v>H1-2025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51-4C54-82B9-2CD77947C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51-4C54-82B9-2CD77947C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1BA-4892-AE3A-13BD33BE2EF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גיליון3!$W$104:$Y$106</c15:sqref>
                  </c15:fullRef>
                  <c15:levelRef>
                    <c15:sqref>גיליון3!$W$105:$Y$105</c15:sqref>
                  </c15:levelRef>
                </c:ext>
              </c:extLst>
              <c:f>גיליון3!$W$105:$Y$105</c:f>
              <c:strCache>
                <c:ptCount val="3"/>
                <c:pt idx="0">
                  <c:v> ח.נמל אשדוד</c:v>
                </c:pt>
                <c:pt idx="1">
                  <c:v>נמל הדרום</c:v>
                </c:pt>
                <c:pt idx="2">
                  <c:v>דלק</c:v>
                </c:pt>
              </c:strCache>
            </c:strRef>
          </c:cat>
          <c:val>
            <c:numRef>
              <c:f>גיליון3!$W$111:$Y$111</c:f>
              <c:numCache>
                <c:formatCode>#,##0</c:formatCode>
                <c:ptCount val="3"/>
                <c:pt idx="0">
                  <c:v>10469.962299999999</c:v>
                </c:pt>
                <c:pt idx="1">
                  <c:v>3113.6709850000002</c:v>
                </c:pt>
                <c:pt idx="2">
                  <c:v>396.21931000000001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7-42D7-8008-2903AD111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סה"כ תנועת מטענים -</a:t>
            </a:r>
            <a:r>
              <a:rPr lang="en-US"/>
              <a:t> </a:t>
            </a:r>
            <a:r>
              <a:rPr lang="he-IL"/>
              <a:t>פילוח לפי תאגידים </a:t>
            </a:r>
            <a:r>
              <a:rPr lang="en-US"/>
              <a:t>01-08/2025</a:t>
            </a:r>
            <a:endParaRPr lang="he-IL"/>
          </a:p>
        </c:rich>
      </c:tx>
      <c:layout>
        <c:manualLayout>
          <c:xMode val="edge"/>
          <c:yMode val="edge"/>
          <c:x val="0.19867213462612007"/>
          <c:y val="2.0938102423988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0.21854361239258299"/>
          <c:y val="0.12096979288280049"/>
          <c:w val="0.48519242017592223"/>
          <c:h val="0.743181771717130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A28-4B70-BBE7-6843077B5F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36-41E4-85AE-5AA8845D61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A28-4B70-BBE7-6843077B5FD7}"/>
              </c:ext>
            </c:extLst>
          </c:dPt>
          <c:dPt>
            <c:idx val="3"/>
            <c:bubble3D val="0"/>
            <c:explosion val="2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A28-4B70-BBE7-6843077B5F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136-41E4-85AE-5AA8845D61A7}"/>
              </c:ext>
            </c:extLst>
          </c:dPt>
          <c:dPt>
            <c:idx val="5"/>
            <c:bubble3D val="0"/>
            <c:explosion val="3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A28-4B70-BBE7-6843077B5F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136-41E4-85AE-5AA8845D61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136-41E4-85AE-5AA8845D61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136-41E4-85AE-5AA8845D61A7}"/>
              </c:ext>
            </c:extLst>
          </c:dPt>
          <c:dPt>
            <c:idx val="9"/>
            <c:bubble3D val="0"/>
            <c:explosion val="3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A28-4B70-BBE7-6843077B5FD7}"/>
              </c:ext>
            </c:extLst>
          </c:dPt>
          <c:dLbls>
            <c:dLbl>
              <c:idx val="0"/>
              <c:layout>
                <c:manualLayout>
                  <c:x val="-1.7430734804397021E-2"/>
                  <c:y val="0.133021151253569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A28-4B70-BBE7-6843077B5FD7}"/>
                </c:ext>
              </c:extLst>
            </c:dLbl>
            <c:dLbl>
              <c:idx val="2"/>
              <c:layout>
                <c:manualLayout>
                  <c:x val="-4.8246327613582614E-2"/>
                  <c:y val="9.66296732111047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A28-4B70-BBE7-6843077B5FD7}"/>
                </c:ext>
              </c:extLst>
            </c:dLbl>
            <c:dLbl>
              <c:idx val="3"/>
              <c:layout>
                <c:manualLayout>
                  <c:x val="-0.11605898888373829"/>
                  <c:y val="-1.02671922966220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A28-4B70-BBE7-6843077B5FD7}"/>
                </c:ext>
              </c:extLst>
            </c:dLbl>
            <c:dLbl>
              <c:idx val="5"/>
              <c:layout>
                <c:manualLayout>
                  <c:x val="5.0779519943805307E-2"/>
                  <c:y val="-0.10096061435006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A28-4B70-BBE7-6843077B5FD7}"/>
                </c:ext>
              </c:extLst>
            </c:dLbl>
            <c:dLbl>
              <c:idx val="9"/>
              <c:layout>
                <c:manualLayout>
                  <c:x val="7.48009450135214E-2"/>
                  <c:y val="8.61544401213428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A28-4B70-BBE7-6843077B5FD7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'סה"כ תנועת מטענים - טבלה'!$A$7:$J$7</c:f>
              <c:strCache>
                <c:ptCount val="10"/>
                <c:pt idx="0">
                  <c:v>ח.נ אילת</c:v>
                </c:pt>
                <c:pt idx="1">
                  <c:v>דלק אשדוד</c:v>
                </c:pt>
                <c:pt idx="2">
                  <c:v>נמל הדרום</c:v>
                </c:pt>
                <c:pt idx="3">
                  <c:v>ח.נמל אשדוד</c:v>
                </c:pt>
                <c:pt idx="4">
                  <c:v>מספנות  ישראל</c:v>
                </c:pt>
                <c:pt idx="5">
                  <c:v>נמל המפרץ</c:v>
                </c:pt>
                <c:pt idx="6">
                  <c:v>כימיקלים</c:v>
                </c:pt>
                <c:pt idx="7">
                  <c:v>דלק תש"ן</c:v>
                </c:pt>
                <c:pt idx="8">
                  <c:v>דגון</c:v>
                </c:pt>
                <c:pt idx="9">
                  <c:v> ח.נמל חיפה</c:v>
                </c:pt>
              </c:strCache>
            </c:strRef>
          </c:cat>
          <c:val>
            <c:numRef>
              <c:f>'סה"כ תנועת מטענים - טבלה'!$A$34:$J$34</c:f>
              <c:numCache>
                <c:formatCode>_ * #,##0_ ;_ * \-#,##0_ ;_ * "-"??_ ;_ @_ </c:formatCode>
                <c:ptCount val="10"/>
                <c:pt idx="0">
                  <c:v>320.21899999999999</c:v>
                </c:pt>
                <c:pt idx="1">
                  <c:v>559.27564400000006</c:v>
                </c:pt>
                <c:pt idx="2">
                  <c:v>4632.5952649999999</c:v>
                </c:pt>
                <c:pt idx="3">
                  <c:v>13949.189999999999</c:v>
                </c:pt>
                <c:pt idx="4">
                  <c:v>2179.0176759999999</c:v>
                </c:pt>
                <c:pt idx="5">
                  <c:v>3814.0640439999997</c:v>
                </c:pt>
                <c:pt idx="6">
                  <c:v>387.23599999999999</c:v>
                </c:pt>
                <c:pt idx="7">
                  <c:v>2390.0027240000004</c:v>
                </c:pt>
                <c:pt idx="8">
                  <c:v>1624.667696</c:v>
                </c:pt>
                <c:pt idx="9">
                  <c:v>7490.8139000000001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28-4B70-BBE7-6843077B5FD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he-IL"/>
              <a:t>סה"כ תנועת מטענים (באלפי טונות) בנמלי ישראל</a:t>
            </a:r>
            <a:r>
              <a:rPr lang="en-US"/>
              <a:t> </a:t>
            </a:r>
            <a:r>
              <a:rPr lang="he-IL"/>
              <a:t> </a:t>
            </a:r>
            <a:r>
              <a:rPr lang="en-US"/>
              <a:t>Q2/2025 - Q1/2021</a:t>
            </a:r>
          </a:p>
          <a:p>
            <a:pPr>
              <a:defRPr/>
            </a:pPr>
            <a:r>
              <a:rPr lang="en-US"/>
              <a:t>Total Freight (thousands of tons) Israeli ports Q1/2021-Q2/2025</a:t>
            </a:r>
          </a:p>
        </c:rich>
      </c:tx>
      <c:layout>
        <c:manualLayout>
          <c:xMode val="edge"/>
          <c:yMode val="edge"/>
          <c:x val="0.25029801792017375"/>
          <c:y val="5.4237360601418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0.13858430627206084"/>
          <c:y val="0.20331314354936408"/>
          <c:w val="0.82005061091501508"/>
          <c:h val="0.60685627249082574"/>
        </c:manualLayout>
      </c:layout>
      <c:lineChart>
        <c:grouping val="standard"/>
        <c:varyColors val="0"/>
        <c:ser>
          <c:idx val="0"/>
          <c:order val="0"/>
          <c:tx>
            <c:strRef>
              <c:f>גיליון3!$B$4</c:f>
              <c:strCache>
                <c:ptCount val="1"/>
                <c:pt idx="0">
                  <c:v>תחום נמל חיפה 
Haifa port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גיליון3!$A$65:$A$90</c:f>
              <c:strCache>
                <c:ptCount val="18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</c:strCache>
            </c:strRef>
          </c:cat>
          <c:val>
            <c:numRef>
              <c:f>גיליון3!$B$5:$B$90</c:f>
              <c:numCache>
                <c:formatCode>#,##0</c:formatCode>
                <c:ptCount val="18"/>
                <c:pt idx="0">
                  <c:v>6756.695256</c:v>
                </c:pt>
                <c:pt idx="1">
                  <c:v>7230.7219180000002</c:v>
                </c:pt>
                <c:pt idx="2">
                  <c:v>7156.2806719999999</c:v>
                </c:pt>
                <c:pt idx="3">
                  <c:v>7361.3430600000002</c:v>
                </c:pt>
                <c:pt idx="4">
                  <c:v>7431.8390989999998</c:v>
                </c:pt>
                <c:pt idx="5">
                  <c:v>7152.2604069999998</c:v>
                </c:pt>
                <c:pt idx="6">
                  <c:v>6389.9999010000001</c:v>
                </c:pt>
                <c:pt idx="7">
                  <c:v>5488.1690230000004</c:v>
                </c:pt>
                <c:pt idx="8">
                  <c:v>5278.8947800000005</c:v>
                </c:pt>
                <c:pt idx="9">
                  <c:v>5294.8413730000002</c:v>
                </c:pt>
                <c:pt idx="10">
                  <c:v>5769.0950849999999</c:v>
                </c:pt>
                <c:pt idx="11">
                  <c:v>5767.2466979999999</c:v>
                </c:pt>
                <c:pt idx="12">
                  <c:v>4540.3684519999997</c:v>
                </c:pt>
                <c:pt idx="13">
                  <c:v>4437.4267149999996</c:v>
                </c:pt>
                <c:pt idx="14">
                  <c:v>4684.0128340000001</c:v>
                </c:pt>
                <c:pt idx="15">
                  <c:v>5047.543694</c:v>
                </c:pt>
                <c:pt idx="16">
                  <c:v>4841.4647439999999</c:v>
                </c:pt>
                <c:pt idx="17">
                  <c:v>4799.8875129999997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B-462E-BC7D-5DA243065CE0}"/>
            </c:ext>
          </c:extLst>
        </c:ser>
        <c:ser>
          <c:idx val="3"/>
          <c:order val="1"/>
          <c:tx>
            <c:strRef>
              <c:f>גיליון3!$C$4</c:f>
              <c:strCache>
                <c:ptCount val="1"/>
                <c:pt idx="0">
                  <c:v>נמל המפרץ 
SIPG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גיליון3!$A$65:$A$90</c:f>
              <c:strCache>
                <c:ptCount val="18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</c:strCache>
            </c:strRef>
          </c:cat>
          <c:val>
            <c:numRef>
              <c:f>גיליון3!$C$65:$C$90</c:f>
              <c:numCache>
                <c:formatCode>#,##0</c:formatCode>
                <c:ptCount val="18"/>
                <c:pt idx="2">
                  <c:v>15.200199999999999</c:v>
                </c:pt>
                <c:pt idx="3">
                  <c:v>60.014800000000001</c:v>
                </c:pt>
                <c:pt idx="4">
                  <c:v>264.23800199999999</c:v>
                </c:pt>
                <c:pt idx="5">
                  <c:v>737.78477199999998</c:v>
                </c:pt>
                <c:pt idx="6">
                  <c:v>1187.3494760000001</c:v>
                </c:pt>
                <c:pt idx="7">
                  <c:v>1715.4916290000001</c:v>
                </c:pt>
                <c:pt idx="8">
                  <c:v>2404.6118240000001</c:v>
                </c:pt>
                <c:pt idx="9">
                  <c:v>2521.9233439999998</c:v>
                </c:pt>
                <c:pt idx="10">
                  <c:v>2239.4713160000001</c:v>
                </c:pt>
                <c:pt idx="11">
                  <c:v>1423.2905029999997</c:v>
                </c:pt>
                <c:pt idx="12">
                  <c:v>1530.2329519999998</c:v>
                </c:pt>
                <c:pt idx="13">
                  <c:v>1271.9376730000004</c:v>
                </c:pt>
                <c:pt idx="14">
                  <c:v>1158.3685009999999</c:v>
                </c:pt>
                <c:pt idx="15">
                  <c:v>1289.047998</c:v>
                </c:pt>
                <c:pt idx="16">
                  <c:v>1503.544367</c:v>
                </c:pt>
                <c:pt idx="17">
                  <c:v>1352.4469509999999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D-40E7-8E7D-4C33CFCA9007}"/>
            </c:ext>
          </c:extLst>
        </c:ser>
        <c:ser>
          <c:idx val="4"/>
          <c:order val="2"/>
          <c:tx>
            <c:strRef>
              <c:f>גיליון3!$D$4</c:f>
              <c:strCache>
                <c:ptCount val="1"/>
                <c:pt idx="0">
                  <c:v>נמל מספנות ישראל 
Israel shipyards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גיליון3!$A$65:$A$90</c:f>
              <c:strCache>
                <c:ptCount val="18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</c:strCache>
            </c:strRef>
          </c:cat>
          <c:val>
            <c:numRef>
              <c:f>גיליון3!$D$65:$D$90</c:f>
              <c:numCache>
                <c:formatCode>#,##0</c:formatCode>
                <c:ptCount val="18"/>
                <c:pt idx="0">
                  <c:v>1145.1053890000001</c:v>
                </c:pt>
                <c:pt idx="1">
                  <c:v>1240.1030000000001</c:v>
                </c:pt>
                <c:pt idx="2">
                  <c:v>1191.596822</c:v>
                </c:pt>
                <c:pt idx="3">
                  <c:v>1228.8490000000002</c:v>
                </c:pt>
                <c:pt idx="4">
                  <c:v>1258.422</c:v>
                </c:pt>
                <c:pt idx="5">
                  <c:v>1059.385</c:v>
                </c:pt>
                <c:pt idx="6">
                  <c:v>1068.1990000000001</c:v>
                </c:pt>
                <c:pt idx="7">
                  <c:v>1070.6079999999999</c:v>
                </c:pt>
                <c:pt idx="8">
                  <c:v>1004.8330000000001</c:v>
                </c:pt>
                <c:pt idx="9">
                  <c:v>956.53599999999994</c:v>
                </c:pt>
                <c:pt idx="10">
                  <c:v>874.68899999999996</c:v>
                </c:pt>
                <c:pt idx="11">
                  <c:v>862.03399999999988</c:v>
                </c:pt>
                <c:pt idx="12">
                  <c:v>768.19</c:v>
                </c:pt>
                <c:pt idx="13">
                  <c:v>787.55123299999991</c:v>
                </c:pt>
                <c:pt idx="14">
                  <c:v>965.64865900000007</c:v>
                </c:pt>
                <c:pt idx="15">
                  <c:v>867.39499999999998</c:v>
                </c:pt>
                <c:pt idx="16">
                  <c:v>763.72803499999998</c:v>
                </c:pt>
                <c:pt idx="17">
                  <c:v>747.97945100000004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D-40E7-8E7D-4C33CFCA9007}"/>
            </c:ext>
          </c:extLst>
        </c:ser>
        <c:ser>
          <c:idx val="1"/>
          <c:order val="3"/>
          <c:tx>
            <c:strRef>
              <c:f>גיליון3!$E$4</c:f>
              <c:strCache>
                <c:ptCount val="1"/>
                <c:pt idx="0">
                  <c:v>תחום נמל אשדוד 
Ashdod port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גיליון3!$A$65:$A$90</c:f>
              <c:strCache>
                <c:ptCount val="18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</c:strCache>
            </c:strRef>
          </c:cat>
          <c:val>
            <c:numRef>
              <c:f>גיליון3!$E$5:$E$90</c:f>
              <c:numCache>
                <c:formatCode>#,##0</c:formatCode>
                <c:ptCount val="18"/>
                <c:pt idx="0">
                  <c:v>6092.5160399999995</c:v>
                </c:pt>
                <c:pt idx="1">
                  <c:v>6102.208971</c:v>
                </c:pt>
                <c:pt idx="2">
                  <c:v>5994.965850999999</c:v>
                </c:pt>
                <c:pt idx="3">
                  <c:v>6296.9275579999994</c:v>
                </c:pt>
                <c:pt idx="4">
                  <c:v>5993.1907700000011</c:v>
                </c:pt>
                <c:pt idx="5">
                  <c:v>6140.2313299999996</c:v>
                </c:pt>
                <c:pt idx="6">
                  <c:v>5607.2079339999991</c:v>
                </c:pt>
                <c:pt idx="7">
                  <c:v>5088.4358179999999</c:v>
                </c:pt>
                <c:pt idx="8">
                  <c:v>5336.8158990000002</c:v>
                </c:pt>
                <c:pt idx="9">
                  <c:v>5084.3451989999994</c:v>
                </c:pt>
                <c:pt idx="10">
                  <c:v>5318.4584939999995</c:v>
                </c:pt>
                <c:pt idx="11">
                  <c:v>4383.6527390000001</c:v>
                </c:pt>
                <c:pt idx="12">
                  <c:v>4942.773443</c:v>
                </c:pt>
                <c:pt idx="13">
                  <c:v>4890.5803720000004</c:v>
                </c:pt>
                <c:pt idx="14">
                  <c:v>5390.0737419999996</c:v>
                </c:pt>
                <c:pt idx="15">
                  <c:v>5230.8770860000004</c:v>
                </c:pt>
                <c:pt idx="16">
                  <c:v>5483.733373</c:v>
                </c:pt>
                <c:pt idx="17">
                  <c:v>5382.4482369999996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8B-462E-BC7D-5DA243065CE0}"/>
            </c:ext>
          </c:extLst>
        </c:ser>
        <c:ser>
          <c:idx val="5"/>
          <c:order val="4"/>
          <c:tx>
            <c:strRef>
              <c:f>גיליון3!$F$4</c:f>
              <c:strCache>
                <c:ptCount val="1"/>
                <c:pt idx="0">
                  <c:v>נמל הדרום
HCT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גיליון3!$A$65:$A$90</c:f>
              <c:strCache>
                <c:ptCount val="18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</c:strCache>
            </c:strRef>
          </c:cat>
          <c:val>
            <c:numRef>
              <c:f>גיליון3!$F$65:$F$90</c:f>
              <c:numCache>
                <c:formatCode>#,##0</c:formatCode>
                <c:ptCount val="18"/>
                <c:pt idx="2">
                  <c:v>17.669</c:v>
                </c:pt>
                <c:pt idx="3">
                  <c:v>31.146599999999999</c:v>
                </c:pt>
                <c:pt idx="4">
                  <c:v>44.20176</c:v>
                </c:pt>
                <c:pt idx="5">
                  <c:v>145.56087400000001</c:v>
                </c:pt>
                <c:pt idx="6">
                  <c:v>456.38527799999997</c:v>
                </c:pt>
                <c:pt idx="7">
                  <c:v>558.99115060000008</c:v>
                </c:pt>
                <c:pt idx="8">
                  <c:v>819.49610388399992</c:v>
                </c:pt>
                <c:pt idx="9">
                  <c:v>1440.4552289299991</c:v>
                </c:pt>
                <c:pt idx="10">
                  <c:v>1287.42320406262</c:v>
                </c:pt>
                <c:pt idx="11">
                  <c:v>735.02704286099993</c:v>
                </c:pt>
                <c:pt idx="12">
                  <c:v>878.02030678699896</c:v>
                </c:pt>
                <c:pt idx="13">
                  <c:v>1617.5102709970013</c:v>
                </c:pt>
                <c:pt idx="14">
                  <c:v>1783.830360157001</c:v>
                </c:pt>
                <c:pt idx="15">
                  <c:v>1572.4258259510013</c:v>
                </c:pt>
                <c:pt idx="16">
                  <c:v>1471.4436230000001</c:v>
                </c:pt>
                <c:pt idx="17">
                  <c:v>1642.2273620000001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D-40E7-8E7D-4C33CFCA9007}"/>
            </c:ext>
          </c:extLst>
        </c:ser>
        <c:ser>
          <c:idx val="2"/>
          <c:order val="5"/>
          <c:tx>
            <c:strRef>
              <c:f>גיליון3!$G$4</c:f>
              <c:strCache>
                <c:ptCount val="1"/>
                <c:pt idx="0">
                  <c:v>נמל אילת 
Eilat port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גיליון3!$A$65:$A$90</c:f>
              <c:strCache>
                <c:ptCount val="18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</c:strCache>
            </c:strRef>
          </c:cat>
          <c:val>
            <c:numRef>
              <c:f>גיליון3!$G$5:$G$90</c:f>
              <c:numCache>
                <c:formatCode>#,##0</c:formatCode>
                <c:ptCount val="18"/>
                <c:pt idx="0">
                  <c:v>404.05700000000002</c:v>
                </c:pt>
                <c:pt idx="1">
                  <c:v>507.96699999999998</c:v>
                </c:pt>
                <c:pt idx="2">
                  <c:v>412.15000000000003</c:v>
                </c:pt>
                <c:pt idx="3">
                  <c:v>518.87990000000002</c:v>
                </c:pt>
                <c:pt idx="4">
                  <c:v>453.50200000000001</c:v>
                </c:pt>
                <c:pt idx="5">
                  <c:v>402.09140000000002</c:v>
                </c:pt>
                <c:pt idx="6">
                  <c:v>481.85299999999995</c:v>
                </c:pt>
                <c:pt idx="7">
                  <c:v>517.63300000000004</c:v>
                </c:pt>
                <c:pt idx="8">
                  <c:v>307.27100000000002</c:v>
                </c:pt>
                <c:pt idx="9">
                  <c:v>578.702</c:v>
                </c:pt>
                <c:pt idx="10">
                  <c:v>538.64499999999998</c:v>
                </c:pt>
                <c:pt idx="11">
                  <c:v>437.72</c:v>
                </c:pt>
                <c:pt idx="12">
                  <c:v>226.45999999999998</c:v>
                </c:pt>
                <c:pt idx="13">
                  <c:v>127.145</c:v>
                </c:pt>
                <c:pt idx="14">
                  <c:v>94.698000000000008</c:v>
                </c:pt>
                <c:pt idx="15">
                  <c:v>220.53800000000001</c:v>
                </c:pt>
                <c:pt idx="16">
                  <c:v>151.47399999999999</c:v>
                </c:pt>
                <c:pt idx="17">
                  <c:v>88.977000000000004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8B-462E-BC7D-5DA243065C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392256"/>
        <c:axId val="69393792"/>
      </c:lineChart>
      <c:catAx>
        <c:axId val="6939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9393792"/>
        <c:crosses val="autoZero"/>
        <c:auto val="1"/>
        <c:lblAlgn val="ctr"/>
        <c:lblOffset val="100"/>
        <c:noMultiLvlLbl val="0"/>
      </c:catAx>
      <c:valAx>
        <c:axId val="693937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אלפי טונות</a:t>
                </a:r>
                <a:r>
                  <a:rPr lang="en-US"/>
                  <a:t>  thousands of tons - </a:t>
                </a:r>
                <a:endParaRPr lang="he-IL"/>
              </a:p>
            </c:rich>
          </c:tx>
          <c:layout>
            <c:manualLayout>
              <c:xMode val="edge"/>
              <c:yMode val="edge"/>
              <c:x val="9.6518441916580728E-3"/>
              <c:y val="0.28474576271186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#,##0" sourceLinked="1"/>
        <c:majorTickMark val="none"/>
        <c:minorTickMark val="none"/>
        <c:tickLblPos val="nextTo"/>
        <c:crossAx val="693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he-IL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 sz="1600"/>
              <a:t>סה"כ תנועת מטענים (באלפי טונות) בנמלי ישראל </a:t>
            </a:r>
            <a:r>
              <a:rPr lang="en-US" sz="1600"/>
              <a:t>H1/2025 - 2013</a:t>
            </a:r>
          </a:p>
        </c:rich>
      </c:tx>
      <c:layout>
        <c:manualLayout>
          <c:xMode val="edge"/>
          <c:yMode val="edge"/>
          <c:x val="0.17997091318213415"/>
          <c:y val="5.6499804040332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0.1261705131686125"/>
          <c:y val="0.27118644067796632"/>
          <c:w val="0.83246440401846322"/>
          <c:h val="0.538983050847457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גיליון3!$B$93</c:f>
              <c:strCache>
                <c:ptCount val="1"/>
                <c:pt idx="0">
                  <c:v>תחום נמל חיפה 
Haifa 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גיליון3!$A$96:$A$111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גיליון3!$B$94:$B$111</c:f>
              <c:numCache>
                <c:formatCode>#,##0</c:formatCode>
                <c:ptCount val="13"/>
                <c:pt idx="0">
                  <c:v>25787.8377</c:v>
                </c:pt>
                <c:pt idx="1">
                  <c:v>27500.156901000002</c:v>
                </c:pt>
                <c:pt idx="2">
                  <c:v>27259.427700000004</c:v>
                </c:pt>
                <c:pt idx="3">
                  <c:v>28026.569905000004</c:v>
                </c:pt>
                <c:pt idx="4">
                  <c:v>29251.804170000003</c:v>
                </c:pt>
                <c:pt idx="5">
                  <c:v>29531.032339000005</c:v>
                </c:pt>
                <c:pt idx="6">
                  <c:v>29084.26626</c:v>
                </c:pt>
                <c:pt idx="7">
                  <c:v>26797.953678999998</c:v>
                </c:pt>
                <c:pt idx="8">
                  <c:v>28505.040905999998</c:v>
                </c:pt>
                <c:pt idx="9">
                  <c:v>26462.268429999996</c:v>
                </c:pt>
                <c:pt idx="10">
                  <c:v>22110.077936000002</c:v>
                </c:pt>
                <c:pt idx="11">
                  <c:v>18709.351695000001</c:v>
                </c:pt>
                <c:pt idx="12">
                  <c:v>9641.3522569999986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8C-4FA1-8143-73652844C33D}"/>
            </c:ext>
          </c:extLst>
        </c:ser>
        <c:ser>
          <c:idx val="3"/>
          <c:order val="1"/>
          <c:tx>
            <c:strRef>
              <c:f>גיליון3!$C$93</c:f>
              <c:strCache>
                <c:ptCount val="1"/>
                <c:pt idx="0">
                  <c:v>נמל המפרץ 
SIPG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גיליון3!$A$96:$A$111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גיליון3!$C$98:$C$111</c:f>
              <c:numCache>
                <c:formatCode>#,##0</c:formatCode>
                <c:ptCount val="13"/>
                <c:pt idx="8">
                  <c:v>75.215000000000003</c:v>
                </c:pt>
                <c:pt idx="9">
                  <c:v>3904.8638790000005</c:v>
                </c:pt>
                <c:pt idx="10">
                  <c:v>8589.2969869999997</c:v>
                </c:pt>
                <c:pt idx="11">
                  <c:v>5249.5871239999997</c:v>
                </c:pt>
                <c:pt idx="12">
                  <c:v>2855.9913179999999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A-4EDA-B9B3-94B41AA84A54}"/>
            </c:ext>
          </c:extLst>
        </c:ser>
        <c:ser>
          <c:idx val="5"/>
          <c:order val="2"/>
          <c:tx>
            <c:strRef>
              <c:f>גיליון3!$D$93</c:f>
              <c:strCache>
                <c:ptCount val="1"/>
                <c:pt idx="0">
                  <c:v>נמל מספנות ישראל 
Israel shipyards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he-IL"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גיליון3!$A$96:$A$111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גיליון3!$D$98:$D$111</c:f>
              <c:numCache>
                <c:formatCode>#,##0</c:formatCode>
                <c:ptCount val="13"/>
                <c:pt idx="0">
                  <c:v>894.16587100000004</c:v>
                </c:pt>
                <c:pt idx="1">
                  <c:v>1930.758</c:v>
                </c:pt>
                <c:pt idx="2">
                  <c:v>2135.8130000000001</c:v>
                </c:pt>
                <c:pt idx="3">
                  <c:v>2825.5219999999999</c:v>
                </c:pt>
                <c:pt idx="4">
                  <c:v>2928.253827333333</c:v>
                </c:pt>
                <c:pt idx="5">
                  <c:v>3418.8220000000001</c:v>
                </c:pt>
                <c:pt idx="6">
                  <c:v>3074.337023</c:v>
                </c:pt>
                <c:pt idx="7">
                  <c:v>4456.5884900000001</c:v>
                </c:pt>
                <c:pt idx="8">
                  <c:v>4805.6542110000009</c:v>
                </c:pt>
                <c:pt idx="9">
                  <c:v>4456.6139999999996</c:v>
                </c:pt>
                <c:pt idx="10">
                  <c:v>3698.0919999999996</c:v>
                </c:pt>
                <c:pt idx="11">
                  <c:v>3388.7848920000001</c:v>
                </c:pt>
                <c:pt idx="12">
                  <c:v>1511.707486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A-4EDA-B9B3-94B41AA84A54}"/>
            </c:ext>
          </c:extLst>
        </c:ser>
        <c:ser>
          <c:idx val="1"/>
          <c:order val="3"/>
          <c:tx>
            <c:strRef>
              <c:f>גיליון3!$E$93</c:f>
              <c:strCache>
                <c:ptCount val="1"/>
                <c:pt idx="0">
                  <c:v>תחום נמל אשדוד 
Ashdod 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גיליון3!$A$96:$A$111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גיליון3!$E$94:$E$111</c:f>
              <c:numCache>
                <c:formatCode>#,##0</c:formatCode>
                <c:ptCount val="13"/>
                <c:pt idx="0">
                  <c:v>19213.308300000001</c:v>
                </c:pt>
                <c:pt idx="1">
                  <c:v>21554.738701999999</c:v>
                </c:pt>
                <c:pt idx="2">
                  <c:v>22273.484852000001</c:v>
                </c:pt>
                <c:pt idx="3">
                  <c:v>24086.417921</c:v>
                </c:pt>
                <c:pt idx="4">
                  <c:v>23584.549037000001</c:v>
                </c:pt>
                <c:pt idx="5">
                  <c:v>23475.047113000001</c:v>
                </c:pt>
                <c:pt idx="6">
                  <c:v>23589.920326000003</c:v>
                </c:pt>
                <c:pt idx="7">
                  <c:v>23973.645384000003</c:v>
                </c:pt>
                <c:pt idx="8">
                  <c:v>24486.618419999995</c:v>
                </c:pt>
                <c:pt idx="9">
                  <c:v>22829.065852</c:v>
                </c:pt>
                <c:pt idx="10">
                  <c:v>20123.272331</c:v>
                </c:pt>
                <c:pt idx="11">
                  <c:v>20454.304642999999</c:v>
                </c:pt>
                <c:pt idx="12">
                  <c:v>10866.18161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A8C-4FA1-8143-73652844C33D}"/>
            </c:ext>
          </c:extLst>
        </c:ser>
        <c:ser>
          <c:idx val="6"/>
          <c:order val="4"/>
          <c:tx>
            <c:strRef>
              <c:f>גיליון3!$F$93</c:f>
              <c:strCache>
                <c:ptCount val="1"/>
                <c:pt idx="0">
                  <c:v>נמל הדרום
HCT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גיליון3!$A$96:$A$111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גיליון3!$F$98:$F$111</c:f>
              <c:numCache>
                <c:formatCode>#,##0</c:formatCode>
                <c:ptCount val="13"/>
                <c:pt idx="8">
                  <c:v>48.815600000000003</c:v>
                </c:pt>
                <c:pt idx="9">
                  <c:v>1205.1390626000002</c:v>
                </c:pt>
                <c:pt idx="10">
                  <c:v>4282.4015797376196</c:v>
                </c:pt>
                <c:pt idx="11">
                  <c:v>5851.7867638920025</c:v>
                </c:pt>
                <c:pt idx="12">
                  <c:v>3113.6709850000002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A-4EDA-B9B3-94B41AA84A54}"/>
            </c:ext>
          </c:extLst>
        </c:ser>
        <c:ser>
          <c:idx val="2"/>
          <c:order val="5"/>
          <c:tx>
            <c:strRef>
              <c:f>גיליון3!$G$93</c:f>
              <c:strCache>
                <c:ptCount val="1"/>
                <c:pt idx="0">
                  <c:v>נמל אילת 
Eilat 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גיליון3!$A$96:$A$111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גיליון3!$G$94:$G$111</c:f>
              <c:numCache>
                <c:formatCode>#,##0</c:formatCode>
                <c:ptCount val="13"/>
                <c:pt idx="0">
                  <c:v>2081.927702</c:v>
                </c:pt>
                <c:pt idx="1">
                  <c:v>2310.2189677692309</c:v>
                </c:pt>
                <c:pt idx="2">
                  <c:v>2103.1847218362882</c:v>
                </c:pt>
                <c:pt idx="3">
                  <c:v>2109.4162609999998</c:v>
                </c:pt>
                <c:pt idx="4">
                  <c:v>2171.4550749999999</c:v>
                </c:pt>
                <c:pt idx="5">
                  <c:v>2290.1909999999998</c:v>
                </c:pt>
                <c:pt idx="6">
                  <c:v>1944.7170999999998</c:v>
                </c:pt>
                <c:pt idx="7">
                  <c:v>2224.5709999999999</c:v>
                </c:pt>
                <c:pt idx="8">
                  <c:v>1843.0538999999999</c:v>
                </c:pt>
                <c:pt idx="9">
                  <c:v>1855.0793999999999</c:v>
                </c:pt>
                <c:pt idx="10">
                  <c:v>1862.338</c:v>
                </c:pt>
                <c:pt idx="11">
                  <c:v>668.84100000000001</c:v>
                </c:pt>
                <c:pt idx="12">
                  <c:v>240.45099999999999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A8C-4FA1-8143-73652844C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336752"/>
        <c:axId val="600337408"/>
      </c:barChart>
      <c:lineChart>
        <c:grouping val="standard"/>
        <c:varyColors val="0"/>
        <c:ser>
          <c:idx val="4"/>
          <c:order val="6"/>
          <c:tx>
            <c:strRef>
              <c:f>גיליון3!$H$93</c:f>
              <c:strCache>
                <c:ptCount val="1"/>
                <c:pt idx="0">
                  <c:v>כל הנמלים 
 Total ports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גיליון3!$A$98:$A$111</c:f>
              <c:strCache>
                <c:ptCount val="13"/>
                <c:pt idx="0">
                  <c:v>2013 </c:v>
                </c:pt>
                <c:pt idx="1">
                  <c:v>2014 </c:v>
                </c:pt>
                <c:pt idx="2">
                  <c:v>2015 </c:v>
                </c:pt>
                <c:pt idx="3">
                  <c:v>2016 </c:v>
                </c:pt>
                <c:pt idx="4">
                  <c:v>2017 </c:v>
                </c:pt>
                <c:pt idx="5">
                  <c:v>2018 </c:v>
                </c:pt>
                <c:pt idx="6">
                  <c:v>2019 </c:v>
                </c:pt>
                <c:pt idx="7">
                  <c:v>2020 </c:v>
                </c:pt>
                <c:pt idx="8">
                  <c:v>2021 </c:v>
                </c:pt>
                <c:pt idx="9">
                  <c:v>2022 </c:v>
                </c:pt>
                <c:pt idx="10">
                  <c:v>2023 </c:v>
                </c:pt>
                <c:pt idx="11">
                  <c:v>2024 </c:v>
                </c:pt>
                <c:pt idx="12">
                  <c:v>H1-2025</c:v>
                </c:pt>
              </c:strCache>
            </c:strRef>
          </c:cat>
          <c:val>
            <c:numRef>
              <c:f>גיליון3!$H$96:$H$111</c:f>
              <c:numCache>
                <c:formatCode>#,##0</c:formatCode>
                <c:ptCount val="13"/>
                <c:pt idx="0">
                  <c:v>47977.239572999999</c:v>
                </c:pt>
                <c:pt idx="1">
                  <c:v>53295.872570769228</c:v>
                </c:pt>
                <c:pt idx="2">
                  <c:v>53771.910273836285</c:v>
                </c:pt>
                <c:pt idx="3">
                  <c:v>57047.926087</c:v>
                </c:pt>
                <c:pt idx="4">
                  <c:v>57936.062109333332</c:v>
                </c:pt>
                <c:pt idx="5">
                  <c:v>58715.092451999997</c:v>
                </c:pt>
                <c:pt idx="6">
                  <c:v>57693.240708999998</c:v>
                </c:pt>
                <c:pt idx="7">
                  <c:v>57452.758553</c:v>
                </c:pt>
                <c:pt idx="8">
                  <c:v>59764.398036999999</c:v>
                </c:pt>
                <c:pt idx="9">
                  <c:v>60713.030623600003</c:v>
                </c:pt>
                <c:pt idx="10">
                  <c:v>60665.478833737616</c:v>
                </c:pt>
                <c:pt idx="11">
                  <c:v>54322.656117892002</c:v>
                </c:pt>
                <c:pt idx="12">
                  <c:v>28229.354655999996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83E-4BD0-A741-64DC40673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287368"/>
        <c:axId val="612285072"/>
        <c:extLst/>
      </c:lineChart>
      <c:valAx>
        <c:axId val="600337408"/>
        <c:scaling>
          <c:orientation val="minMax"/>
        </c:scaling>
        <c:delete val="1"/>
        <c:axPos val="r"/>
        <c:numFmt formatCode="#,##0" sourceLinked="1"/>
        <c:majorTickMark val="none"/>
        <c:minorTickMark val="none"/>
        <c:tickLblPos val="nextTo"/>
        <c:crossAx val="600336752"/>
        <c:crosses val="max"/>
        <c:crossBetween val="between"/>
      </c:valAx>
      <c:catAx>
        <c:axId val="60033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00337408"/>
        <c:crosses val="autoZero"/>
        <c:auto val="1"/>
        <c:lblAlgn val="ctr"/>
        <c:lblOffset val="100"/>
        <c:noMultiLvlLbl val="0"/>
      </c:catAx>
      <c:valAx>
        <c:axId val="6122850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12287368"/>
        <c:crosses val="autoZero"/>
        <c:crossBetween val="between"/>
      </c:valAx>
      <c:catAx>
        <c:axId val="612287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2285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242561090296488E-2"/>
          <c:y val="0.15278280542986428"/>
          <c:w val="0.97575743890970357"/>
          <c:h val="7.9201553425731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מרחב נמל חיפה  </a:t>
            </a:r>
            <a:r>
              <a:rPr lang="en-US" sz="1800" b="1" i="0" u="none" strike="noStrike" baseline="0">
                <a:effectLst/>
              </a:rPr>
              <a:t>H1-2025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גיליון3!$P$111</c:f>
              <c:strCache>
                <c:ptCount val="1"/>
                <c:pt idx="0">
                  <c:v>H1-2025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C6-4BE9-A78C-52EF3BBA9F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C6-4BE9-A78C-52EF3BBA9F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C6-4BE9-A78C-52EF3BBA9F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C6-4BE9-A78C-52EF3BBA9F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C6-4BE9-A78C-52EF3BBA9F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C6-4BE9-A78C-52EF3BBA9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גיליון3!$Q$104:$V$106</c15:sqref>
                  </c15:fullRef>
                  <c15:levelRef>
                    <c15:sqref>גיליון3!$Q$105:$V$105</c15:sqref>
                  </c15:levelRef>
                </c:ext>
              </c:extLst>
              <c:f>גיליון3!$Q$105:$V$105</c:f>
              <c:strCache>
                <c:ptCount val="6"/>
                <c:pt idx="0">
                  <c:v> ח.נמל חיפה</c:v>
                </c:pt>
                <c:pt idx="1">
                  <c:v>ממגורות </c:v>
                </c:pt>
                <c:pt idx="2">
                  <c:v>דלק</c:v>
                </c:pt>
                <c:pt idx="3">
                  <c:v>כימיקלים</c:v>
                </c:pt>
                <c:pt idx="4">
                  <c:v>נמל המפרץ</c:v>
                </c:pt>
                <c:pt idx="5">
                  <c:v>נמל מספנות </c:v>
                </c:pt>
              </c:strCache>
            </c:strRef>
          </c:cat>
          <c:val>
            <c:numRef>
              <c:f>גיליון3!$Q$111:$V$111</c:f>
              <c:numCache>
                <c:formatCode>#,##0</c:formatCode>
                <c:ptCount val="6"/>
                <c:pt idx="0">
                  <c:v>5840.4985999999999</c:v>
                </c:pt>
                <c:pt idx="1">
                  <c:v>1251.6128119999998</c:v>
                </c:pt>
                <c:pt idx="2">
                  <c:v>2201.0708450000002</c:v>
                </c:pt>
                <c:pt idx="3">
                  <c:v>348.17</c:v>
                </c:pt>
                <c:pt idx="4">
                  <c:v>2855.9913179999999</c:v>
                </c:pt>
                <c:pt idx="5">
                  <c:v>1511.707486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C6-4BE9-A78C-52EF3BBA9FF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מרחב נמל אשדוד</a:t>
            </a:r>
            <a:r>
              <a:rPr lang="en-US"/>
              <a:t>H1-2025   </a:t>
            </a:r>
            <a:r>
              <a:rPr lang="he-IL"/>
              <a:t> </a:t>
            </a:r>
          </a:p>
        </c:rich>
      </c:tx>
      <c:layout>
        <c:manualLayout>
          <c:xMode val="edge"/>
          <c:yMode val="edge"/>
          <c:x val="0.20469444444444443"/>
          <c:y val="2.2401433691756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גיליון3!$P$111</c:f>
              <c:strCache>
                <c:ptCount val="1"/>
                <c:pt idx="0">
                  <c:v>H1-2025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6A-455F-9065-A3AF39E250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6A-455F-9065-A3AF39E250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1EA-4F47-A693-9DC04193F5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גיליון3!$W$104:$Y$106</c15:sqref>
                  </c15:fullRef>
                  <c15:levelRef>
                    <c15:sqref>גיליון3!$W$105:$Y$105</c15:sqref>
                  </c15:levelRef>
                </c:ext>
              </c:extLst>
              <c:f>גיליון3!$W$105:$Y$105</c:f>
              <c:strCache>
                <c:ptCount val="3"/>
                <c:pt idx="0">
                  <c:v> ח.נמל אשדוד</c:v>
                </c:pt>
                <c:pt idx="1">
                  <c:v>נמל הדרום</c:v>
                </c:pt>
                <c:pt idx="2">
                  <c:v>דלק</c:v>
                </c:pt>
              </c:strCache>
            </c:strRef>
          </c:cat>
          <c:val>
            <c:numRef>
              <c:f>גיליון3!$W$111:$Y$111</c:f>
              <c:numCache>
                <c:formatCode>#,##0</c:formatCode>
                <c:ptCount val="3"/>
                <c:pt idx="0">
                  <c:v>10469.962299999999</c:v>
                </c:pt>
                <c:pt idx="1">
                  <c:v>3113.6709850000002</c:v>
                </c:pt>
                <c:pt idx="2">
                  <c:v>396.21931000000001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6A-455F-9065-A3AF39E250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תרשים2"/>
  <sheetViews>
    <sheetView zoomScale="7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14983E-D10E-422F-BF72-C0B0E33B542C}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תרשים1"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9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15</xdr:row>
      <xdr:rowOff>0</xdr:rowOff>
    </xdr:from>
    <xdr:to>
      <xdr:col>48</xdr:col>
      <xdr:colOff>333375</xdr:colOff>
      <xdr:row>39</xdr:row>
      <xdr:rowOff>123825</xdr:rowOff>
    </xdr:to>
    <xdr:graphicFrame macro="">
      <xdr:nvGraphicFramePr>
        <xdr:cNvPr id="4223" name="Chart 1">
          <a:extLst>
            <a:ext uri="{FF2B5EF4-FFF2-40B4-BE49-F238E27FC236}">
              <a16:creationId xmlns:a16="http://schemas.microsoft.com/office/drawing/2014/main" id="{00000000-0008-0000-0500-00007F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66675</xdr:colOff>
      <xdr:row>43</xdr:row>
      <xdr:rowOff>142875</xdr:rowOff>
    </xdr:from>
    <xdr:to>
      <xdr:col>31</xdr:col>
      <xdr:colOff>447675</xdr:colOff>
      <xdr:row>77</xdr:row>
      <xdr:rowOff>76200</xdr:rowOff>
    </xdr:to>
    <xdr:graphicFrame macro="">
      <xdr:nvGraphicFramePr>
        <xdr:cNvPr id="4224" name="Chart 2">
          <a:extLst>
            <a:ext uri="{FF2B5EF4-FFF2-40B4-BE49-F238E27FC236}">
              <a16:creationId xmlns:a16="http://schemas.microsoft.com/office/drawing/2014/main" id="{00000000-0008-0000-0500-000080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0.73073</cdr:x>
      <cdr:y>0.00899</cdr:y>
    </cdr:from>
    <cdr:to>
      <cdr:x>0.99047</cdr:x>
      <cdr:y>0.52677</cdr:y>
    </cdr:to>
    <cdr:sp macro="" textlink="">
      <cdr:nvSpPr>
        <cdr:cNvPr id="512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2263" y="50800"/>
          <a:ext cx="2857405" cy="282239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rnd">
          <a:noFill/>
          <a:prstDash val="sysDot"/>
          <a:miter lim="800000"/>
          <a:headEnd/>
          <a:tailEnd/>
        </a:ln>
      </cdr:spPr>
      <cdr:txBody>
        <a:bodyPr xmlns:a="http://schemas.openxmlformats.org/drawingml/2006/main" vertOverflow="clip" wrap="square" lIns="0" tIns="22860" rIns="27432" bIns="0" anchor="t" upright="1"/>
        <a:lstStyle xmlns:a="http://schemas.openxmlformats.org/drawingml/2006/main"/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סיכום שנתי :</a:t>
          </a:r>
          <a:endParaRPr lang="he-IL" sz="9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חיפה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אשדוד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אילת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</a:p>
        <a:p xmlns:a="http://schemas.openxmlformats.org/drawingml/2006/main">
          <a:pPr algn="r" rtl="1">
            <a:defRPr sz="1000"/>
          </a:pPr>
          <a:endParaRPr lang="he-IL" sz="9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2003:</a:t>
          </a: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18,804,971</a:t>
          </a: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14,062,295</a:t>
          </a: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2,104,351</a:t>
          </a:r>
        </a:p>
        <a:p xmlns:a="http://schemas.openxmlformats.org/drawingml/2006/main">
          <a:pPr algn="r" rtl="1">
            <a:defRPr sz="1000"/>
          </a:pPr>
          <a:endParaRPr lang="he-IL" sz="9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2004:  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20,538,134  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14,449,531</a:t>
          </a:r>
          <a:r>
            <a:rPr lang="he-IL" sz="950" b="1" i="0" u="none" strike="noStrike" baseline="0">
              <a:solidFill>
                <a:srgbClr val="808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2,110,402</a:t>
          </a:r>
        </a:p>
        <a:p xmlns:a="http://schemas.openxmlformats.org/drawingml/2006/main">
          <a:pPr algn="r" rtl="1">
            <a:defRPr sz="1000"/>
          </a:pPr>
          <a:endParaRPr lang="he-IL" sz="9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 *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2005:   (רבעונים 1,2=01-06/2005)</a:t>
          </a: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</a:t>
          </a:r>
          <a:r>
            <a:rPr lang="he-IL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10,518,711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7,371,394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1,131,061</a:t>
          </a:r>
        </a:p>
        <a:p xmlns:a="http://schemas.openxmlformats.org/drawingml/2006/main">
          <a:pPr algn="r" rtl="1">
            <a:defRPr sz="1000"/>
          </a:pPr>
          <a:r>
            <a:rPr lang="he-IL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 </a:t>
          </a:r>
          <a:r>
            <a:rPr lang="he-IL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הערכה שנתית : </a:t>
          </a: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TON*2=</a:t>
          </a:r>
        </a:p>
        <a:p xmlns:a="http://schemas.openxmlformats.org/drawingml/2006/main">
          <a:pPr algn="r" rtl="1">
            <a:defRPr sz="1000"/>
          </a:pP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</a:t>
          </a:r>
          <a:r>
            <a:rPr lang="en-US" sz="950" b="1" i="0" u="none" strike="noStrike" baseline="0">
              <a:solidFill>
                <a:srgbClr val="FF0000"/>
              </a:solidFill>
              <a:latin typeface="Arial"/>
              <a:cs typeface="Arial"/>
            </a:rPr>
            <a:t>21,040,000</a:t>
          </a: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US" sz="950" b="1" i="0" u="none" strike="noStrike" baseline="0">
              <a:solidFill>
                <a:srgbClr val="99CC00"/>
              </a:solidFill>
              <a:latin typeface="Arial"/>
              <a:cs typeface="Arial"/>
            </a:rPr>
            <a:t>14,742,000</a:t>
          </a:r>
          <a:r>
            <a:rPr lang="en-US" sz="950" b="1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US" sz="950" b="1" i="0" u="none" strike="noStrike" baseline="0">
              <a:solidFill>
                <a:srgbClr val="00CCFF"/>
              </a:solidFill>
              <a:latin typeface="Arial"/>
              <a:cs typeface="Arial"/>
            </a:rPr>
            <a:t>2,262,000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0.73511</cdr:x>
      <cdr:y>0.06831</cdr:y>
    </cdr:from>
    <cdr:to>
      <cdr:x>0.98577</cdr:x>
      <cdr:y>0.44093</cdr:y>
    </cdr:to>
    <cdr:sp macro="" textlink="">
      <cdr:nvSpPr>
        <cdr:cNvPr id="6145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17642" y="422189"/>
          <a:ext cx="1810309" cy="22857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rnd">
          <a:noFill/>
          <a:prstDash val="sysDot"/>
          <a:miter lim="800000"/>
          <a:headEnd/>
          <a:tailEnd/>
        </a:ln>
      </cdr:spPr>
      <cdr:txBody>
        <a:bodyPr xmlns:a="http://schemas.openxmlformats.org/drawingml/2006/main" vertOverflow="clip" wrap="square" lIns="0" tIns="18288" rIns="18288" bIns="0" anchor="t" upright="1"/>
        <a:lstStyle xmlns:a="http://schemas.openxmlformats.org/drawingml/2006/main"/>
        <a:p xmlns:a="http://schemas.openxmlformats.org/drawingml/2006/main">
          <a:pPr algn="r" rtl="1">
            <a:defRPr sz="1000"/>
          </a:pP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סיכום שנתי :</a:t>
          </a:r>
          <a:endParaRPr lang="he-IL" sz="5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he-IL" sz="550" b="1" i="0" u="none" strike="noStrike" baseline="0">
              <a:solidFill>
                <a:srgbClr val="FF0000"/>
              </a:solidFill>
              <a:latin typeface="Arial"/>
              <a:cs typeface="Arial"/>
            </a:rPr>
            <a:t>חיפה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he-IL" sz="550" b="1" i="0" u="none" strike="noStrike" baseline="0">
              <a:solidFill>
                <a:srgbClr val="99CC00"/>
              </a:solidFill>
              <a:latin typeface="Arial"/>
              <a:cs typeface="Arial"/>
            </a:rPr>
            <a:t>אשדוד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</a:t>
          </a:r>
          <a:r>
            <a:rPr lang="he-IL" sz="550" b="1" i="0" u="none" strike="noStrike" baseline="0">
              <a:solidFill>
                <a:srgbClr val="00CCFF"/>
              </a:solidFill>
              <a:latin typeface="Arial"/>
              <a:cs typeface="Arial"/>
            </a:rPr>
            <a:t>אילת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</a:p>
        <a:p xmlns:a="http://schemas.openxmlformats.org/drawingml/2006/main">
          <a:pPr algn="r" rtl="1">
            <a:defRPr sz="1000"/>
          </a:pPr>
          <a:endParaRPr lang="he-IL" sz="5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2003:</a:t>
          </a: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FF0000"/>
              </a:solidFill>
              <a:latin typeface="Arial"/>
              <a:cs typeface="Arial"/>
            </a:rPr>
            <a:t>18,804,971</a:t>
          </a: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99CC00"/>
              </a:solidFill>
              <a:latin typeface="Arial"/>
              <a:cs typeface="Arial"/>
            </a:rPr>
            <a:t>14,062,295</a:t>
          </a: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00CCFF"/>
              </a:solidFill>
              <a:latin typeface="Arial"/>
              <a:cs typeface="Arial"/>
            </a:rPr>
            <a:t>2,104,351</a:t>
          </a:r>
        </a:p>
        <a:p xmlns:a="http://schemas.openxmlformats.org/drawingml/2006/main">
          <a:pPr algn="r" rtl="1">
            <a:defRPr sz="1000"/>
          </a:pPr>
          <a:endParaRPr lang="he-IL" sz="5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2004:   </a:t>
          </a:r>
          <a:r>
            <a:rPr lang="he-IL" sz="550" b="1" i="0" u="none" strike="noStrike" baseline="0">
              <a:solidFill>
                <a:srgbClr val="FF0000"/>
              </a:solidFill>
              <a:latin typeface="Arial"/>
              <a:cs typeface="Arial"/>
            </a:rPr>
            <a:t>20,538,134   </a:t>
          </a:r>
          <a:r>
            <a:rPr lang="he-IL" sz="550" b="1" i="0" u="none" strike="noStrike" baseline="0">
              <a:solidFill>
                <a:srgbClr val="99CC00"/>
              </a:solidFill>
              <a:latin typeface="Arial"/>
              <a:cs typeface="Arial"/>
            </a:rPr>
            <a:t>14,449,531</a:t>
          </a:r>
          <a:r>
            <a:rPr lang="he-IL" sz="550" b="1" i="0" u="none" strike="noStrike" baseline="0">
              <a:solidFill>
                <a:srgbClr val="808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00CCFF"/>
              </a:solidFill>
              <a:latin typeface="Arial"/>
              <a:cs typeface="Arial"/>
            </a:rPr>
            <a:t>2,110,402</a:t>
          </a:r>
        </a:p>
        <a:p xmlns:a="http://schemas.openxmlformats.org/drawingml/2006/main">
          <a:pPr algn="r" rtl="1">
            <a:defRPr sz="1000"/>
          </a:pPr>
          <a:endParaRPr lang="he-IL" sz="5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r" rtl="1">
            <a:defRPr sz="1000"/>
          </a:pPr>
          <a:r>
            <a:rPr lang="he-IL" sz="550" b="0" i="0" u="none" strike="noStrike" baseline="0">
              <a:solidFill>
                <a:srgbClr val="000000"/>
              </a:solidFill>
              <a:latin typeface="Arial"/>
              <a:cs typeface="Arial"/>
            </a:rPr>
            <a:t> *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2005:   (רבעונים 1,2=01-06/2005)</a:t>
          </a:r>
        </a:p>
        <a:p xmlns:a="http://schemas.openxmlformats.org/drawingml/2006/main">
          <a:pPr algn="r" rtl="1">
            <a:defRPr sz="1000"/>
          </a:pP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</a:t>
          </a:r>
          <a:r>
            <a:rPr lang="he-IL" sz="550" b="1" i="0" u="none" strike="noStrike" baseline="0">
              <a:solidFill>
                <a:srgbClr val="FF0000"/>
              </a:solidFill>
              <a:latin typeface="Arial"/>
              <a:cs typeface="Arial"/>
            </a:rPr>
            <a:t>10,518,711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he-IL" sz="550" b="1" i="0" u="none" strike="noStrike" baseline="0">
              <a:solidFill>
                <a:srgbClr val="99CC00"/>
              </a:solidFill>
              <a:latin typeface="Arial"/>
              <a:cs typeface="Arial"/>
            </a:rPr>
            <a:t>7,371,394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he-IL" sz="550" b="1" i="0" u="none" strike="noStrike" baseline="0">
              <a:solidFill>
                <a:srgbClr val="00CCFF"/>
              </a:solidFill>
              <a:latin typeface="Arial"/>
              <a:cs typeface="Arial"/>
            </a:rPr>
            <a:t>1,131,061</a:t>
          </a:r>
        </a:p>
        <a:p xmlns:a="http://schemas.openxmlformats.org/drawingml/2006/main">
          <a:pPr algn="r" rtl="1">
            <a:defRPr sz="1000"/>
          </a:pPr>
          <a:r>
            <a:rPr lang="he-IL" sz="550" b="1" i="0" u="none" strike="noStrike" baseline="0">
              <a:solidFill>
                <a:srgbClr val="00CCFF"/>
              </a:solidFill>
              <a:latin typeface="Arial"/>
              <a:cs typeface="Arial"/>
            </a:rPr>
            <a:t> </a:t>
          </a:r>
          <a:r>
            <a:rPr lang="he-IL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הערכה שנתית : </a:t>
          </a:r>
          <a:r>
            <a:rPr lang="en-US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TON*2=</a:t>
          </a:r>
        </a:p>
        <a:p xmlns:a="http://schemas.openxmlformats.org/drawingml/2006/main">
          <a:pPr algn="r" rtl="1">
            <a:defRPr sz="1000"/>
          </a:pPr>
          <a:r>
            <a:rPr lang="en-US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</a:t>
          </a:r>
          <a:r>
            <a:rPr lang="en-US" sz="550" b="1" i="0" u="none" strike="noStrike" baseline="0">
              <a:solidFill>
                <a:srgbClr val="FF0000"/>
              </a:solidFill>
              <a:latin typeface="Arial"/>
              <a:cs typeface="Arial"/>
            </a:rPr>
            <a:t>21,040,000</a:t>
          </a:r>
          <a:r>
            <a:rPr lang="en-US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US" sz="550" b="1" i="0" u="none" strike="noStrike" baseline="0">
              <a:solidFill>
                <a:srgbClr val="99CC00"/>
              </a:solidFill>
              <a:latin typeface="Arial"/>
              <a:cs typeface="Arial"/>
            </a:rPr>
            <a:t>14,742,000</a:t>
          </a:r>
          <a:r>
            <a:rPr lang="en-US" sz="550" b="1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US" sz="550" b="1" i="0" u="none" strike="noStrike" baseline="0">
              <a:solidFill>
                <a:srgbClr val="00CCFF"/>
              </a:solidFill>
              <a:latin typeface="Arial"/>
              <a:cs typeface="Arial"/>
            </a:rPr>
            <a:t>2,262,000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116</xdr:row>
      <xdr:rowOff>9525</xdr:rowOff>
    </xdr:from>
    <xdr:to>
      <xdr:col>20</xdr:col>
      <xdr:colOff>390525</xdr:colOff>
      <xdr:row>133</xdr:row>
      <xdr:rowOff>0</xdr:rowOff>
    </xdr:to>
    <xdr:graphicFrame macro="">
      <xdr:nvGraphicFramePr>
        <xdr:cNvPr id="9" name="תרשים 8">
          <a:extLst>
            <a:ext uri="{FF2B5EF4-FFF2-40B4-BE49-F238E27FC236}">
              <a16:creationId xmlns:a16="http://schemas.microsoft.com/office/drawing/2014/main" id="{8BDF779C-50CE-470C-A80E-6BFE9E7C0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</xdr:colOff>
      <xdr:row>116</xdr:row>
      <xdr:rowOff>0</xdr:rowOff>
    </xdr:from>
    <xdr:to>
      <xdr:col>27</xdr:col>
      <xdr:colOff>171450</xdr:colOff>
      <xdr:row>132</xdr:row>
      <xdr:rowOff>152400</xdr:rowOff>
    </xdr:to>
    <xdr:graphicFrame macro="">
      <xdr:nvGraphicFramePr>
        <xdr:cNvPr id="10" name="תרשים 9">
          <a:extLst>
            <a:ext uri="{FF2B5EF4-FFF2-40B4-BE49-F238E27FC236}">
              <a16:creationId xmlns:a16="http://schemas.microsoft.com/office/drawing/2014/main" id="{54323A74-8C03-4204-8D4A-A6D980B7A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34DFE3C8-DCB2-423B-8540-A0F296F97E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תרשים 1" descr="סה&quot;כ תנועת מטענים (אלפי טון) בנמלי ישראל Q1/2017-Q4/20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09167"/>
    <xdr:graphicFrame macro="">
      <xdr:nvGraphicFramePr>
        <xdr:cNvPr id="2" name="תרשים 1" descr="סה&quot;כ תנועת מטענים (אלפי טון) בנמלי ישראל 2010-2021">
          <a:extLst>
            <a:ext uri="{FF2B5EF4-FFF2-40B4-BE49-F238E27FC236}">
              <a16:creationId xmlns:a16="http://schemas.microsoft.com/office/drawing/2014/main" id="{00000000-0008-0000-0400-000002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152400</xdr:rowOff>
    </xdr:to>
    <xdr:graphicFrame macro="">
      <xdr:nvGraphicFramePr>
        <xdr:cNvPr id="4" name="תרשים 3" descr="התפלגות תאגידים מרחב נמל חיפה-2021 ">
          <a:extLst>
            <a:ext uri="{FF2B5EF4-FFF2-40B4-BE49-F238E27FC236}">
              <a16:creationId xmlns:a16="http://schemas.microsoft.com/office/drawing/2014/main" id="{23B14199-3492-4A05-9B4D-420F2188C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0</xdr:row>
      <xdr:rowOff>0</xdr:rowOff>
    </xdr:from>
    <xdr:to>
      <xdr:col>15</xdr:col>
      <xdr:colOff>19050</xdr:colOff>
      <xdr:row>16</xdr:row>
      <xdr:rowOff>152400</xdr:rowOff>
    </xdr:to>
    <xdr:graphicFrame macro="">
      <xdr:nvGraphicFramePr>
        <xdr:cNvPr id="5" name="תרשים 4" descr="התפלגות תאגידים מרחב נמל אשדוד -2021 ">
          <a:extLst>
            <a:ext uri="{FF2B5EF4-FFF2-40B4-BE49-F238E27FC236}">
              <a16:creationId xmlns:a16="http://schemas.microsoft.com/office/drawing/2014/main" id="{21F44012-9F0B-4852-B6E3-CC8DCE5C0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241" transitionEvaluation="1" codeName="גיליון6">
    <pageSetUpPr fitToPage="1"/>
  </sheetPr>
  <dimension ref="A1:X289"/>
  <sheetViews>
    <sheetView showGridLines="0" topLeftCell="A241" zoomScaleSheetLayoutView="100" workbookViewId="0">
      <selection activeCell="U211" sqref="U211"/>
    </sheetView>
  </sheetViews>
  <sheetFormatPr defaultColWidth="9.140625" defaultRowHeight="15" x14ac:dyDescent="0.2"/>
  <cols>
    <col min="1" max="1" width="9.140625" style="45" bestFit="1" customWidth="1"/>
    <col min="2" max="2" width="6.85546875" style="45" customWidth="1"/>
    <col min="3" max="3" width="8.140625" style="45" customWidth="1"/>
    <col min="4" max="4" width="5.7109375" style="45" bestFit="1" customWidth="1"/>
    <col min="5" max="5" width="8" style="45" bestFit="1" customWidth="1"/>
    <col min="6" max="6" width="8.5703125" style="45" customWidth="1"/>
    <col min="7" max="7" width="6.140625" style="45" customWidth="1"/>
    <col min="8" max="8" width="11.7109375" style="45" customWidth="1"/>
    <col min="9" max="9" width="8" style="45" customWidth="1"/>
    <col min="10" max="10" width="8.5703125" style="45" customWidth="1"/>
    <col min="11" max="11" width="9.140625" style="45" customWidth="1"/>
    <col min="12" max="12" width="6.5703125" style="45" bestFit="1" customWidth="1"/>
    <col min="13" max="13" width="11.28515625" style="45" bestFit="1" customWidth="1"/>
    <col min="14" max="15" width="8.7109375" style="45" bestFit="1" customWidth="1"/>
    <col min="16" max="16" width="0.140625" style="45" hidden="1" customWidth="1"/>
    <col min="17" max="17" width="8.85546875" style="45" customWidth="1"/>
    <col min="18" max="18" width="7" style="45" customWidth="1"/>
    <col min="19" max="19" width="10.5703125" style="45" bestFit="1" customWidth="1"/>
    <col min="20" max="16384" width="9.140625" style="45"/>
  </cols>
  <sheetData>
    <row r="1" spans="1:18" ht="15" customHeight="1" x14ac:dyDescent="0.25">
      <c r="A1" s="41" t="s">
        <v>57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4"/>
      <c r="R1" s="46" t="s">
        <v>97</v>
      </c>
    </row>
    <row r="2" spans="1:18" ht="13.5" customHeight="1" x14ac:dyDescent="0.25">
      <c r="A2" s="41" t="s">
        <v>58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  <c r="O2" s="44"/>
      <c r="R2" s="46" t="s">
        <v>129</v>
      </c>
    </row>
    <row r="3" spans="1:18" s="47" customFormat="1" ht="18" customHeight="1" x14ac:dyDescent="0.2">
      <c r="A3" s="78" t="s">
        <v>110</v>
      </c>
      <c r="R3" s="75" t="s">
        <v>109</v>
      </c>
    </row>
    <row r="4" spans="1:18" s="48" customFormat="1" ht="15" customHeight="1" x14ac:dyDescent="0.2">
      <c r="A4" s="95" t="s">
        <v>37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7" t="s">
        <v>98</v>
      </c>
    </row>
    <row r="5" spans="1:18" s="49" customFormat="1" ht="15" customHeight="1" x14ac:dyDescent="0.2">
      <c r="A5" s="121" t="s">
        <v>38</v>
      </c>
      <c r="B5" s="116"/>
      <c r="C5" s="98"/>
      <c r="D5" s="98"/>
      <c r="E5" s="99" t="s">
        <v>39</v>
      </c>
      <c r="F5" s="100" t="s">
        <v>40</v>
      </c>
      <c r="G5" s="100"/>
      <c r="H5" s="98"/>
      <c r="I5" s="98"/>
      <c r="J5" s="101" t="s">
        <v>41</v>
      </c>
      <c r="K5" s="114"/>
      <c r="L5" s="102" t="s">
        <v>42</v>
      </c>
      <c r="M5" s="103"/>
      <c r="N5" s="103"/>
      <c r="O5" s="104"/>
      <c r="P5" s="103" t="s">
        <v>43</v>
      </c>
      <c r="Q5" s="98"/>
      <c r="R5" s="105"/>
    </row>
    <row r="6" spans="1:18" s="49" customFormat="1" ht="12" x14ac:dyDescent="0.2">
      <c r="A6" s="120"/>
      <c r="B6" s="119"/>
      <c r="C6" s="52"/>
      <c r="D6" s="52"/>
      <c r="E6" s="53"/>
      <c r="F6" s="52"/>
      <c r="G6" s="52"/>
      <c r="H6" s="52"/>
      <c r="I6" s="52"/>
      <c r="J6" s="53"/>
      <c r="K6" s="52"/>
      <c r="L6" s="54" t="s">
        <v>44</v>
      </c>
      <c r="M6" s="54"/>
      <c r="N6" s="54"/>
      <c r="O6" s="55"/>
      <c r="P6" s="50" t="s">
        <v>43</v>
      </c>
      <c r="Q6" s="51"/>
      <c r="R6" s="68"/>
    </row>
    <row r="7" spans="1:18" s="61" customFormat="1" ht="12" customHeight="1" x14ac:dyDescent="0.2">
      <c r="A7" s="115" t="s">
        <v>95</v>
      </c>
      <c r="B7" s="118" t="s">
        <v>45</v>
      </c>
      <c r="C7" s="115" t="s">
        <v>46</v>
      </c>
      <c r="D7" s="124" t="s">
        <v>47</v>
      </c>
      <c r="E7" s="125" t="s">
        <v>51</v>
      </c>
      <c r="F7" s="115" t="s">
        <v>95</v>
      </c>
      <c r="G7" s="56" t="s">
        <v>45</v>
      </c>
      <c r="H7" s="57" t="s">
        <v>46</v>
      </c>
      <c r="I7" s="58" t="s">
        <v>47</v>
      </c>
      <c r="J7" s="57" t="s">
        <v>51</v>
      </c>
      <c r="K7" s="115" t="s">
        <v>95</v>
      </c>
      <c r="L7" s="56" t="s">
        <v>45</v>
      </c>
      <c r="M7" s="57" t="s">
        <v>46</v>
      </c>
      <c r="N7" s="58" t="s">
        <v>47</v>
      </c>
      <c r="O7" s="57" t="s">
        <v>51</v>
      </c>
      <c r="P7" s="59"/>
      <c r="Q7" s="138" t="s">
        <v>123</v>
      </c>
      <c r="R7" s="77" t="s">
        <v>5</v>
      </c>
    </row>
    <row r="8" spans="1:18" s="61" customFormat="1" ht="12" customHeight="1" x14ac:dyDescent="0.2">
      <c r="A8" s="70" t="s">
        <v>96</v>
      </c>
      <c r="B8" s="72" t="s">
        <v>50</v>
      </c>
      <c r="C8" s="70" t="s">
        <v>48</v>
      </c>
      <c r="D8" s="73" t="s">
        <v>49</v>
      </c>
      <c r="E8" s="70" t="s">
        <v>52</v>
      </c>
      <c r="F8" s="70" t="s">
        <v>96</v>
      </c>
      <c r="G8" s="74" t="s">
        <v>50</v>
      </c>
      <c r="H8" s="73" t="s">
        <v>48</v>
      </c>
      <c r="I8" s="73" t="s">
        <v>49</v>
      </c>
      <c r="J8" s="70" t="s">
        <v>52</v>
      </c>
      <c r="K8" s="70" t="s">
        <v>96</v>
      </c>
      <c r="L8" s="74" t="s">
        <v>50</v>
      </c>
      <c r="M8" s="73" t="s">
        <v>48</v>
      </c>
      <c r="N8" s="73" t="s">
        <v>49</v>
      </c>
      <c r="O8" s="70" t="s">
        <v>52</v>
      </c>
      <c r="P8" s="60"/>
      <c r="Q8" s="180" t="s">
        <v>71</v>
      </c>
      <c r="R8" s="73" t="s">
        <v>70</v>
      </c>
    </row>
    <row r="9" spans="1:18" s="62" customFormat="1" ht="14.25" x14ac:dyDescent="0.2">
      <c r="A9" s="123"/>
      <c r="B9" s="83">
        <v>1432</v>
      </c>
      <c r="C9" s="113">
        <v>4557</v>
      </c>
      <c r="D9" s="113">
        <v>4890</v>
      </c>
      <c r="E9" s="79">
        <v>10879</v>
      </c>
      <c r="F9" s="80"/>
      <c r="G9" s="113">
        <v>264</v>
      </c>
      <c r="H9" s="113">
        <v>11410</v>
      </c>
      <c r="I9" s="113">
        <v>8610</v>
      </c>
      <c r="J9" s="113">
        <v>20284</v>
      </c>
      <c r="K9" s="80"/>
      <c r="L9" s="113">
        <v>1696</v>
      </c>
      <c r="M9" s="113">
        <v>15967</v>
      </c>
      <c r="N9" s="113">
        <v>13501</v>
      </c>
      <c r="O9" s="113">
        <v>31163</v>
      </c>
      <c r="P9" s="71"/>
      <c r="Q9" s="93"/>
      <c r="R9" s="76">
        <v>1995</v>
      </c>
    </row>
    <row r="10" spans="1:18" s="65" customFormat="1" ht="14.25" x14ac:dyDescent="0.2">
      <c r="A10" s="122"/>
      <c r="B10" s="83">
        <v>1138</v>
      </c>
      <c r="C10" s="83">
        <v>5036</v>
      </c>
      <c r="D10" s="83">
        <v>4507</v>
      </c>
      <c r="E10" s="81">
        <v>10680</v>
      </c>
      <c r="F10" s="91"/>
      <c r="G10" s="83">
        <v>289</v>
      </c>
      <c r="H10" s="83">
        <v>10096</v>
      </c>
      <c r="I10" s="83">
        <v>8347</v>
      </c>
      <c r="J10" s="84">
        <v>18732</v>
      </c>
      <c r="K10" s="91"/>
      <c r="L10" s="83">
        <v>1427</v>
      </c>
      <c r="M10" s="83">
        <v>15132</v>
      </c>
      <c r="N10" s="83">
        <v>12853</v>
      </c>
      <c r="O10" s="81">
        <v>29412</v>
      </c>
      <c r="P10" s="63"/>
      <c r="Q10" s="64"/>
      <c r="R10" s="69">
        <v>1996</v>
      </c>
    </row>
    <row r="11" spans="1:18" s="65" customFormat="1" ht="14.25" x14ac:dyDescent="0.2">
      <c r="A11" s="122"/>
      <c r="B11" s="83">
        <v>1866</v>
      </c>
      <c r="C11" s="83">
        <v>4785</v>
      </c>
      <c r="D11" s="83">
        <v>5564</v>
      </c>
      <c r="E11" s="81">
        <v>12214</v>
      </c>
      <c r="F11" s="91"/>
      <c r="G11" s="83">
        <v>245</v>
      </c>
      <c r="H11" s="83">
        <v>10821</v>
      </c>
      <c r="I11" s="83">
        <v>9539</v>
      </c>
      <c r="J11" s="84">
        <v>20606</v>
      </c>
      <c r="K11" s="91"/>
      <c r="L11" s="83">
        <v>2111</v>
      </c>
      <c r="M11" s="83">
        <v>15606</v>
      </c>
      <c r="N11" s="83">
        <v>15103</v>
      </c>
      <c r="O11" s="81">
        <v>32820</v>
      </c>
      <c r="P11" s="63"/>
      <c r="Q11" s="64"/>
      <c r="R11" s="69">
        <v>1997</v>
      </c>
    </row>
    <row r="12" spans="1:18" s="65" customFormat="1" ht="14.25" x14ac:dyDescent="0.2">
      <c r="A12" s="122"/>
      <c r="B12" s="83">
        <v>1459</v>
      </c>
      <c r="C12" s="83">
        <v>5436</v>
      </c>
      <c r="D12" s="83">
        <v>6593</v>
      </c>
      <c r="E12" s="81">
        <v>13489</v>
      </c>
      <c r="F12" s="91"/>
      <c r="G12" s="83">
        <v>225</v>
      </c>
      <c r="H12" s="83">
        <v>10017</v>
      </c>
      <c r="I12" s="83">
        <v>10089</v>
      </c>
      <c r="J12" s="84">
        <v>20330</v>
      </c>
      <c r="K12" s="91"/>
      <c r="L12" s="83">
        <v>1684</v>
      </c>
      <c r="M12" s="83">
        <v>15453</v>
      </c>
      <c r="N12" s="83">
        <v>16682</v>
      </c>
      <c r="O12" s="81">
        <v>33819</v>
      </c>
      <c r="P12" s="63"/>
      <c r="Q12" s="64"/>
      <c r="R12" s="69">
        <v>1998</v>
      </c>
    </row>
    <row r="13" spans="1:18" s="65" customFormat="1" ht="14.25" x14ac:dyDescent="0.2">
      <c r="A13" s="122"/>
      <c r="B13" s="83">
        <v>1440</v>
      </c>
      <c r="C13" s="83">
        <v>5270</v>
      </c>
      <c r="D13" s="83">
        <v>6164</v>
      </c>
      <c r="E13" s="81">
        <v>12875</v>
      </c>
      <c r="F13" s="91"/>
      <c r="G13" s="83">
        <v>232</v>
      </c>
      <c r="H13" s="83">
        <v>10924</v>
      </c>
      <c r="I13" s="83">
        <v>11039</v>
      </c>
      <c r="J13" s="84">
        <v>22195</v>
      </c>
      <c r="K13" s="91"/>
      <c r="L13" s="83">
        <v>1672</v>
      </c>
      <c r="M13" s="83">
        <v>16194</v>
      </c>
      <c r="N13" s="83">
        <v>17203</v>
      </c>
      <c r="O13" s="81">
        <v>35069</v>
      </c>
      <c r="P13" s="63"/>
      <c r="Q13" s="64"/>
      <c r="R13" s="69">
        <v>1999</v>
      </c>
    </row>
    <row r="14" spans="1:18" s="65" customFormat="1" ht="14.25" x14ac:dyDescent="0.2">
      <c r="A14" s="122"/>
      <c r="B14" s="83">
        <v>1545</v>
      </c>
      <c r="C14" s="83">
        <v>5259</v>
      </c>
      <c r="D14" s="83">
        <v>7062</v>
      </c>
      <c r="E14" s="81">
        <v>13866</v>
      </c>
      <c r="F14" s="91"/>
      <c r="G14" s="83">
        <v>254</v>
      </c>
      <c r="H14" s="83">
        <v>10499</v>
      </c>
      <c r="I14" s="83">
        <v>11472</v>
      </c>
      <c r="J14" s="84">
        <v>22226</v>
      </c>
      <c r="K14" s="91"/>
      <c r="L14" s="83">
        <v>1799</v>
      </c>
      <c r="M14" s="83">
        <v>15758</v>
      </c>
      <c r="N14" s="83">
        <v>18534</v>
      </c>
      <c r="O14" s="81">
        <v>36091</v>
      </c>
      <c r="P14" s="63"/>
      <c r="Q14" s="64"/>
      <c r="R14" s="69">
        <v>2000</v>
      </c>
    </row>
    <row r="15" spans="1:18" s="65" customFormat="1" ht="14.25" x14ac:dyDescent="0.2">
      <c r="A15" s="122"/>
      <c r="B15" s="83">
        <v>1438</v>
      </c>
      <c r="C15" s="83">
        <v>5241</v>
      </c>
      <c r="D15" s="83">
        <v>6658</v>
      </c>
      <c r="E15" s="81">
        <v>13338</v>
      </c>
      <c r="F15" s="91"/>
      <c r="G15" s="83">
        <v>258</v>
      </c>
      <c r="H15" s="83">
        <v>8389</v>
      </c>
      <c r="I15" s="83">
        <v>10072</v>
      </c>
      <c r="J15" s="84">
        <v>18719</v>
      </c>
      <c r="K15" s="91"/>
      <c r="L15" s="83">
        <f>G15+B15</f>
        <v>1696</v>
      </c>
      <c r="M15" s="83">
        <v>13630</v>
      </c>
      <c r="N15" s="83">
        <v>16731</v>
      </c>
      <c r="O15" s="81">
        <v>32057</v>
      </c>
      <c r="P15" s="63"/>
      <c r="Q15" s="64"/>
      <c r="R15" s="69">
        <v>2001</v>
      </c>
    </row>
    <row r="16" spans="1:18" s="65" customFormat="1" ht="14.25" x14ac:dyDescent="0.2">
      <c r="A16" s="122"/>
      <c r="B16" s="83">
        <v>1413</v>
      </c>
      <c r="C16" s="83">
        <v>5471</v>
      </c>
      <c r="D16" s="83">
        <v>6979</v>
      </c>
      <c r="E16" s="81">
        <v>13863</v>
      </c>
      <c r="F16" s="91"/>
      <c r="G16" s="83">
        <v>200</v>
      </c>
      <c r="H16" s="83">
        <v>9250</v>
      </c>
      <c r="I16" s="83">
        <v>10094</v>
      </c>
      <c r="J16" s="84">
        <v>19545</v>
      </c>
      <c r="K16" s="91"/>
      <c r="L16" s="83">
        <f>G16+B16</f>
        <v>1613</v>
      </c>
      <c r="M16" s="83">
        <v>14722</v>
      </c>
      <c r="N16" s="83">
        <v>17073</v>
      </c>
      <c r="O16" s="81">
        <v>33408</v>
      </c>
      <c r="P16" s="63"/>
      <c r="Q16" s="64"/>
      <c r="R16" s="69">
        <v>2002</v>
      </c>
    </row>
    <row r="17" spans="1:19" s="65" customFormat="1" ht="14.25" x14ac:dyDescent="0.2">
      <c r="A17" s="122"/>
      <c r="B17" s="83">
        <v>1760.4670000000001</v>
      </c>
      <c r="C17" s="83">
        <v>5176.8969999999999</v>
      </c>
      <c r="D17" s="83">
        <v>8029.6062000000002</v>
      </c>
      <c r="E17" s="81">
        <v>15075.889499999999</v>
      </c>
      <c r="F17" s="91"/>
      <c r="G17" s="83">
        <v>234.9648</v>
      </c>
      <c r="H17" s="83">
        <v>8885.3984</v>
      </c>
      <c r="I17" s="83">
        <v>10775.3647</v>
      </c>
      <c r="J17" s="84">
        <v>19895.727900000002</v>
      </c>
      <c r="K17" s="91"/>
      <c r="L17" s="83">
        <f>G17+B17</f>
        <v>1995.4318000000001</v>
      </c>
      <c r="M17" s="83">
        <v>14062.295400000001</v>
      </c>
      <c r="N17" s="83">
        <v>18804.9709</v>
      </c>
      <c r="O17" s="81">
        <v>34971.617400000003</v>
      </c>
      <c r="P17" s="63"/>
      <c r="Q17" s="64"/>
      <c r="R17" s="69">
        <v>2003</v>
      </c>
    </row>
    <row r="18" spans="1:19" s="65" customFormat="1" ht="14.25" x14ac:dyDescent="0.2">
      <c r="A18" s="122"/>
      <c r="B18" s="83">
        <v>1784.3859</v>
      </c>
      <c r="C18" s="83">
        <v>5721.8554000000004</v>
      </c>
      <c r="D18" s="83">
        <v>8200.1941000000006</v>
      </c>
      <c r="E18" s="81">
        <v>15706.4354</v>
      </c>
      <c r="F18" s="91"/>
      <c r="G18" s="83">
        <v>326.01600000000002</v>
      </c>
      <c r="H18" s="83">
        <v>8727.6760999999969</v>
      </c>
      <c r="I18" s="83">
        <v>12337.940500000002</v>
      </c>
      <c r="J18" s="84">
        <v>21391.632600000001</v>
      </c>
      <c r="K18" s="91"/>
      <c r="L18" s="83">
        <f>G18+B18</f>
        <v>2110.4018999999998</v>
      </c>
      <c r="M18" s="83">
        <v>14449.531499999999</v>
      </c>
      <c r="N18" s="83">
        <v>20538.134599999998</v>
      </c>
      <c r="O18" s="81">
        <v>37098.067999999999</v>
      </c>
      <c r="P18" s="63"/>
      <c r="Q18" s="64"/>
      <c r="R18" s="69">
        <v>2004</v>
      </c>
    </row>
    <row r="19" spans="1:19" s="65" customFormat="1" ht="14.25" x14ac:dyDescent="0.2">
      <c r="A19" s="122"/>
      <c r="B19" s="83">
        <f t="shared" ref="B19:J19" si="0">SUM(B36:B39)</f>
        <v>2202.7559999999999</v>
      </c>
      <c r="C19" s="83">
        <f t="shared" si="0"/>
        <v>5352.9660000000003</v>
      </c>
      <c r="D19" s="83">
        <f t="shared" si="0"/>
        <v>9079.4560000000001</v>
      </c>
      <c r="E19" s="81">
        <f t="shared" si="0"/>
        <v>16635.178</v>
      </c>
      <c r="F19" s="91"/>
      <c r="G19" s="83">
        <f t="shared" si="0"/>
        <v>291.32100000000003</v>
      </c>
      <c r="H19" s="83">
        <f t="shared" si="0"/>
        <v>8874.9719999999998</v>
      </c>
      <c r="I19" s="83">
        <f t="shared" si="0"/>
        <v>11911.1775</v>
      </c>
      <c r="J19" s="84">
        <f t="shared" si="0"/>
        <v>21077.470499999999</v>
      </c>
      <c r="K19" s="91"/>
      <c r="L19" s="83">
        <f>G19+B19</f>
        <v>2494.0769999999998</v>
      </c>
      <c r="M19" s="83">
        <f>SUM(M36:M39)</f>
        <v>14227.938000000002</v>
      </c>
      <c r="N19" s="83">
        <f>SUM(N36:N39)</f>
        <v>20990.6335</v>
      </c>
      <c r="O19" s="81">
        <f>SUM(O36:O39)</f>
        <v>37712.648499999996</v>
      </c>
      <c r="P19" s="63"/>
      <c r="Q19" s="64"/>
      <c r="R19" s="69">
        <v>2005</v>
      </c>
    </row>
    <row r="20" spans="1:19" s="65" customFormat="1" ht="14.25" x14ac:dyDescent="0.2">
      <c r="A20" s="122"/>
      <c r="B20" s="83">
        <v>1639.335</v>
      </c>
      <c r="C20" s="83">
        <v>5516</v>
      </c>
      <c r="D20" s="83">
        <v>8693</v>
      </c>
      <c r="E20" s="81">
        <v>15848.334999999999</v>
      </c>
      <c r="F20" s="91"/>
      <c r="G20" s="83">
        <v>269</v>
      </c>
      <c r="H20" s="83">
        <v>9626</v>
      </c>
      <c r="I20" s="83">
        <v>10508</v>
      </c>
      <c r="J20" s="84">
        <v>20404</v>
      </c>
      <c r="K20" s="91"/>
      <c r="L20" s="83">
        <v>1908.335</v>
      </c>
      <c r="M20" s="83">
        <v>15144</v>
      </c>
      <c r="N20" s="83">
        <v>19202</v>
      </c>
      <c r="O20" s="81">
        <v>36253.334999999999</v>
      </c>
      <c r="P20" s="63"/>
      <c r="Q20" s="64"/>
      <c r="R20" s="69">
        <v>2006</v>
      </c>
    </row>
    <row r="21" spans="1:19" s="65" customFormat="1" ht="14.25" x14ac:dyDescent="0.2">
      <c r="A21" s="122"/>
      <c r="B21" s="83">
        <f t="shared" ref="B21:O21" si="1">SUM(B46:B49)</f>
        <v>2309.6889999999999</v>
      </c>
      <c r="C21" s="83">
        <f>SUM(C46:C49)</f>
        <v>6126.3679999999995</v>
      </c>
      <c r="D21" s="83">
        <f>SUM(D46:D49)</f>
        <v>9311.3920000000016</v>
      </c>
      <c r="E21" s="81">
        <f t="shared" si="1"/>
        <v>17747.449000000001</v>
      </c>
      <c r="F21" s="91"/>
      <c r="G21" s="83">
        <f t="shared" si="1"/>
        <v>224.99</v>
      </c>
      <c r="H21" s="83">
        <f t="shared" si="1"/>
        <v>10105.496999999999</v>
      </c>
      <c r="I21" s="83">
        <f t="shared" si="1"/>
        <v>12145.548999999999</v>
      </c>
      <c r="J21" s="84">
        <f t="shared" si="1"/>
        <v>22476.036</v>
      </c>
      <c r="K21" s="91"/>
      <c r="L21" s="83">
        <f t="shared" si="1"/>
        <v>2534.6790000000001</v>
      </c>
      <c r="M21" s="83">
        <f t="shared" si="1"/>
        <v>16231.865000000002</v>
      </c>
      <c r="N21" s="83">
        <f t="shared" si="1"/>
        <v>21456.940999999999</v>
      </c>
      <c r="O21" s="81">
        <f t="shared" si="1"/>
        <v>40223.485000000008</v>
      </c>
      <c r="P21" s="63"/>
      <c r="Q21" s="64"/>
      <c r="R21" s="69">
        <v>2007</v>
      </c>
    </row>
    <row r="22" spans="1:19" s="65" customFormat="1" ht="14.25" x14ac:dyDescent="0.2">
      <c r="A22" s="122">
        <v>0</v>
      </c>
      <c r="B22" s="83">
        <f t="shared" ref="B22:N22" si="2">B54+B58+B62+B66</f>
        <v>2356.933</v>
      </c>
      <c r="C22" s="83">
        <f>C54+C58+C62+C66</f>
        <v>5804.2919999999995</v>
      </c>
      <c r="D22" s="83">
        <f>D54+D58+D62+D66</f>
        <v>9970.7439999999988</v>
      </c>
      <c r="E22" s="81">
        <f t="shared" si="2"/>
        <v>18131.968999999997</v>
      </c>
      <c r="F22" s="91">
        <v>232.33588</v>
      </c>
      <c r="G22" s="83">
        <f t="shared" si="2"/>
        <v>220.33500000000004</v>
      </c>
      <c r="H22" s="83">
        <f t="shared" si="2"/>
        <v>10047.229000000001</v>
      </c>
      <c r="I22" s="83">
        <f>I54+I58+I62+I66</f>
        <v>12589.633000000002</v>
      </c>
      <c r="J22" s="84">
        <f t="shared" si="2"/>
        <v>22857.197</v>
      </c>
      <c r="K22" s="91">
        <f>F22+A22</f>
        <v>232.33588</v>
      </c>
      <c r="L22" s="83">
        <f>L54+L58+L62+L66</f>
        <v>2577.268</v>
      </c>
      <c r="M22" s="83">
        <f t="shared" si="2"/>
        <v>15851.521000000001</v>
      </c>
      <c r="N22" s="83">
        <f t="shared" si="2"/>
        <v>22560.377</v>
      </c>
      <c r="O22" s="81">
        <f>O54+O58+O62+O66</f>
        <v>40989.165999999997</v>
      </c>
      <c r="P22" s="63"/>
      <c r="Q22" s="64"/>
      <c r="R22" s="69">
        <v>2008</v>
      </c>
    </row>
    <row r="23" spans="1:19" s="65" customFormat="1" ht="14.25" x14ac:dyDescent="0.2">
      <c r="A23" s="80">
        <f t="shared" ref="A23:N23" si="3">A71+A75+A79+A83</f>
        <v>19.501999999999999</v>
      </c>
      <c r="B23" s="83">
        <f t="shared" si="3"/>
        <v>1585.6510000000001</v>
      </c>
      <c r="C23" s="83">
        <f>C71+C75+C79+C83</f>
        <v>4918.0139999999992</v>
      </c>
      <c r="D23" s="83">
        <f>D71+D75+D79+D83</f>
        <v>8875.5879999999997</v>
      </c>
      <c r="E23" s="81">
        <f t="shared" si="3"/>
        <v>15398.754999999999</v>
      </c>
      <c r="F23" s="91">
        <f t="shared" si="3"/>
        <v>436.40070000000003</v>
      </c>
      <c r="G23" s="83">
        <f t="shared" si="3"/>
        <v>173.58199999999999</v>
      </c>
      <c r="H23" s="83">
        <f>H71+H75+H79+H83</f>
        <v>9997.2530000000006</v>
      </c>
      <c r="I23" s="83">
        <f>I71+I75+I79+I83</f>
        <v>10937.204</v>
      </c>
      <c r="J23" s="84">
        <f t="shared" si="3"/>
        <v>21544.439700000003</v>
      </c>
      <c r="K23" s="91">
        <f t="shared" si="3"/>
        <v>455.90269999999998</v>
      </c>
      <c r="L23" s="83">
        <f t="shared" si="3"/>
        <v>1759.2329999999999</v>
      </c>
      <c r="M23" s="83">
        <f>M71+M75+M79+M83</f>
        <v>14915.267</v>
      </c>
      <c r="N23" s="83">
        <f t="shared" si="3"/>
        <v>19812.792000000001</v>
      </c>
      <c r="O23" s="81">
        <f>O71+O75+O79+O83</f>
        <v>36943.1947</v>
      </c>
      <c r="P23" s="63"/>
      <c r="Q23" s="64"/>
      <c r="R23" s="69">
        <v>2009</v>
      </c>
    </row>
    <row r="24" spans="1:19" s="65" customFormat="1" ht="14.25" x14ac:dyDescent="0.2">
      <c r="A24" s="80">
        <f t="shared" ref="A24:N24" si="4">A88+A92+A96+A100</f>
        <v>9.2370000000000001</v>
      </c>
      <c r="B24" s="83">
        <f>B88+B92+B96+B100</f>
        <v>2254.7370000000001</v>
      </c>
      <c r="C24" s="83">
        <f>C88+C92+C96+C100</f>
        <v>7307.8610000000008</v>
      </c>
      <c r="D24" s="83">
        <f>D88+D92+D96+D100</f>
        <v>9697.4469000000008</v>
      </c>
      <c r="E24" s="81">
        <f t="shared" si="4"/>
        <v>19269.281900000002</v>
      </c>
      <c r="F24" s="91">
        <f>F88+F92+F96+F100</f>
        <v>709.82098999999994</v>
      </c>
      <c r="G24" s="83">
        <f t="shared" si="4"/>
        <v>66.271000000000001</v>
      </c>
      <c r="H24" s="83">
        <f t="shared" si="4"/>
        <v>11227.143</v>
      </c>
      <c r="I24" s="83">
        <f t="shared" si="4"/>
        <v>12140.031499999999</v>
      </c>
      <c r="J24" s="84">
        <f>J88+J92+J96+J100</f>
        <v>24143.266490000002</v>
      </c>
      <c r="K24" s="91">
        <f>K88+K92+K96+K100</f>
        <v>719.05799000000002</v>
      </c>
      <c r="L24" s="83">
        <f t="shared" si="4"/>
        <v>2321.0079999999998</v>
      </c>
      <c r="M24" s="83">
        <f t="shared" si="4"/>
        <v>18535.004000000001</v>
      </c>
      <c r="N24" s="83">
        <f t="shared" si="4"/>
        <v>21837.4784</v>
      </c>
      <c r="O24" s="81">
        <f>O88+O92+O96+O100</f>
        <v>43412.548389999996</v>
      </c>
      <c r="P24" s="63"/>
      <c r="Q24" s="64"/>
      <c r="R24" s="69">
        <v>2010</v>
      </c>
      <c r="S24" s="167"/>
    </row>
    <row r="25" spans="1:19" s="65" customFormat="1" ht="14.25" x14ac:dyDescent="0.2">
      <c r="A25" s="80">
        <f t="shared" ref="A25:N25" si="5">A105+A109+A113+A117</f>
        <v>24.570999999999998</v>
      </c>
      <c r="B25" s="83">
        <f t="shared" si="5"/>
        <v>2119.3199999999997</v>
      </c>
      <c r="C25" s="83">
        <f t="shared" si="5"/>
        <v>7224.6731</v>
      </c>
      <c r="D25" s="83">
        <f t="shared" si="5"/>
        <v>10221.252100000002</v>
      </c>
      <c r="E25" s="81">
        <f t="shared" si="5"/>
        <v>19589.816200000001</v>
      </c>
      <c r="F25" s="91">
        <f t="shared" si="5"/>
        <v>1000.7894</v>
      </c>
      <c r="G25" s="83">
        <f t="shared" si="5"/>
        <v>161.12490000000003</v>
      </c>
      <c r="H25" s="83">
        <f>H105+H109+H113+H117</f>
        <v>11990.760699999999</v>
      </c>
      <c r="I25" s="83">
        <f>I105+I109+I113+I117</f>
        <v>12330.988800000001</v>
      </c>
      <c r="J25" s="84">
        <f>J105+J109+J113+J117</f>
        <v>25483.663800000002</v>
      </c>
      <c r="K25" s="91">
        <f>K105+K109+K113+K117</f>
        <v>1025.3604</v>
      </c>
      <c r="L25" s="83">
        <f t="shared" si="5"/>
        <v>2280.4449</v>
      </c>
      <c r="M25" s="83">
        <f>M105+M109+M113+M117</f>
        <v>19215.433799999999</v>
      </c>
      <c r="N25" s="83">
        <f t="shared" si="5"/>
        <v>22552.240900000001</v>
      </c>
      <c r="O25" s="81">
        <f>O105+O109+O113+O117</f>
        <v>45073.479999999996</v>
      </c>
      <c r="P25" s="63"/>
      <c r="Q25" s="64"/>
      <c r="R25" s="69">
        <v>2011</v>
      </c>
      <c r="S25" s="167"/>
    </row>
    <row r="26" spans="1:19" s="65" customFormat="1" ht="14.25" x14ac:dyDescent="0.2">
      <c r="A26" s="80">
        <f t="shared" ref="A26:N26" si="6">A122+A126+A130+A134</f>
        <v>32.164000000000001</v>
      </c>
      <c r="B26" s="83">
        <f>B122+B126+B130+B134</f>
        <v>1456.2090000000001</v>
      </c>
      <c r="C26" s="83">
        <f t="shared" si="6"/>
        <v>7231.6741000000002</v>
      </c>
      <c r="D26" s="83">
        <f>D122+D126+D130+D134</f>
        <v>10709.4359</v>
      </c>
      <c r="E26" s="81">
        <f t="shared" si="6"/>
        <v>19429.483</v>
      </c>
      <c r="F26" s="91">
        <f>F122+F126+F130+F134</f>
        <v>1270.1099999999999</v>
      </c>
      <c r="G26" s="83">
        <f>G122+G126+G130+G134</f>
        <v>105.57</v>
      </c>
      <c r="H26" s="83">
        <f>H122+H126+H130+H134</f>
        <v>12382.740299999999</v>
      </c>
      <c r="I26" s="83">
        <f>I122+I126+I130+I134</f>
        <v>13278.6803</v>
      </c>
      <c r="J26" s="84">
        <f>J122+J126+J130+J134</f>
        <v>27037.100599999998</v>
      </c>
      <c r="K26" s="91">
        <f t="shared" si="6"/>
        <v>1302.2739999999999</v>
      </c>
      <c r="L26" s="83">
        <f t="shared" si="6"/>
        <v>1561.779</v>
      </c>
      <c r="M26" s="83">
        <f t="shared" si="6"/>
        <v>19614.414400000001</v>
      </c>
      <c r="N26" s="83">
        <f t="shared" si="6"/>
        <v>23988.1162</v>
      </c>
      <c r="O26" s="81">
        <f>O122+O126+O130+O134</f>
        <v>46466.583599999998</v>
      </c>
      <c r="P26" s="63"/>
      <c r="Q26" s="64"/>
      <c r="R26" s="69">
        <v>2012</v>
      </c>
      <c r="S26" s="167"/>
    </row>
    <row r="27" spans="1:19" s="65" customFormat="1" ht="14.25" x14ac:dyDescent="0.2">
      <c r="A27" s="80">
        <f t="shared" ref="A27:M27" si="7">A139+A143+A147+A151</f>
        <v>11.792999999999999</v>
      </c>
      <c r="B27" s="83">
        <f t="shared" si="7"/>
        <v>1921.3107420000001</v>
      </c>
      <c r="C27" s="83">
        <f>C139+C143+C147+C151</f>
        <v>6829.0077000000001</v>
      </c>
      <c r="D27" s="83">
        <f t="shared" si="7"/>
        <v>11700.985199999999</v>
      </c>
      <c r="E27" s="81">
        <f t="shared" si="7"/>
        <v>20463.096642</v>
      </c>
      <c r="F27" s="91">
        <f t="shared" si="7"/>
        <v>1655.0990000000002</v>
      </c>
      <c r="G27" s="83">
        <f t="shared" si="7"/>
        <v>160.61696000000001</v>
      </c>
      <c r="H27" s="83">
        <f>H139+H143+H147+H151</f>
        <v>12384.552599999999</v>
      </c>
      <c r="I27" s="83">
        <f t="shared" si="7"/>
        <v>14086.852500000001</v>
      </c>
      <c r="J27" s="84">
        <f t="shared" si="7"/>
        <v>28287.121059999998</v>
      </c>
      <c r="K27" s="91">
        <f t="shared" si="7"/>
        <v>1666.8920000000003</v>
      </c>
      <c r="L27" s="83">
        <f t="shared" si="7"/>
        <v>2081.927702</v>
      </c>
      <c r="M27" s="83">
        <f t="shared" si="7"/>
        <v>19213.560299999997</v>
      </c>
      <c r="N27" s="83">
        <f>N139+N143+N147+N151</f>
        <v>25787.837700000004</v>
      </c>
      <c r="O27" s="81">
        <f>O139+O143+O147+O151</f>
        <v>48750.217702000002</v>
      </c>
      <c r="P27" s="63"/>
      <c r="Q27" s="64"/>
      <c r="R27" s="69">
        <v>2013</v>
      </c>
      <c r="S27" s="167"/>
    </row>
    <row r="28" spans="1:19" s="65" customFormat="1" ht="14.25" x14ac:dyDescent="0.2">
      <c r="A28" s="159">
        <f t="shared" ref="A28:F28" si="8">A156+A160+A164+A168</f>
        <v>16.855</v>
      </c>
      <c r="B28" s="160">
        <f t="shared" si="8"/>
        <v>2126.0742639999999</v>
      </c>
      <c r="C28" s="160">
        <f t="shared" si="8"/>
        <v>8264.3546380000007</v>
      </c>
      <c r="D28" s="160">
        <f>D156+D160+D164+D168</f>
        <v>10877.018199999999</v>
      </c>
      <c r="E28" s="161">
        <f>E156+E160+E164+E168</f>
        <v>21284.302102000001</v>
      </c>
      <c r="F28" s="150">
        <f t="shared" si="8"/>
        <v>1913.903</v>
      </c>
      <c r="G28" s="160">
        <f>G156+G160+G164+G168</f>
        <v>184.1447037692308</v>
      </c>
      <c r="H28" s="160">
        <f>H156+H160+H164+H168</f>
        <v>13290.384064000002</v>
      </c>
      <c r="I28" s="160">
        <f t="shared" ref="I28:N28" si="9">I156+I160+I164+I168</f>
        <v>16623.138701</v>
      </c>
      <c r="J28" s="149">
        <f t="shared" si="9"/>
        <v>32011.570468769231</v>
      </c>
      <c r="K28" s="150">
        <f t="shared" si="9"/>
        <v>1930.758</v>
      </c>
      <c r="L28" s="160">
        <f t="shared" si="9"/>
        <v>2310.2189677692309</v>
      </c>
      <c r="M28" s="160">
        <f t="shared" si="9"/>
        <v>21554.738701999999</v>
      </c>
      <c r="N28" s="160">
        <f t="shared" si="9"/>
        <v>27500.156901000002</v>
      </c>
      <c r="O28" s="162">
        <f>O156+O160+O164+O168</f>
        <v>53295.872570769236</v>
      </c>
      <c r="P28" s="163"/>
      <c r="Q28" s="164"/>
      <c r="R28" s="165">
        <v>2014</v>
      </c>
      <c r="S28" s="167"/>
    </row>
    <row r="29" spans="1:19" s="65" customFormat="1" ht="14.25" x14ac:dyDescent="0.2">
      <c r="A29" s="159">
        <f t="shared" ref="A29:L29" si="10">A173+A177+A181+A185</f>
        <v>5.71</v>
      </c>
      <c r="B29" s="160">
        <f t="shared" si="10"/>
        <v>1891.2726500000001</v>
      </c>
      <c r="C29" s="160">
        <f t="shared" si="10"/>
        <v>7948.6514390000002</v>
      </c>
      <c r="D29" s="160">
        <f t="shared" si="10"/>
        <v>10327.3233</v>
      </c>
      <c r="E29" s="161">
        <f t="shared" si="10"/>
        <v>20172.957388999999</v>
      </c>
      <c r="F29" s="150">
        <f>F173+F177+F181+F185</f>
        <v>2130.1030000000001</v>
      </c>
      <c r="G29" s="160">
        <f t="shared" si="10"/>
        <v>211.91207183628802</v>
      </c>
      <c r="H29" s="160">
        <f t="shared" si="10"/>
        <v>14324.833413</v>
      </c>
      <c r="I29" s="160">
        <f>I173+I177+I181+I185</f>
        <v>16932.103951000001</v>
      </c>
      <c r="J29" s="149">
        <f t="shared" si="10"/>
        <v>33598.952435836291</v>
      </c>
      <c r="K29" s="150">
        <f t="shared" si="10"/>
        <v>2135.8130000000001</v>
      </c>
      <c r="L29" s="160">
        <f t="shared" si="10"/>
        <v>2103.1847218362882</v>
      </c>
      <c r="M29" s="160">
        <f>M173+M177+M181+M185</f>
        <v>22273.484851999998</v>
      </c>
      <c r="N29" s="160">
        <f>N173+N177+N181+N185</f>
        <v>27259.427251000005</v>
      </c>
      <c r="O29" s="162">
        <f>O173+O177+O181+O185</f>
        <v>53771.909824836286</v>
      </c>
      <c r="P29" s="163"/>
      <c r="Q29" s="164"/>
      <c r="R29" s="165">
        <v>2015</v>
      </c>
      <c r="S29" s="167"/>
    </row>
    <row r="30" spans="1:19" s="65" customFormat="1" ht="14.25" x14ac:dyDescent="0.2">
      <c r="A30" s="159">
        <f>A190+A194+A198+A202</f>
        <v>2.3370000000000002</v>
      </c>
      <c r="B30" s="160">
        <f t="shared" ref="B30:N30" si="11">B190+B194+B198+B202</f>
        <v>1891.1232610000002</v>
      </c>
      <c r="C30" s="160">
        <f t="shared" si="11"/>
        <v>8694.1245689999996</v>
      </c>
      <c r="D30" s="160">
        <f t="shared" si="11"/>
        <v>10149.9856</v>
      </c>
      <c r="E30" s="161">
        <f>E190+E194+E198+E202</f>
        <v>20737.57043</v>
      </c>
      <c r="F30" s="150">
        <f>F190+F194+F198+F202</f>
        <v>2823.1850000000004</v>
      </c>
      <c r="G30" s="160">
        <f t="shared" si="11"/>
        <v>218.29300000000001</v>
      </c>
      <c r="H30" s="160">
        <f t="shared" si="11"/>
        <v>15392.293351999999</v>
      </c>
      <c r="I30" s="160">
        <f>I190+I194+I198+I202</f>
        <v>17876.584305000004</v>
      </c>
      <c r="J30" s="149">
        <f>J190+J194+J198+J202</f>
        <v>36310.355657</v>
      </c>
      <c r="K30" s="150">
        <f>K190+K194+K198+K202</f>
        <v>2825.5219999999999</v>
      </c>
      <c r="L30" s="160">
        <f t="shared" si="11"/>
        <v>2109.4162609999998</v>
      </c>
      <c r="M30" s="160">
        <f t="shared" si="11"/>
        <v>24086.417921</v>
      </c>
      <c r="N30" s="160">
        <f t="shared" si="11"/>
        <v>28026.569905000004</v>
      </c>
      <c r="O30" s="162">
        <f>O190+O194+O198+O202</f>
        <v>57047.926087</v>
      </c>
      <c r="P30" s="163"/>
      <c r="Q30" s="164"/>
      <c r="R30" s="165">
        <v>2016</v>
      </c>
      <c r="S30" s="167"/>
    </row>
    <row r="31" spans="1:19" s="65" customFormat="1" ht="14.25" x14ac:dyDescent="0.2">
      <c r="A31" s="159">
        <f t="shared" ref="A31:N31" si="12">A207+A211+A215+A219</f>
        <v>0.13600000000000001</v>
      </c>
      <c r="B31" s="160">
        <f t="shared" si="12"/>
        <v>2018.1099549999999</v>
      </c>
      <c r="C31" s="160">
        <f t="shared" si="12"/>
        <v>8375.2217860000001</v>
      </c>
      <c r="D31" s="160">
        <f t="shared" si="12"/>
        <v>10112.282599999999</v>
      </c>
      <c r="E31" s="161">
        <f>E207+E211+E215+E219</f>
        <v>20505.750340999999</v>
      </c>
      <c r="F31" s="150">
        <f t="shared" si="12"/>
        <v>2928.1174403333325</v>
      </c>
      <c r="G31" s="160">
        <f t="shared" si="12"/>
        <v>153.34512000000001</v>
      </c>
      <c r="H31" s="160">
        <f t="shared" si="12"/>
        <v>15209.327300000001</v>
      </c>
      <c r="I31" s="160">
        <f t="shared" si="12"/>
        <v>19139.521570000001</v>
      </c>
      <c r="J31" s="149">
        <f>J207+J211+J215+J219</f>
        <v>37430.311430333328</v>
      </c>
      <c r="K31" s="150">
        <f>K207+K211+K215+K219</f>
        <v>2928.2534403333329</v>
      </c>
      <c r="L31" s="160">
        <f t="shared" si="12"/>
        <v>2171.4550749999999</v>
      </c>
      <c r="M31" s="160">
        <f t="shared" si="12"/>
        <v>23584.549085999999</v>
      </c>
      <c r="N31" s="160">
        <f t="shared" si="12"/>
        <v>29251.804170000003</v>
      </c>
      <c r="O31" s="162">
        <f>O207+O211+O215+O219</f>
        <v>57936.061771333334</v>
      </c>
      <c r="P31" s="163"/>
      <c r="Q31" s="164"/>
      <c r="R31" s="165">
        <v>2017</v>
      </c>
      <c r="S31" s="167"/>
    </row>
    <row r="32" spans="1:19" s="65" customFormat="1" ht="14.25" x14ac:dyDescent="0.2">
      <c r="A32" s="159">
        <f t="shared" ref="A32:N32" si="13">A224+A228+A232+A236</f>
        <v>2.137</v>
      </c>
      <c r="B32" s="160">
        <f t="shared" si="13"/>
        <v>2114.2659999999996</v>
      </c>
      <c r="C32" s="160">
        <f t="shared" si="13"/>
        <v>7702.5772059999999</v>
      </c>
      <c r="D32" s="160">
        <f t="shared" si="13"/>
        <v>10414.278299999998</v>
      </c>
      <c r="E32" s="161">
        <f>E224+E228+E232+E236</f>
        <v>20233.258506000002</v>
      </c>
      <c r="F32" s="150">
        <f>F224+F228+F232+F236</f>
        <v>3416.6850000000004</v>
      </c>
      <c r="G32" s="160">
        <f t="shared" si="13"/>
        <v>175.79899999999998</v>
      </c>
      <c r="H32" s="160">
        <f t="shared" si="13"/>
        <v>15772.469906999999</v>
      </c>
      <c r="I32" s="160">
        <f t="shared" si="13"/>
        <v>19116.754038999999</v>
      </c>
      <c r="J32" s="149">
        <f>J224+J228+J232+J236</f>
        <v>38481.707945999995</v>
      </c>
      <c r="K32" s="150">
        <f>K224+K228+K232+K236</f>
        <v>3418.8220000000001</v>
      </c>
      <c r="L32" s="160">
        <f t="shared" si="13"/>
        <v>2290.0649999999996</v>
      </c>
      <c r="M32" s="160">
        <f t="shared" si="13"/>
        <v>23475.047113000001</v>
      </c>
      <c r="N32" s="160">
        <f t="shared" si="13"/>
        <v>29531.032339000005</v>
      </c>
      <c r="O32" s="162">
        <f>O224+O228+O232+O236</f>
        <v>58714.966452000001</v>
      </c>
      <c r="P32" s="163"/>
      <c r="Q32" s="164"/>
      <c r="R32" s="165">
        <v>2018</v>
      </c>
    </row>
    <row r="33" spans="1:20" s="65" customFormat="1" ht="14.25" x14ac:dyDescent="0.2">
      <c r="A33" s="159">
        <f t="shared" ref="A33:J33" si="14">A241+A245+A249+A253</f>
        <v>0</v>
      </c>
      <c r="B33" s="160">
        <f t="shared" si="14"/>
        <v>1750.9701</v>
      </c>
      <c r="C33" s="160">
        <f t="shared" si="14"/>
        <v>7751.2784040000006</v>
      </c>
      <c r="D33" s="160">
        <f t="shared" si="14"/>
        <v>10107.8388</v>
      </c>
      <c r="E33" s="161">
        <f t="shared" si="14"/>
        <v>19610.087304000001</v>
      </c>
      <c r="F33" s="150">
        <f t="shared" si="14"/>
        <v>3074.337023</v>
      </c>
      <c r="G33" s="160">
        <f t="shared" si="14"/>
        <v>193.74699999999999</v>
      </c>
      <c r="H33" s="160">
        <f t="shared" si="14"/>
        <v>15838.641922000001</v>
      </c>
      <c r="I33" s="160">
        <f t="shared" si="14"/>
        <v>18976.427459999999</v>
      </c>
      <c r="J33" s="149">
        <f t="shared" si="14"/>
        <v>38083.153404999997</v>
      </c>
      <c r="K33" s="189">
        <f>K241+K245+K249+K253</f>
        <v>3074.337023</v>
      </c>
      <c r="L33" s="160">
        <f>L241+L245+L249+L253</f>
        <v>1944.7170999999998</v>
      </c>
      <c r="M33" s="160">
        <f>M241+M245+M249+M253</f>
        <v>23589.920326000003</v>
      </c>
      <c r="N33" s="160">
        <f>N241+N245+N249+N253</f>
        <v>29084.26626</v>
      </c>
      <c r="O33" s="162">
        <f>O241+O245+O249+O253</f>
        <v>57693.240708999998</v>
      </c>
      <c r="P33" s="163"/>
      <c r="Q33" s="164"/>
      <c r="R33" s="165">
        <v>2019</v>
      </c>
      <c r="S33" s="167"/>
    </row>
    <row r="34" spans="1:20" s="65" customFormat="1" x14ac:dyDescent="0.25">
      <c r="A34" s="155">
        <f t="shared" ref="A34:M34" si="15">A258+A262+A266+A270</f>
        <v>0</v>
      </c>
      <c r="B34" s="156">
        <f t="shared" si="15"/>
        <v>2075.4029999999998</v>
      </c>
      <c r="C34" s="156">
        <f t="shared" si="15"/>
        <v>7908.6100650000008</v>
      </c>
      <c r="D34" s="156">
        <f t="shared" si="15"/>
        <v>9139.3927000000003</v>
      </c>
      <c r="E34" s="181">
        <f t="shared" si="15"/>
        <v>19123.405765</v>
      </c>
      <c r="F34" s="134">
        <f t="shared" si="15"/>
        <v>4456.55249</v>
      </c>
      <c r="G34" s="156">
        <f t="shared" si="15"/>
        <v>149.16800000000001</v>
      </c>
      <c r="H34" s="156">
        <f t="shared" si="15"/>
        <v>16065.036319000001</v>
      </c>
      <c r="I34" s="156">
        <f t="shared" si="15"/>
        <v>17658.560979000002</v>
      </c>
      <c r="J34" s="129">
        <f>J258+J262+J266+J270</f>
        <v>38329.317788</v>
      </c>
      <c r="K34" s="187">
        <f>K258+K262+K266+K270</f>
        <v>4456.55249</v>
      </c>
      <c r="L34" s="156">
        <f t="shared" si="15"/>
        <v>2224.5709999999999</v>
      </c>
      <c r="M34" s="156">
        <f t="shared" si="15"/>
        <v>23973.646384</v>
      </c>
      <c r="N34" s="156">
        <f>N258+N262+N266+N270</f>
        <v>26797.953678999998</v>
      </c>
      <c r="O34" s="182">
        <f>O258+O262+O266+O270</f>
        <v>57452.723553000003</v>
      </c>
      <c r="P34" s="183"/>
      <c r="Q34" s="184"/>
      <c r="R34" s="185">
        <v>2020</v>
      </c>
      <c r="S34" s="167"/>
    </row>
    <row r="35" spans="1:20" s="65" customFormat="1" ht="11.25" customHeight="1" x14ac:dyDescent="0.2">
      <c r="A35" s="122"/>
      <c r="B35" s="83"/>
      <c r="C35" s="83"/>
      <c r="D35" s="83"/>
      <c r="E35" s="81"/>
      <c r="F35" s="91"/>
      <c r="G35" s="83"/>
      <c r="H35" s="83"/>
      <c r="I35" s="83"/>
      <c r="J35" s="84"/>
      <c r="K35" s="91"/>
      <c r="L35" s="83"/>
      <c r="M35" s="83"/>
      <c r="N35" s="83"/>
      <c r="O35" s="81"/>
      <c r="P35" s="63"/>
      <c r="Q35" s="64"/>
      <c r="R35" s="69"/>
      <c r="T35" s="190"/>
    </row>
    <row r="36" spans="1:20" s="65" customFormat="1" ht="14.25" x14ac:dyDescent="0.2">
      <c r="A36" s="122"/>
      <c r="B36" s="83">
        <v>600.76800000000003</v>
      </c>
      <c r="C36" s="83">
        <v>1459.1120000000001</v>
      </c>
      <c r="D36" s="83">
        <v>2044.3520000000001</v>
      </c>
      <c r="E36" s="82">
        <f>SUM(B36:D36)</f>
        <v>4104.232</v>
      </c>
      <c r="F36" s="80"/>
      <c r="G36" s="83">
        <v>53.225999999999999</v>
      </c>
      <c r="H36" s="83">
        <v>2105.0059999999999</v>
      </c>
      <c r="I36" s="83">
        <v>2822.7655</v>
      </c>
      <c r="J36" s="83">
        <f>SUM(G36:I36)</f>
        <v>4980.9974999999995</v>
      </c>
      <c r="K36" s="80"/>
      <c r="L36" s="84">
        <f t="shared" ref="L36:O39" si="16">G36+B36</f>
        <v>653.99400000000003</v>
      </c>
      <c r="M36" s="84">
        <f t="shared" si="16"/>
        <v>3564.1179999999999</v>
      </c>
      <c r="N36" s="84">
        <f t="shared" si="16"/>
        <v>4867.1175000000003</v>
      </c>
      <c r="O36" s="81">
        <f t="shared" si="16"/>
        <v>9085.2294999999995</v>
      </c>
      <c r="P36" s="66"/>
      <c r="Q36" s="67" t="s">
        <v>53</v>
      </c>
      <c r="R36" s="69">
        <v>2005</v>
      </c>
    </row>
    <row r="37" spans="1:20" s="65" customFormat="1" ht="12" customHeight="1" x14ac:dyDescent="0.2">
      <c r="A37" s="122"/>
      <c r="B37" s="83">
        <v>391.86</v>
      </c>
      <c r="C37" s="83">
        <v>1587.2059999999999</v>
      </c>
      <c r="D37" s="83">
        <v>2557.6089999999999</v>
      </c>
      <c r="E37" s="82">
        <f>SUM(B37:D37)</f>
        <v>4536.6749999999993</v>
      </c>
      <c r="F37" s="80"/>
      <c r="G37" s="83">
        <v>85.206999999999994</v>
      </c>
      <c r="H37" s="83">
        <v>2220.0720000000001</v>
      </c>
      <c r="I37" s="83">
        <v>3087.518</v>
      </c>
      <c r="J37" s="83">
        <f>SUM(G37:I37)</f>
        <v>5392.7970000000005</v>
      </c>
      <c r="K37" s="80"/>
      <c r="L37" s="84">
        <f t="shared" si="16"/>
        <v>477.06700000000001</v>
      </c>
      <c r="M37" s="84">
        <f t="shared" si="16"/>
        <v>3807.2780000000002</v>
      </c>
      <c r="N37" s="84">
        <f t="shared" si="16"/>
        <v>5645.1270000000004</v>
      </c>
      <c r="O37" s="81">
        <f t="shared" si="16"/>
        <v>9929.4719999999998</v>
      </c>
      <c r="P37" s="66"/>
      <c r="Q37" s="67" t="s">
        <v>54</v>
      </c>
      <c r="R37" s="69"/>
    </row>
    <row r="38" spans="1:20" s="65" customFormat="1" ht="12" customHeight="1" x14ac:dyDescent="0.2">
      <c r="A38" s="122"/>
      <c r="B38" s="83">
        <v>651.86199999999997</v>
      </c>
      <c r="C38" s="83">
        <v>1193.7139999999999</v>
      </c>
      <c r="D38" s="83">
        <v>2357.0549999999998</v>
      </c>
      <c r="E38" s="82">
        <f>SUM(B38:D38)</f>
        <v>4202.6309999999994</v>
      </c>
      <c r="F38" s="80"/>
      <c r="G38" s="83">
        <v>76.459000000000003</v>
      </c>
      <c r="H38" s="83">
        <v>2304.3789999999999</v>
      </c>
      <c r="I38" s="83">
        <v>3041.6950000000002</v>
      </c>
      <c r="J38" s="83">
        <f>SUM(G38:I38)</f>
        <v>5422.5329999999994</v>
      </c>
      <c r="K38" s="80"/>
      <c r="L38" s="84">
        <f t="shared" si="16"/>
        <v>728.32099999999991</v>
      </c>
      <c r="M38" s="84">
        <f t="shared" si="16"/>
        <v>3498.0929999999998</v>
      </c>
      <c r="N38" s="84">
        <f t="shared" si="16"/>
        <v>5398.75</v>
      </c>
      <c r="O38" s="81">
        <f t="shared" si="16"/>
        <v>9625.1639999999989</v>
      </c>
      <c r="P38" s="66"/>
      <c r="Q38" s="67" t="s">
        <v>55</v>
      </c>
      <c r="R38" s="69"/>
    </row>
    <row r="39" spans="1:20" s="65" customFormat="1" ht="11.25" customHeight="1" x14ac:dyDescent="0.2">
      <c r="A39" s="122"/>
      <c r="B39" s="83">
        <v>558.26599999999996</v>
      </c>
      <c r="C39" s="83">
        <v>1112.934</v>
      </c>
      <c r="D39" s="83">
        <v>2120.44</v>
      </c>
      <c r="E39" s="82">
        <f>SUM(B39:D39)</f>
        <v>3791.64</v>
      </c>
      <c r="F39" s="80"/>
      <c r="G39" s="83">
        <v>76.429000000000002</v>
      </c>
      <c r="H39" s="83">
        <v>2245.5149999999999</v>
      </c>
      <c r="I39" s="83">
        <v>2959.1990000000001</v>
      </c>
      <c r="J39" s="83">
        <f>SUM(G39:I39)</f>
        <v>5281.143</v>
      </c>
      <c r="K39" s="80"/>
      <c r="L39" s="84">
        <f t="shared" si="16"/>
        <v>634.69499999999994</v>
      </c>
      <c r="M39" s="84">
        <f t="shared" si="16"/>
        <v>3358.4489999999996</v>
      </c>
      <c r="N39" s="84">
        <f t="shared" si="16"/>
        <v>5079.6390000000001</v>
      </c>
      <c r="O39" s="81">
        <f t="shared" si="16"/>
        <v>9072.7829999999994</v>
      </c>
      <c r="P39" s="66"/>
      <c r="Q39" s="67" t="s">
        <v>56</v>
      </c>
      <c r="R39" s="69"/>
    </row>
    <row r="40" spans="1:20" s="65" customFormat="1" ht="9.75" customHeight="1" x14ac:dyDescent="0.2">
      <c r="A40" s="122"/>
      <c r="B40" s="86"/>
      <c r="C40" s="86"/>
      <c r="D40" s="86"/>
      <c r="E40" s="87"/>
      <c r="F40" s="88"/>
      <c r="G40" s="86"/>
      <c r="H40" s="86"/>
      <c r="I40" s="86"/>
      <c r="J40" s="86"/>
      <c r="K40" s="88"/>
      <c r="L40" s="86"/>
      <c r="M40" s="86"/>
      <c r="N40" s="86"/>
      <c r="O40" s="86"/>
      <c r="P40" s="88"/>
      <c r="Q40" s="88"/>
      <c r="R40" s="87"/>
    </row>
    <row r="41" spans="1:20" s="65" customFormat="1" ht="11.25" x14ac:dyDescent="0.2">
      <c r="A41" s="122"/>
      <c r="B41" s="84">
        <v>253.33500000000001</v>
      </c>
      <c r="C41" s="90">
        <v>1170</v>
      </c>
      <c r="D41" s="90">
        <v>2221</v>
      </c>
      <c r="E41" s="81">
        <v>3644.335</v>
      </c>
      <c r="F41" s="91"/>
      <c r="G41" s="90">
        <v>49</v>
      </c>
      <c r="H41" s="90">
        <v>2240</v>
      </c>
      <c r="I41" s="84">
        <v>2719</v>
      </c>
      <c r="J41" s="84">
        <v>5009</v>
      </c>
      <c r="K41" s="91"/>
      <c r="L41" s="84">
        <v>302.33499999999998</v>
      </c>
      <c r="M41" s="84">
        <v>3412</v>
      </c>
      <c r="N41" s="84">
        <v>4941</v>
      </c>
      <c r="O41" s="84">
        <v>8654.3349999999991</v>
      </c>
      <c r="P41" s="88"/>
      <c r="Q41" s="94" t="s">
        <v>53</v>
      </c>
      <c r="R41" s="69">
        <v>2006</v>
      </c>
    </row>
    <row r="42" spans="1:20" s="65" customFormat="1" ht="11.25" x14ac:dyDescent="0.2">
      <c r="A42" s="122"/>
      <c r="B42" s="84">
        <v>356</v>
      </c>
      <c r="C42" s="90">
        <v>1294</v>
      </c>
      <c r="D42" s="90">
        <v>2688</v>
      </c>
      <c r="E42" s="81">
        <f>SUM(B42:D42)</f>
        <v>4338</v>
      </c>
      <c r="F42" s="91"/>
      <c r="G42" s="90">
        <v>79</v>
      </c>
      <c r="H42" s="90">
        <v>2374</v>
      </c>
      <c r="I42" s="90">
        <v>2837</v>
      </c>
      <c r="J42" s="84">
        <f>SUM(G42:I42)</f>
        <v>5290</v>
      </c>
      <c r="K42" s="91"/>
      <c r="L42" s="84">
        <f>G42+B42</f>
        <v>435</v>
      </c>
      <c r="M42" s="84">
        <f>H42+C42</f>
        <v>3668</v>
      </c>
      <c r="N42" s="90">
        <f>I42+D42</f>
        <v>5525</v>
      </c>
      <c r="O42" s="84">
        <f>J42+E42</f>
        <v>9628</v>
      </c>
      <c r="P42" s="88">
        <v>3076</v>
      </c>
      <c r="Q42" s="94" t="s">
        <v>54</v>
      </c>
      <c r="R42" s="87"/>
    </row>
    <row r="43" spans="1:20" s="65" customFormat="1" ht="11.25" x14ac:dyDescent="0.2">
      <c r="A43" s="122"/>
      <c r="B43" s="84">
        <v>378</v>
      </c>
      <c r="C43" s="90">
        <v>1603</v>
      </c>
      <c r="D43" s="90">
        <v>1744</v>
      </c>
      <c r="E43" s="81">
        <v>3725</v>
      </c>
      <c r="F43" s="91"/>
      <c r="G43" s="90">
        <v>71</v>
      </c>
      <c r="H43" s="90">
        <v>2667</v>
      </c>
      <c r="I43" s="90">
        <v>2190</v>
      </c>
      <c r="J43" s="84">
        <v>4928</v>
      </c>
      <c r="K43" s="91"/>
      <c r="L43" s="84">
        <v>449</v>
      </c>
      <c r="M43" s="84">
        <v>4270</v>
      </c>
      <c r="N43" s="90">
        <v>3934</v>
      </c>
      <c r="O43" s="84">
        <v>8653</v>
      </c>
      <c r="P43" s="88"/>
      <c r="Q43" s="94" t="s">
        <v>55</v>
      </c>
      <c r="R43" s="87"/>
    </row>
    <row r="44" spans="1:20" s="65" customFormat="1" ht="11.25" x14ac:dyDescent="0.2">
      <c r="A44" s="122"/>
      <c r="B44" s="84">
        <v>652</v>
      </c>
      <c r="C44" s="90">
        <v>1449</v>
      </c>
      <c r="D44" s="90">
        <v>2040</v>
      </c>
      <c r="E44" s="81">
        <v>4141</v>
      </c>
      <c r="F44" s="91"/>
      <c r="G44" s="90">
        <v>70</v>
      </c>
      <c r="H44" s="90">
        <v>2345</v>
      </c>
      <c r="I44" s="90">
        <v>2762</v>
      </c>
      <c r="J44" s="84">
        <v>5177</v>
      </c>
      <c r="K44" s="91"/>
      <c r="L44" s="84">
        <v>722</v>
      </c>
      <c r="M44" s="84">
        <v>3794</v>
      </c>
      <c r="N44" s="90">
        <v>4802</v>
      </c>
      <c r="O44" s="84">
        <v>9318</v>
      </c>
      <c r="P44" s="88"/>
      <c r="Q44" s="94" t="s">
        <v>56</v>
      </c>
      <c r="R44" s="87"/>
    </row>
    <row r="45" spans="1:20" s="65" customFormat="1" ht="11.25" x14ac:dyDescent="0.2">
      <c r="A45" s="122"/>
      <c r="B45" s="84"/>
      <c r="C45" s="90"/>
      <c r="D45" s="90"/>
      <c r="E45" s="81"/>
      <c r="F45" s="91"/>
      <c r="G45" s="90"/>
      <c r="H45" s="90"/>
      <c r="I45" s="90"/>
      <c r="J45" s="84"/>
      <c r="K45" s="91"/>
      <c r="L45" s="84"/>
      <c r="M45" s="84"/>
      <c r="N45" s="90"/>
      <c r="O45" s="81"/>
      <c r="P45" s="88"/>
      <c r="Q45" s="67"/>
      <c r="R45" s="87"/>
    </row>
    <row r="46" spans="1:20" s="65" customFormat="1" ht="11.25" x14ac:dyDescent="0.2">
      <c r="A46" s="122"/>
      <c r="B46" s="84">
        <v>514.16300000000001</v>
      </c>
      <c r="C46" s="90">
        <v>1397.712</v>
      </c>
      <c r="D46" s="90">
        <v>2213.6260000000002</v>
      </c>
      <c r="E46" s="81">
        <f>SUM(B46:D46)</f>
        <v>4125.5010000000002</v>
      </c>
      <c r="F46" s="91"/>
      <c r="G46" s="90">
        <v>44.622999999999998</v>
      </c>
      <c r="H46" s="90">
        <v>2274.6660000000002</v>
      </c>
      <c r="I46" s="90">
        <v>2984.098</v>
      </c>
      <c r="J46" s="84">
        <f>SUM(G46:I46)</f>
        <v>5303.3870000000006</v>
      </c>
      <c r="K46" s="91"/>
      <c r="L46" s="90">
        <f t="shared" ref="L46:O47" si="17">G46+B46</f>
        <v>558.78600000000006</v>
      </c>
      <c r="M46" s="90">
        <f t="shared" si="17"/>
        <v>3672.3780000000002</v>
      </c>
      <c r="N46" s="90">
        <f t="shared" si="17"/>
        <v>5197.7240000000002</v>
      </c>
      <c r="O46" s="107">
        <f t="shared" si="17"/>
        <v>9428.8880000000008</v>
      </c>
      <c r="P46" s="88"/>
      <c r="Q46" s="67" t="s">
        <v>53</v>
      </c>
      <c r="R46" s="87">
        <v>2007</v>
      </c>
    </row>
    <row r="47" spans="1:20" s="65" customFormat="1" ht="11.25" x14ac:dyDescent="0.2">
      <c r="A47" s="122"/>
      <c r="B47" s="84">
        <v>476.685</v>
      </c>
      <c r="C47" s="90">
        <v>1716.732</v>
      </c>
      <c r="D47" s="90">
        <v>2437.797</v>
      </c>
      <c r="E47" s="81">
        <f>SUM(B47:D47)</f>
        <v>4631.2139999999999</v>
      </c>
      <c r="F47" s="91"/>
      <c r="G47" s="90">
        <v>83.253</v>
      </c>
      <c r="H47" s="90">
        <v>2441.0390000000002</v>
      </c>
      <c r="I47" s="90">
        <v>2871.1260000000002</v>
      </c>
      <c r="J47" s="84">
        <f>SUM(G47:I47)</f>
        <v>5395.4180000000006</v>
      </c>
      <c r="K47" s="91"/>
      <c r="L47" s="90">
        <f t="shared" si="17"/>
        <v>559.93799999999999</v>
      </c>
      <c r="M47" s="90">
        <f t="shared" si="17"/>
        <v>4157.7710000000006</v>
      </c>
      <c r="N47" s="90">
        <f t="shared" si="17"/>
        <v>5308.9230000000007</v>
      </c>
      <c r="O47" s="107">
        <f t="shared" si="17"/>
        <v>10026.632000000001</v>
      </c>
      <c r="P47" s="88"/>
      <c r="Q47" s="67" t="s">
        <v>54</v>
      </c>
      <c r="R47" s="87"/>
    </row>
    <row r="48" spans="1:20" s="65" customFormat="1" ht="11.25" x14ac:dyDescent="0.2">
      <c r="A48" s="122"/>
      <c r="B48" s="84">
        <v>689.68200000000002</v>
      </c>
      <c r="C48" s="90">
        <v>1376.47</v>
      </c>
      <c r="D48" s="90">
        <v>2194.4659999999999</v>
      </c>
      <c r="E48" s="81">
        <f>SUM(B48:D48)</f>
        <v>4260.6180000000004</v>
      </c>
      <c r="F48" s="91"/>
      <c r="G48" s="90">
        <v>57.075000000000003</v>
      </c>
      <c r="H48" s="90">
        <v>2609.7190000000001</v>
      </c>
      <c r="I48" s="90">
        <v>3076.1509999999998</v>
      </c>
      <c r="J48" s="84">
        <f>SUM(G48:I48)</f>
        <v>5742.9449999999997</v>
      </c>
      <c r="K48" s="91"/>
      <c r="L48" s="90">
        <f t="shared" ref="L48:O49" si="18">B48+G48</f>
        <v>746.75700000000006</v>
      </c>
      <c r="M48" s="90">
        <f t="shared" si="18"/>
        <v>3986.1890000000003</v>
      </c>
      <c r="N48" s="90">
        <f t="shared" si="18"/>
        <v>5270.6170000000002</v>
      </c>
      <c r="O48" s="107">
        <f t="shared" si="18"/>
        <v>10003.563</v>
      </c>
      <c r="P48" s="88"/>
      <c r="Q48" s="67" t="s">
        <v>55</v>
      </c>
      <c r="R48" s="87"/>
    </row>
    <row r="49" spans="1:18" s="65" customFormat="1" ht="11.25" x14ac:dyDescent="0.2">
      <c r="A49" s="122"/>
      <c r="B49" s="90">
        <v>629.15899999999999</v>
      </c>
      <c r="C49" s="90">
        <v>1635.454</v>
      </c>
      <c r="D49" s="90">
        <v>2465.5030000000002</v>
      </c>
      <c r="E49" s="107">
        <f>SUM(B49:D49)</f>
        <v>4730.116</v>
      </c>
      <c r="F49" s="92"/>
      <c r="G49" s="90">
        <v>40.039000000000001</v>
      </c>
      <c r="H49" s="90">
        <v>2780.0729999999999</v>
      </c>
      <c r="I49" s="90">
        <v>3214.174</v>
      </c>
      <c r="J49" s="84">
        <f>SUM(G49:I49)</f>
        <v>6034.2860000000001</v>
      </c>
      <c r="K49" s="91"/>
      <c r="L49" s="90">
        <f t="shared" si="18"/>
        <v>669.19799999999998</v>
      </c>
      <c r="M49" s="90">
        <f t="shared" si="18"/>
        <v>4415.527</v>
      </c>
      <c r="N49" s="90">
        <f t="shared" si="18"/>
        <v>5679.6769999999997</v>
      </c>
      <c r="O49" s="107">
        <f t="shared" si="18"/>
        <v>10764.402</v>
      </c>
      <c r="P49" s="88"/>
      <c r="Q49" s="94" t="s">
        <v>56</v>
      </c>
      <c r="R49" s="87"/>
    </row>
    <row r="50" spans="1:18" s="65" customFormat="1" ht="11.25" x14ac:dyDescent="0.2">
      <c r="A50" s="122"/>
      <c r="B50" s="90"/>
      <c r="C50" s="90"/>
      <c r="D50" s="90"/>
      <c r="E50" s="107"/>
      <c r="F50" s="92"/>
      <c r="G50" s="90"/>
      <c r="H50" s="90"/>
      <c r="I50" s="90"/>
      <c r="J50" s="84"/>
      <c r="K50" s="91"/>
      <c r="L50" s="90"/>
      <c r="M50" s="90"/>
      <c r="N50" s="90"/>
      <c r="O50" s="90"/>
      <c r="P50" s="86"/>
      <c r="Q50" s="94"/>
      <c r="R50" s="87"/>
    </row>
    <row r="51" spans="1:18" s="65" customFormat="1" ht="11.25" x14ac:dyDescent="0.2">
      <c r="A51" s="122"/>
      <c r="B51" s="90">
        <v>243.434</v>
      </c>
      <c r="C51" s="90">
        <v>552.08500000000004</v>
      </c>
      <c r="D51" s="90">
        <v>849.13300000000004</v>
      </c>
      <c r="E51" s="107">
        <f>SUM(B51:D51)</f>
        <v>1644.652</v>
      </c>
      <c r="F51" s="92"/>
      <c r="G51" s="90">
        <v>25.5</v>
      </c>
      <c r="H51" s="90">
        <v>670.05499999999995</v>
      </c>
      <c r="I51" s="90">
        <v>1006.924</v>
      </c>
      <c r="J51" s="84">
        <f>SUM(G51:I51)</f>
        <v>1702.4789999999998</v>
      </c>
      <c r="K51" s="91"/>
      <c r="L51" s="90">
        <f>B51+G51</f>
        <v>268.93399999999997</v>
      </c>
      <c r="M51" s="90">
        <f>C51+H51</f>
        <v>1222.1399999999999</v>
      </c>
      <c r="N51" s="90">
        <f>D51+I51</f>
        <v>1856.057</v>
      </c>
      <c r="O51" s="90">
        <f>E51+J51</f>
        <v>3347.1309999999999</v>
      </c>
      <c r="P51" s="86"/>
      <c r="Q51" s="94" t="s">
        <v>78</v>
      </c>
      <c r="R51" s="87">
        <v>2008</v>
      </c>
    </row>
    <row r="52" spans="1:18" s="65" customFormat="1" ht="11.25" x14ac:dyDescent="0.2">
      <c r="A52" s="122"/>
      <c r="B52" s="90">
        <v>180.06700000000001</v>
      </c>
      <c r="C52" s="90">
        <v>589.774</v>
      </c>
      <c r="D52" s="90">
        <v>814.01300000000003</v>
      </c>
      <c r="E52" s="107">
        <f>SUM(B52:D52)</f>
        <v>1583.854</v>
      </c>
      <c r="F52" s="92"/>
      <c r="G52" s="90">
        <v>21.132000000000001</v>
      </c>
      <c r="H52" s="90">
        <v>882.07899999999995</v>
      </c>
      <c r="I52" s="90">
        <v>1239.8330000000001</v>
      </c>
      <c r="J52" s="84">
        <f>SUM(G52:I52)</f>
        <v>2143.0439999999999</v>
      </c>
      <c r="K52" s="91"/>
      <c r="L52" s="90">
        <f>G52+B52</f>
        <v>201.19900000000001</v>
      </c>
      <c r="M52" s="90">
        <f>H52+C52</f>
        <v>1471.8530000000001</v>
      </c>
      <c r="N52" s="90">
        <f>I52+D52</f>
        <v>2053.846</v>
      </c>
      <c r="O52" s="90">
        <f>J52+E52</f>
        <v>3726.8980000000001</v>
      </c>
      <c r="P52" s="86"/>
      <c r="Q52" s="94" t="s">
        <v>79</v>
      </c>
      <c r="R52" s="87"/>
    </row>
    <row r="53" spans="1:18" s="65" customFormat="1" ht="11.25" x14ac:dyDescent="0.2">
      <c r="A53" s="122"/>
      <c r="B53" s="90">
        <v>245.08600000000001</v>
      </c>
      <c r="C53" s="90">
        <v>668.09100000000001</v>
      </c>
      <c r="D53" s="90">
        <v>989.75099999999998</v>
      </c>
      <c r="E53" s="107">
        <f>SUM(B53:D53)</f>
        <v>1902.9279999999999</v>
      </c>
      <c r="F53" s="92"/>
      <c r="G53" s="90">
        <v>12.699</v>
      </c>
      <c r="H53" s="90">
        <v>868.67200000000003</v>
      </c>
      <c r="I53" s="90">
        <v>1033.24</v>
      </c>
      <c r="J53" s="84">
        <f>SUM(G53:I53)</f>
        <v>1914.6109999999999</v>
      </c>
      <c r="K53" s="91"/>
      <c r="L53" s="90">
        <f>B53+G53</f>
        <v>257.78500000000003</v>
      </c>
      <c r="M53" s="90">
        <f>C53+H53</f>
        <v>1536.7629999999999</v>
      </c>
      <c r="N53" s="90">
        <f>D53+I53</f>
        <v>2022.991</v>
      </c>
      <c r="O53" s="90">
        <f>E53+J53</f>
        <v>3817.5389999999998</v>
      </c>
      <c r="P53" s="86"/>
      <c r="Q53" s="94" t="s">
        <v>80</v>
      </c>
      <c r="R53" s="87"/>
    </row>
    <row r="54" spans="1:18" s="65" customFormat="1" ht="11.25" x14ac:dyDescent="0.2">
      <c r="A54" s="122"/>
      <c r="B54" s="90">
        <f t="shared" ref="B54:N54" si="19">SUM(B51:B53)</f>
        <v>668.58699999999999</v>
      </c>
      <c r="C54" s="90">
        <f t="shared" si="19"/>
        <v>1809.9499999999998</v>
      </c>
      <c r="D54" s="90">
        <f t="shared" si="19"/>
        <v>2652.8969999999999</v>
      </c>
      <c r="E54" s="107">
        <f t="shared" si="19"/>
        <v>5131.4340000000002</v>
      </c>
      <c r="F54" s="92"/>
      <c r="G54" s="90">
        <f t="shared" si="19"/>
        <v>59.331000000000003</v>
      </c>
      <c r="H54" s="90">
        <f t="shared" si="19"/>
        <v>2420.806</v>
      </c>
      <c r="I54" s="90">
        <f t="shared" si="19"/>
        <v>3279.9970000000003</v>
      </c>
      <c r="J54" s="84">
        <f>SUM(J51:J53)</f>
        <v>5760.134</v>
      </c>
      <c r="K54" s="91"/>
      <c r="L54" s="90">
        <f t="shared" si="19"/>
        <v>727.91800000000001</v>
      </c>
      <c r="M54" s="90">
        <f t="shared" si="19"/>
        <v>4230.7559999999994</v>
      </c>
      <c r="N54" s="90">
        <f t="shared" si="19"/>
        <v>5932.8940000000002</v>
      </c>
      <c r="O54" s="90">
        <f>SUM(O51:O53)</f>
        <v>10891.567999999999</v>
      </c>
      <c r="P54" s="86"/>
      <c r="Q54" s="94" t="s">
        <v>53</v>
      </c>
      <c r="R54" s="87">
        <v>2008</v>
      </c>
    </row>
    <row r="55" spans="1:18" s="65" customFormat="1" ht="11.25" x14ac:dyDescent="0.2">
      <c r="A55" s="122"/>
      <c r="B55" s="90">
        <v>215.673</v>
      </c>
      <c r="C55" s="90">
        <v>551.87199999999996</v>
      </c>
      <c r="D55" s="90">
        <v>889.75400000000002</v>
      </c>
      <c r="E55" s="107">
        <f>SUM(B55:D55)</f>
        <v>1657.299</v>
      </c>
      <c r="F55" s="92"/>
      <c r="G55" s="90">
        <v>20.588000000000001</v>
      </c>
      <c r="H55" s="90">
        <v>892.62599999999998</v>
      </c>
      <c r="I55" s="90">
        <v>1247.991</v>
      </c>
      <c r="J55" s="84">
        <f>SUM(G55:I55)</f>
        <v>2161.2049999999999</v>
      </c>
      <c r="K55" s="91"/>
      <c r="L55" s="90">
        <f t="shared" ref="L55:O57" si="20">B55+G55</f>
        <v>236.261</v>
      </c>
      <c r="M55" s="90">
        <f t="shared" si="20"/>
        <v>1444.498</v>
      </c>
      <c r="N55" s="90">
        <f t="shared" si="20"/>
        <v>2137.7449999999999</v>
      </c>
      <c r="O55" s="90">
        <f t="shared" si="20"/>
        <v>3818.5039999999999</v>
      </c>
      <c r="P55" s="86"/>
      <c r="Q55" s="94" t="s">
        <v>68</v>
      </c>
      <c r="R55" s="87"/>
    </row>
    <row r="56" spans="1:18" s="65" customFormat="1" ht="11.25" x14ac:dyDescent="0.2">
      <c r="A56" s="122"/>
      <c r="B56" s="90">
        <v>203.73599999999999</v>
      </c>
      <c r="C56" s="90">
        <v>551.42999999999995</v>
      </c>
      <c r="D56" s="90">
        <v>964.63499999999999</v>
      </c>
      <c r="E56" s="107">
        <f>SUM(B56:D56)</f>
        <v>1719.8009999999999</v>
      </c>
      <c r="F56" s="92"/>
      <c r="G56" s="90">
        <v>19.673999999999999</v>
      </c>
      <c r="H56" s="90">
        <v>815.45</v>
      </c>
      <c r="I56" s="90">
        <v>1041.2460000000001</v>
      </c>
      <c r="J56" s="84">
        <f>SUM(G56:I56)</f>
        <v>1876.3700000000001</v>
      </c>
      <c r="K56" s="91"/>
      <c r="L56" s="90">
        <f t="shared" si="20"/>
        <v>223.41</v>
      </c>
      <c r="M56" s="90">
        <f t="shared" si="20"/>
        <v>1366.88</v>
      </c>
      <c r="N56" s="90">
        <f t="shared" si="20"/>
        <v>2005.8810000000001</v>
      </c>
      <c r="O56" s="90">
        <f t="shared" si="20"/>
        <v>3596.1710000000003</v>
      </c>
      <c r="P56" s="86"/>
      <c r="Q56" s="94" t="s">
        <v>82</v>
      </c>
      <c r="R56" s="87"/>
    </row>
    <row r="57" spans="1:18" s="65" customFormat="1" ht="11.25" x14ac:dyDescent="0.2">
      <c r="A57" s="122"/>
      <c r="B57" s="90">
        <v>252.64099999999999</v>
      </c>
      <c r="C57" s="90">
        <v>637.76</v>
      </c>
      <c r="D57" s="90">
        <v>902.64800000000002</v>
      </c>
      <c r="E57" s="107">
        <f>SUM(B57:D57)</f>
        <v>1793.049</v>
      </c>
      <c r="F57" s="92"/>
      <c r="G57" s="90">
        <v>12.868</v>
      </c>
      <c r="H57" s="90">
        <v>799.28800000000001</v>
      </c>
      <c r="I57" s="90">
        <v>1192.5650000000001</v>
      </c>
      <c r="J57" s="84">
        <f>SUM(G57:I57)</f>
        <v>2004.721</v>
      </c>
      <c r="K57" s="91"/>
      <c r="L57" s="90">
        <f t="shared" si="20"/>
        <v>265.50900000000001</v>
      </c>
      <c r="M57" s="90">
        <f t="shared" si="20"/>
        <v>1437.048</v>
      </c>
      <c r="N57" s="90">
        <f t="shared" si="20"/>
        <v>2095.2130000000002</v>
      </c>
      <c r="O57" s="90">
        <f t="shared" si="20"/>
        <v>3797.77</v>
      </c>
      <c r="P57" s="86"/>
      <c r="Q57" s="94" t="s">
        <v>83</v>
      </c>
      <c r="R57" s="87"/>
    </row>
    <row r="58" spans="1:18" s="65" customFormat="1" ht="11.25" x14ac:dyDescent="0.2">
      <c r="A58" s="122"/>
      <c r="B58" s="90">
        <f>SUM(B55:B57)</f>
        <v>672.05</v>
      </c>
      <c r="C58" s="90">
        <f>SUM(C55:C57)</f>
        <v>1741.0619999999999</v>
      </c>
      <c r="D58" s="90">
        <f>SUM(D55:D57)</f>
        <v>2757.0370000000003</v>
      </c>
      <c r="E58" s="107">
        <f>SUM(E55:E57)</f>
        <v>5170.1489999999994</v>
      </c>
      <c r="F58" s="92"/>
      <c r="G58" s="90">
        <f>SUM(G55:G57)</f>
        <v>53.13</v>
      </c>
      <c r="H58" s="90">
        <f>SUM(H55:H57)</f>
        <v>2507.364</v>
      </c>
      <c r="I58" s="90">
        <f>SUM(I55:I57)</f>
        <v>3481.8020000000001</v>
      </c>
      <c r="J58" s="84">
        <f>SUM(J55:J57)</f>
        <v>6042.2960000000003</v>
      </c>
      <c r="K58" s="91"/>
      <c r="L58" s="90">
        <f>SUM(L55:L57)</f>
        <v>725.18000000000006</v>
      </c>
      <c r="M58" s="90">
        <f>SUM(M55:M57)</f>
        <v>4248.4260000000004</v>
      </c>
      <c r="N58" s="90">
        <f>SUM(N55:N57)</f>
        <v>6238.8389999999999</v>
      </c>
      <c r="O58" s="90">
        <f>SUM(O55:O57)</f>
        <v>11212.445</v>
      </c>
      <c r="P58" s="86"/>
      <c r="Q58" s="94" t="s">
        <v>54</v>
      </c>
      <c r="R58" s="87"/>
    </row>
    <row r="59" spans="1:18" s="65" customFormat="1" ht="11.25" x14ac:dyDescent="0.2">
      <c r="A59" s="122"/>
      <c r="B59" s="90">
        <v>191.59200000000001</v>
      </c>
      <c r="C59" s="90">
        <v>495.29700000000003</v>
      </c>
      <c r="D59" s="90">
        <v>934.72799999999995</v>
      </c>
      <c r="E59" s="107">
        <f>SUM(B59:D59)</f>
        <v>1621.617</v>
      </c>
      <c r="F59" s="92"/>
      <c r="G59" s="90">
        <v>22.611000000000001</v>
      </c>
      <c r="H59" s="90">
        <v>836.29499999999996</v>
      </c>
      <c r="I59" s="90">
        <v>1194.45</v>
      </c>
      <c r="J59" s="84">
        <f>SUM(G59:I59)</f>
        <v>2053.3559999999998</v>
      </c>
      <c r="K59" s="91"/>
      <c r="L59" s="90">
        <f t="shared" ref="L59:O61" si="21">B59+G59</f>
        <v>214.203</v>
      </c>
      <c r="M59" s="90">
        <f t="shared" si="21"/>
        <v>1331.5920000000001</v>
      </c>
      <c r="N59" s="90">
        <f t="shared" si="21"/>
        <v>2129.1779999999999</v>
      </c>
      <c r="O59" s="90">
        <f t="shared" si="21"/>
        <v>3674.973</v>
      </c>
      <c r="P59" s="86"/>
      <c r="Q59" s="94" t="s">
        <v>85</v>
      </c>
      <c r="R59" s="87"/>
    </row>
    <row r="60" spans="1:18" s="65" customFormat="1" ht="11.25" x14ac:dyDescent="0.2">
      <c r="A60" s="122"/>
      <c r="B60" s="90">
        <v>240.82900000000001</v>
      </c>
      <c r="C60" s="90">
        <v>495.72899999999998</v>
      </c>
      <c r="D60" s="90">
        <v>719.01400000000001</v>
      </c>
      <c r="E60" s="107">
        <f>SUM(B60:D60)</f>
        <v>1455.5720000000001</v>
      </c>
      <c r="F60" s="92"/>
      <c r="G60" s="90">
        <v>12.826000000000001</v>
      </c>
      <c r="H60" s="90">
        <v>869.23</v>
      </c>
      <c r="I60" s="90">
        <v>992.68100000000004</v>
      </c>
      <c r="J60" s="84">
        <f>SUM(G60:I60)</f>
        <v>1874.7370000000001</v>
      </c>
      <c r="K60" s="91"/>
      <c r="L60" s="90">
        <f t="shared" si="21"/>
        <v>253.655</v>
      </c>
      <c r="M60" s="90">
        <f t="shared" si="21"/>
        <v>1364.9590000000001</v>
      </c>
      <c r="N60" s="90">
        <f t="shared" si="21"/>
        <v>1711.6950000000002</v>
      </c>
      <c r="O60" s="90">
        <f t="shared" si="21"/>
        <v>3330.3090000000002</v>
      </c>
      <c r="P60" s="86"/>
      <c r="Q60" s="94" t="s">
        <v>86</v>
      </c>
      <c r="R60" s="87"/>
    </row>
    <row r="61" spans="1:18" s="65" customFormat="1" ht="11.25" x14ac:dyDescent="0.2">
      <c r="A61" s="122"/>
      <c r="B61" s="90">
        <v>203.18</v>
      </c>
      <c r="C61" s="90">
        <v>332.56599999999997</v>
      </c>
      <c r="D61" s="90">
        <v>538.81299999999999</v>
      </c>
      <c r="E61" s="107">
        <f>SUM(B61:D61)</f>
        <v>1074.559</v>
      </c>
      <c r="F61" s="92"/>
      <c r="G61" s="90">
        <v>11.685</v>
      </c>
      <c r="H61" s="90">
        <v>792.57600000000002</v>
      </c>
      <c r="I61" s="90">
        <v>870.06799999999998</v>
      </c>
      <c r="J61" s="84">
        <f>SUM(G61:I61)</f>
        <v>1674.329</v>
      </c>
      <c r="K61" s="91"/>
      <c r="L61" s="90">
        <f t="shared" si="21"/>
        <v>214.86500000000001</v>
      </c>
      <c r="M61" s="90">
        <f t="shared" si="21"/>
        <v>1125.1420000000001</v>
      </c>
      <c r="N61" s="90">
        <f t="shared" si="21"/>
        <v>1408.8809999999999</v>
      </c>
      <c r="O61" s="90">
        <f t="shared" si="21"/>
        <v>2748.8879999999999</v>
      </c>
      <c r="P61" s="86"/>
      <c r="Q61" s="94" t="s">
        <v>87</v>
      </c>
      <c r="R61" s="87"/>
    </row>
    <row r="62" spans="1:18" s="65" customFormat="1" ht="11.25" x14ac:dyDescent="0.2">
      <c r="A62" s="122"/>
      <c r="B62" s="90">
        <f t="shared" ref="B62:M62" si="22">SUM(B59:B61)</f>
        <v>635.60100000000011</v>
      </c>
      <c r="C62" s="90">
        <f t="shared" si="22"/>
        <v>1323.5920000000001</v>
      </c>
      <c r="D62" s="90">
        <f t="shared" si="22"/>
        <v>2192.5549999999998</v>
      </c>
      <c r="E62" s="107">
        <f t="shared" si="22"/>
        <v>4151.7480000000005</v>
      </c>
      <c r="F62" s="92"/>
      <c r="G62" s="90">
        <f t="shared" si="22"/>
        <v>47.122</v>
      </c>
      <c r="H62" s="90">
        <f t="shared" si="22"/>
        <v>2498.1010000000001</v>
      </c>
      <c r="I62" s="90">
        <f t="shared" si="22"/>
        <v>3057.1990000000005</v>
      </c>
      <c r="J62" s="84">
        <f>SUM(J59:J61)</f>
        <v>5602.4219999999996</v>
      </c>
      <c r="K62" s="91"/>
      <c r="L62" s="90">
        <f t="shared" si="22"/>
        <v>682.72299999999996</v>
      </c>
      <c r="M62" s="90">
        <f t="shared" si="22"/>
        <v>3821.6930000000002</v>
      </c>
      <c r="N62" s="90">
        <f>SUM(N59:N61)</f>
        <v>5249.7539999999999</v>
      </c>
      <c r="O62" s="90">
        <f>SUM(O59:O61)</f>
        <v>9754.17</v>
      </c>
      <c r="P62" s="86"/>
      <c r="Q62" s="94" t="s">
        <v>55</v>
      </c>
      <c r="R62" s="87"/>
    </row>
    <row r="63" spans="1:18" s="65" customFormat="1" ht="11.25" x14ac:dyDescent="0.2">
      <c r="A63" s="122"/>
      <c r="B63" s="90">
        <v>161.376</v>
      </c>
      <c r="C63" s="90">
        <v>369.488</v>
      </c>
      <c r="D63" s="90">
        <v>731.37699999999995</v>
      </c>
      <c r="E63" s="107">
        <f>SUM(B63:D63)</f>
        <v>1262.241</v>
      </c>
      <c r="F63" s="92"/>
      <c r="G63" s="90">
        <v>13.303000000000001</v>
      </c>
      <c r="H63" s="90">
        <v>969.48400000000004</v>
      </c>
      <c r="I63" s="90">
        <v>955.45500000000004</v>
      </c>
      <c r="J63" s="84">
        <f>SUM(G63:I63)</f>
        <v>1938.2420000000002</v>
      </c>
      <c r="K63" s="91"/>
      <c r="L63" s="90">
        <f t="shared" ref="L63:O65" si="23">B63+G63</f>
        <v>174.679</v>
      </c>
      <c r="M63" s="90">
        <f t="shared" si="23"/>
        <v>1338.972</v>
      </c>
      <c r="N63" s="90">
        <f t="shared" si="23"/>
        <v>1686.8319999999999</v>
      </c>
      <c r="O63" s="90">
        <f t="shared" si="23"/>
        <v>3200.4830000000002</v>
      </c>
      <c r="P63" s="86"/>
      <c r="Q63" s="94" t="s">
        <v>89</v>
      </c>
      <c r="R63" s="87"/>
    </row>
    <row r="64" spans="1:18" s="65" customFormat="1" ht="11.25" x14ac:dyDescent="0.2">
      <c r="A64" s="122"/>
      <c r="B64" s="90">
        <v>138.233</v>
      </c>
      <c r="C64" s="90">
        <v>310.01499999999999</v>
      </c>
      <c r="D64" s="90">
        <v>781.46799999999996</v>
      </c>
      <c r="E64" s="107">
        <f>SUM(B64:D64)</f>
        <v>1229.7159999999999</v>
      </c>
      <c r="F64" s="92"/>
      <c r="G64" s="90">
        <v>25.952999999999999</v>
      </c>
      <c r="H64" s="90">
        <v>930.33500000000004</v>
      </c>
      <c r="I64" s="90">
        <v>933.20799999999997</v>
      </c>
      <c r="J64" s="84">
        <f>SUM(G64:I64)</f>
        <v>1889.4960000000001</v>
      </c>
      <c r="K64" s="91"/>
      <c r="L64" s="90">
        <f t="shared" si="23"/>
        <v>164.18600000000001</v>
      </c>
      <c r="M64" s="90">
        <f t="shared" si="23"/>
        <v>1240.3499999999999</v>
      </c>
      <c r="N64" s="90">
        <f t="shared" si="23"/>
        <v>1714.6759999999999</v>
      </c>
      <c r="O64" s="90">
        <f t="shared" si="23"/>
        <v>3119.212</v>
      </c>
      <c r="P64" s="86"/>
      <c r="Q64" s="94" t="s">
        <v>90</v>
      </c>
      <c r="R64" s="87"/>
    </row>
    <row r="65" spans="1:18" s="65" customFormat="1" ht="11.25" x14ac:dyDescent="0.2">
      <c r="A65" s="122"/>
      <c r="B65" s="90">
        <v>81.085999999999999</v>
      </c>
      <c r="C65" s="90">
        <v>250.185</v>
      </c>
      <c r="D65" s="90">
        <v>855.41</v>
      </c>
      <c r="E65" s="107">
        <f>SUM(B65:D65)</f>
        <v>1186.681</v>
      </c>
      <c r="F65" s="92"/>
      <c r="G65" s="90">
        <v>21.495999999999999</v>
      </c>
      <c r="H65" s="90">
        <v>721.13900000000001</v>
      </c>
      <c r="I65" s="90">
        <v>881.97199999999998</v>
      </c>
      <c r="J65" s="84">
        <f>SUM(G65:I65)</f>
        <v>1624.607</v>
      </c>
      <c r="K65" s="91"/>
      <c r="L65" s="90">
        <f t="shared" si="23"/>
        <v>102.58199999999999</v>
      </c>
      <c r="M65" s="90">
        <f t="shared" si="23"/>
        <v>971.32400000000007</v>
      </c>
      <c r="N65" s="90">
        <f t="shared" si="23"/>
        <v>1737.3820000000001</v>
      </c>
      <c r="O65" s="90">
        <f t="shared" si="23"/>
        <v>2811.288</v>
      </c>
      <c r="P65" s="86"/>
      <c r="Q65" s="94" t="s">
        <v>91</v>
      </c>
      <c r="R65" s="87"/>
    </row>
    <row r="66" spans="1:18" s="65" customFormat="1" ht="11.25" x14ac:dyDescent="0.2">
      <c r="A66" s="122"/>
      <c r="B66" s="90">
        <f t="shared" ref="B66:N66" si="24">SUM(B63:B65)</f>
        <v>380.69500000000005</v>
      </c>
      <c r="C66" s="90">
        <f t="shared" si="24"/>
        <v>929.68799999999987</v>
      </c>
      <c r="D66" s="90">
        <f t="shared" si="24"/>
        <v>2368.2549999999997</v>
      </c>
      <c r="E66" s="107">
        <f t="shared" si="24"/>
        <v>3678.6379999999999</v>
      </c>
      <c r="F66" s="92"/>
      <c r="G66" s="90">
        <f t="shared" si="24"/>
        <v>60.751999999999995</v>
      </c>
      <c r="H66" s="90">
        <f t="shared" si="24"/>
        <v>2620.9580000000001</v>
      </c>
      <c r="I66" s="90">
        <f t="shared" si="24"/>
        <v>2770.6350000000002</v>
      </c>
      <c r="J66" s="84">
        <f t="shared" si="24"/>
        <v>5452.3450000000003</v>
      </c>
      <c r="K66" s="91"/>
      <c r="L66" s="90">
        <f t="shared" si="24"/>
        <v>441.447</v>
      </c>
      <c r="M66" s="90">
        <f t="shared" si="24"/>
        <v>3550.6460000000002</v>
      </c>
      <c r="N66" s="90">
        <f t="shared" si="24"/>
        <v>5138.8899999999994</v>
      </c>
      <c r="O66" s="90">
        <f>SUM(O63:O65)</f>
        <v>9130.9830000000002</v>
      </c>
      <c r="P66" s="86"/>
      <c r="Q66" s="94" t="s">
        <v>56</v>
      </c>
      <c r="R66" s="87"/>
    </row>
    <row r="67" spans="1:18" s="65" customFormat="1" ht="11.25" x14ac:dyDescent="0.2">
      <c r="A67" s="122"/>
      <c r="B67" s="90"/>
      <c r="C67" s="90"/>
      <c r="D67" s="90"/>
      <c r="E67" s="107"/>
      <c r="F67" s="92"/>
      <c r="G67" s="90"/>
      <c r="H67" s="90"/>
      <c r="I67" s="90"/>
      <c r="J67" s="84"/>
      <c r="K67" s="91"/>
      <c r="L67" s="90"/>
      <c r="M67" s="90"/>
      <c r="N67" s="90"/>
      <c r="O67" s="90"/>
      <c r="P67" s="86"/>
      <c r="Q67" s="94"/>
      <c r="R67" s="87"/>
    </row>
    <row r="68" spans="1:18" s="65" customFormat="1" ht="11.25" x14ac:dyDescent="0.2">
      <c r="A68" s="122">
        <v>0</v>
      </c>
      <c r="B68" s="90">
        <f>9.226+58.827</f>
        <v>68.052999999999997</v>
      </c>
      <c r="C68" s="90">
        <v>245.00800000000001</v>
      </c>
      <c r="D68" s="90">
        <v>706.24800000000005</v>
      </c>
      <c r="E68" s="107">
        <f>SUM(A68:D68)</f>
        <v>1019.3090000000001</v>
      </c>
      <c r="F68" s="92">
        <v>25.102</v>
      </c>
      <c r="G68" s="90">
        <v>16.992000000000001</v>
      </c>
      <c r="H68" s="90">
        <v>544.31600000000003</v>
      </c>
      <c r="I68" s="90">
        <v>869.09500000000003</v>
      </c>
      <c r="J68" s="84">
        <f>SUM(F68:I68)</f>
        <v>1455.5050000000001</v>
      </c>
      <c r="K68" s="91">
        <f>A68+F68</f>
        <v>25.102</v>
      </c>
      <c r="L68" s="90">
        <f>B68+G68</f>
        <v>85.045000000000002</v>
      </c>
      <c r="M68" s="90">
        <f t="shared" ref="L68:O70" si="25">C68+H68</f>
        <v>789.32400000000007</v>
      </c>
      <c r="N68" s="90">
        <f t="shared" si="25"/>
        <v>1575.3430000000001</v>
      </c>
      <c r="O68" s="90">
        <f>E68+J68</f>
        <v>2474.8140000000003</v>
      </c>
      <c r="P68" s="86"/>
      <c r="Q68" s="94" t="s">
        <v>78</v>
      </c>
      <c r="R68" s="87"/>
    </row>
    <row r="69" spans="1:18" s="65" customFormat="1" ht="11.25" x14ac:dyDescent="0.2">
      <c r="A69" s="122">
        <v>0</v>
      </c>
      <c r="B69" s="117">
        <f>4.905+26.25</f>
        <v>31.155000000000001</v>
      </c>
      <c r="C69" s="90">
        <v>263.63299999999998</v>
      </c>
      <c r="D69" s="90">
        <v>637.23400000000004</v>
      </c>
      <c r="E69" s="107">
        <f>SUM(A69:D69)</f>
        <v>932.02200000000005</v>
      </c>
      <c r="F69" s="92">
        <v>40.991</v>
      </c>
      <c r="G69" s="90">
        <v>19.34</v>
      </c>
      <c r="H69" s="90">
        <v>703.774</v>
      </c>
      <c r="I69" s="90">
        <v>575.60400000000004</v>
      </c>
      <c r="J69" s="84">
        <f>SUM(F69:I69)</f>
        <v>1339.7090000000001</v>
      </c>
      <c r="K69" s="91">
        <f t="shared" ref="K69:K75" si="26">A69+F69</f>
        <v>40.991</v>
      </c>
      <c r="L69" s="90">
        <f t="shared" si="25"/>
        <v>50.495000000000005</v>
      </c>
      <c r="M69" s="90">
        <f t="shared" si="25"/>
        <v>967.40699999999993</v>
      </c>
      <c r="N69" s="90">
        <f t="shared" si="25"/>
        <v>1212.8380000000002</v>
      </c>
      <c r="O69" s="90">
        <f t="shared" si="25"/>
        <v>2271.7310000000002</v>
      </c>
      <c r="P69" s="86"/>
      <c r="Q69" s="94" t="s">
        <v>79</v>
      </c>
      <c r="R69" s="87"/>
    </row>
    <row r="70" spans="1:18" s="65" customFormat="1" ht="11.25" x14ac:dyDescent="0.2">
      <c r="A70" s="122">
        <v>0</v>
      </c>
      <c r="B70" s="90">
        <f>7.624+140.6</f>
        <v>148.22399999999999</v>
      </c>
      <c r="C70" s="90">
        <v>472.13299999999998</v>
      </c>
      <c r="D70" s="90">
        <v>837.05200000000002</v>
      </c>
      <c r="E70" s="107">
        <f>SUM(A70:D70)</f>
        <v>1457.4090000000001</v>
      </c>
      <c r="F70" s="92">
        <v>36.109000000000002</v>
      </c>
      <c r="G70" s="90">
        <v>15.135</v>
      </c>
      <c r="H70" s="90">
        <v>859.02200000000005</v>
      </c>
      <c r="I70" s="90">
        <v>948.02099999999996</v>
      </c>
      <c r="J70" s="84">
        <f>SUM(F70:I70)</f>
        <v>1858.287</v>
      </c>
      <c r="K70" s="91">
        <f t="shared" si="26"/>
        <v>36.109000000000002</v>
      </c>
      <c r="L70" s="90">
        <f t="shared" si="25"/>
        <v>163.35899999999998</v>
      </c>
      <c r="M70" s="90">
        <f t="shared" si="25"/>
        <v>1331.155</v>
      </c>
      <c r="N70" s="90">
        <f t="shared" si="25"/>
        <v>1785.0729999999999</v>
      </c>
      <c r="O70" s="90">
        <f t="shared" si="25"/>
        <v>3315.6959999999999</v>
      </c>
      <c r="P70" s="86"/>
      <c r="Q70" s="94" t="s">
        <v>80</v>
      </c>
      <c r="R70" s="87"/>
    </row>
    <row r="71" spans="1:18" s="65" customFormat="1" ht="11.25" x14ac:dyDescent="0.2">
      <c r="A71" s="133">
        <f t="shared" ref="A71:J71" si="27">SUM(A68:A70)</f>
        <v>0</v>
      </c>
      <c r="B71" s="127">
        <f>SUM(B68:B70)</f>
        <v>247.43199999999999</v>
      </c>
      <c r="C71" s="127">
        <f t="shared" si="27"/>
        <v>980.77399999999989</v>
      </c>
      <c r="D71" s="127">
        <f t="shared" si="27"/>
        <v>2180.5340000000001</v>
      </c>
      <c r="E71" s="128">
        <f t="shared" si="27"/>
        <v>3408.7400000000002</v>
      </c>
      <c r="F71" s="130">
        <f t="shared" si="27"/>
        <v>102.202</v>
      </c>
      <c r="G71" s="127">
        <f t="shared" si="27"/>
        <v>51.466999999999999</v>
      </c>
      <c r="H71" s="127">
        <f t="shared" si="27"/>
        <v>2107.1120000000001</v>
      </c>
      <c r="I71" s="127">
        <f t="shared" si="27"/>
        <v>2392.7200000000003</v>
      </c>
      <c r="J71" s="129">
        <f t="shared" si="27"/>
        <v>4653.5010000000002</v>
      </c>
      <c r="K71" s="134">
        <f t="shared" si="26"/>
        <v>102.202</v>
      </c>
      <c r="L71" s="127">
        <f>SUM(L68:L70)</f>
        <v>298.899</v>
      </c>
      <c r="M71" s="127">
        <f>SUM(M68:M70)</f>
        <v>3087.886</v>
      </c>
      <c r="N71" s="127">
        <f>SUM(N68:N70)</f>
        <v>4573.2540000000008</v>
      </c>
      <c r="O71" s="127">
        <f>SUM(O68:O70)</f>
        <v>8062.241</v>
      </c>
      <c r="P71" s="131"/>
      <c r="Q71" s="132" t="s">
        <v>53</v>
      </c>
      <c r="R71" s="135">
        <v>2009</v>
      </c>
    </row>
    <row r="72" spans="1:18" s="65" customFormat="1" ht="11.25" x14ac:dyDescent="0.2">
      <c r="A72" s="126">
        <v>19.501999999999999</v>
      </c>
      <c r="B72" s="90">
        <f>5.767+104.48</f>
        <v>110.247</v>
      </c>
      <c r="C72" s="90">
        <v>382.71300000000002</v>
      </c>
      <c r="D72" s="90">
        <v>780.56200000000001</v>
      </c>
      <c r="E72" s="107">
        <f>SUM(A72:D72)</f>
        <v>1293.0239999999999</v>
      </c>
      <c r="F72" s="92">
        <v>34.850999999999999</v>
      </c>
      <c r="G72" s="90">
        <v>15.022</v>
      </c>
      <c r="H72" s="90">
        <v>787.173</v>
      </c>
      <c r="I72" s="90">
        <v>988.66800000000001</v>
      </c>
      <c r="J72" s="84">
        <f>SUM(F72:I72)</f>
        <v>1825.7139999999999</v>
      </c>
      <c r="K72" s="91">
        <f t="shared" si="26"/>
        <v>54.352999999999994</v>
      </c>
      <c r="L72" s="90">
        <f>B72+G72</f>
        <v>125.26900000000001</v>
      </c>
      <c r="M72" s="90">
        <f t="shared" ref="L72:N74" si="28">C72+H72</f>
        <v>1169.886</v>
      </c>
      <c r="N72" s="90">
        <f t="shared" si="28"/>
        <v>1769.23</v>
      </c>
      <c r="O72" s="90">
        <f>E72+J72</f>
        <v>3118.7379999999998</v>
      </c>
      <c r="P72" s="86"/>
      <c r="Q72" s="94" t="s">
        <v>68</v>
      </c>
      <c r="R72" s="87"/>
    </row>
    <row r="73" spans="1:18" s="65" customFormat="1" ht="11.25" x14ac:dyDescent="0.2">
      <c r="A73" s="126">
        <v>0</v>
      </c>
      <c r="B73" s="90">
        <f>107</f>
        <v>107</v>
      </c>
      <c r="C73" s="90">
        <v>464.73399999999998</v>
      </c>
      <c r="D73" s="90">
        <v>846.88699999999994</v>
      </c>
      <c r="E73" s="107">
        <f>SUM(A73:D73)</f>
        <v>1418.6209999999999</v>
      </c>
      <c r="F73" s="92">
        <v>34.298000000000002</v>
      </c>
      <c r="G73" s="90">
        <v>10.119</v>
      </c>
      <c r="H73" s="90">
        <v>749.47900000000004</v>
      </c>
      <c r="I73" s="90">
        <v>966.95100000000002</v>
      </c>
      <c r="J73" s="84">
        <f>SUM(F73:I73)</f>
        <v>1760.8470000000002</v>
      </c>
      <c r="K73" s="91">
        <f t="shared" si="26"/>
        <v>34.298000000000002</v>
      </c>
      <c r="L73" s="90">
        <f t="shared" si="28"/>
        <v>117.119</v>
      </c>
      <c r="M73" s="90">
        <f t="shared" si="28"/>
        <v>1214.213</v>
      </c>
      <c r="N73" s="90">
        <f t="shared" si="28"/>
        <v>1813.838</v>
      </c>
      <c r="O73" s="90">
        <f>E73+J73</f>
        <v>3179.4679999999998</v>
      </c>
      <c r="P73" s="86"/>
      <c r="Q73" s="94" t="s">
        <v>82</v>
      </c>
      <c r="R73" s="87"/>
    </row>
    <row r="74" spans="1:18" s="65" customFormat="1" ht="11.25" x14ac:dyDescent="0.2">
      <c r="A74" s="126">
        <v>0</v>
      </c>
      <c r="B74" s="90">
        <f>0.271+95.5</f>
        <v>95.771000000000001</v>
      </c>
      <c r="C74" s="90">
        <v>402.20100000000002</v>
      </c>
      <c r="D74" s="90">
        <v>675.85199999999998</v>
      </c>
      <c r="E74" s="107">
        <f>SUM(A74:D74)</f>
        <v>1173.8240000000001</v>
      </c>
      <c r="F74" s="92">
        <v>42.329000000000001</v>
      </c>
      <c r="G74" s="90">
        <v>10.627000000000001</v>
      </c>
      <c r="H74" s="90">
        <v>822.94500000000005</v>
      </c>
      <c r="I74" s="90">
        <v>1012.614</v>
      </c>
      <c r="J74" s="84">
        <f>SUM(F74:I74)</f>
        <v>1888.5150000000001</v>
      </c>
      <c r="K74" s="91">
        <f t="shared" si="26"/>
        <v>42.329000000000001</v>
      </c>
      <c r="L74" s="90">
        <f t="shared" si="28"/>
        <v>106.398</v>
      </c>
      <c r="M74" s="90">
        <f t="shared" si="28"/>
        <v>1225.1460000000002</v>
      </c>
      <c r="N74" s="90">
        <f t="shared" si="28"/>
        <v>1688.4659999999999</v>
      </c>
      <c r="O74" s="90">
        <f>E74+J74</f>
        <v>3062.3389999999999</v>
      </c>
      <c r="P74" s="86"/>
      <c r="Q74" s="94" t="s">
        <v>83</v>
      </c>
      <c r="R74" s="87"/>
    </row>
    <row r="75" spans="1:18" s="65" customFormat="1" ht="11.25" x14ac:dyDescent="0.2">
      <c r="A75" s="133">
        <v>19.501999999999999</v>
      </c>
      <c r="B75" s="127">
        <f t="shared" ref="B75:N75" si="29">SUM(B72:B74)</f>
        <v>313.01800000000003</v>
      </c>
      <c r="C75" s="127">
        <f>SUM(C72:C74)</f>
        <v>1249.6480000000001</v>
      </c>
      <c r="D75" s="127">
        <f>SUM(D72:D74)</f>
        <v>2303.3009999999999</v>
      </c>
      <c r="E75" s="128">
        <f>SUM(E72:E74)</f>
        <v>3885.4689999999996</v>
      </c>
      <c r="F75" s="130">
        <v>111.47799999999999</v>
      </c>
      <c r="G75" s="127">
        <f t="shared" si="29"/>
        <v>35.768000000000001</v>
      </c>
      <c r="H75" s="127">
        <f t="shared" si="29"/>
        <v>2359.5970000000002</v>
      </c>
      <c r="I75" s="127">
        <f t="shared" si="29"/>
        <v>2968.2330000000002</v>
      </c>
      <c r="J75" s="129">
        <f t="shared" si="29"/>
        <v>5475.076</v>
      </c>
      <c r="K75" s="134">
        <f t="shared" si="26"/>
        <v>130.97999999999999</v>
      </c>
      <c r="L75" s="127">
        <f t="shared" si="29"/>
        <v>348.786</v>
      </c>
      <c r="M75" s="127">
        <f t="shared" si="29"/>
        <v>3609.2450000000003</v>
      </c>
      <c r="N75" s="127">
        <f t="shared" si="29"/>
        <v>5271.5339999999997</v>
      </c>
      <c r="O75" s="127">
        <f>SUM(O72:O74)</f>
        <v>9360.5450000000001</v>
      </c>
      <c r="P75" s="131"/>
      <c r="Q75" s="132" t="s">
        <v>54</v>
      </c>
      <c r="R75" s="87"/>
    </row>
    <row r="76" spans="1:18" s="65" customFormat="1" ht="11.25" x14ac:dyDescent="0.2">
      <c r="A76" s="126">
        <v>0</v>
      </c>
      <c r="B76" s="90">
        <f>0.434+22.69</f>
        <v>23.124000000000002</v>
      </c>
      <c r="C76" s="90">
        <v>489.30700000000002</v>
      </c>
      <c r="D76" s="90">
        <v>689.84900000000005</v>
      </c>
      <c r="E76" s="107">
        <f>SUM(A76:D76)</f>
        <v>1202.2800000000002</v>
      </c>
      <c r="F76" s="92">
        <v>38.158000000000001</v>
      </c>
      <c r="G76" s="90">
        <v>8.4700000000000006</v>
      </c>
      <c r="H76" s="90">
        <v>999.44100000000003</v>
      </c>
      <c r="I76" s="90">
        <v>1073.9639999999999</v>
      </c>
      <c r="J76" s="84">
        <f>SUM(F76:I76)</f>
        <v>2120.0329999999999</v>
      </c>
      <c r="K76" s="91">
        <f>A76+F76</f>
        <v>38.158000000000001</v>
      </c>
      <c r="L76" s="90">
        <f t="shared" ref="L76:O78" si="30">B76+G76</f>
        <v>31.594000000000001</v>
      </c>
      <c r="M76" s="90">
        <f t="shared" si="30"/>
        <v>1488.748</v>
      </c>
      <c r="N76" s="90">
        <f t="shared" si="30"/>
        <v>1763.8130000000001</v>
      </c>
      <c r="O76" s="90">
        <f>E76+J76</f>
        <v>3322.3130000000001</v>
      </c>
      <c r="P76" s="86"/>
      <c r="Q76" s="94" t="s">
        <v>85</v>
      </c>
      <c r="R76" s="87"/>
    </row>
    <row r="77" spans="1:18" s="65" customFormat="1" ht="11.25" x14ac:dyDescent="0.2">
      <c r="A77" s="126">
        <v>0</v>
      </c>
      <c r="B77" s="90">
        <f>0.058+228.499</f>
        <v>228.55699999999999</v>
      </c>
      <c r="C77" s="90">
        <v>471.54199999999997</v>
      </c>
      <c r="D77" s="90">
        <v>774.83699999999999</v>
      </c>
      <c r="E77" s="107">
        <f>SUM(A77:D77)</f>
        <v>1474.9359999999999</v>
      </c>
      <c r="F77" s="92">
        <v>58.637999999999998</v>
      </c>
      <c r="G77" s="90">
        <v>13.593999999999999</v>
      </c>
      <c r="H77" s="90">
        <v>976.06799999999998</v>
      </c>
      <c r="I77" s="90">
        <v>958.75900000000001</v>
      </c>
      <c r="J77" s="84">
        <f>SUM(F77:I77)</f>
        <v>2007.059</v>
      </c>
      <c r="K77" s="91">
        <f>A77+F77</f>
        <v>58.637999999999998</v>
      </c>
      <c r="L77" s="90">
        <f t="shared" si="30"/>
        <v>242.15099999999998</v>
      </c>
      <c r="M77" s="90">
        <f t="shared" si="30"/>
        <v>1447.61</v>
      </c>
      <c r="N77" s="90">
        <f>D77+I77</f>
        <v>1733.596</v>
      </c>
      <c r="O77" s="90">
        <f t="shared" si="30"/>
        <v>3481.9949999999999</v>
      </c>
      <c r="P77" s="86"/>
      <c r="Q77" s="94" t="s">
        <v>86</v>
      </c>
      <c r="R77" s="87"/>
    </row>
    <row r="78" spans="1:18" s="65" customFormat="1" ht="11.25" x14ac:dyDescent="0.2">
      <c r="A78" s="126">
        <v>0</v>
      </c>
      <c r="B78" s="90">
        <f>0.223+191.529</f>
        <v>191.75200000000001</v>
      </c>
      <c r="C78" s="90">
        <v>409.125</v>
      </c>
      <c r="D78" s="90">
        <v>608.23</v>
      </c>
      <c r="E78" s="107">
        <f>SUM(A78:D78)</f>
        <v>1209.107</v>
      </c>
      <c r="F78" s="92">
        <v>21.324999999999999</v>
      </c>
      <c r="G78" s="90">
        <v>8.0579999999999998</v>
      </c>
      <c r="H78" s="90">
        <v>823.40599999999995</v>
      </c>
      <c r="I78" s="90">
        <v>860.85599999999999</v>
      </c>
      <c r="J78" s="84">
        <f>SUM(F78:I78)</f>
        <v>1713.645</v>
      </c>
      <c r="K78" s="91">
        <f>A78+F78</f>
        <v>21.324999999999999</v>
      </c>
      <c r="L78" s="90">
        <f t="shared" si="30"/>
        <v>199.81</v>
      </c>
      <c r="M78" s="90">
        <f>C78+H78</f>
        <v>1232.5309999999999</v>
      </c>
      <c r="N78" s="90">
        <f>D78+I78</f>
        <v>1469.086</v>
      </c>
      <c r="O78" s="90">
        <f>E78+J78</f>
        <v>2922.752</v>
      </c>
      <c r="P78" s="86"/>
      <c r="Q78" s="94" t="s">
        <v>87</v>
      </c>
      <c r="R78" s="87"/>
    </row>
    <row r="79" spans="1:18" s="65" customFormat="1" ht="11.25" x14ac:dyDescent="0.2">
      <c r="A79" s="133">
        <f t="shared" ref="A79:M79" si="31">SUM(A76:A78)</f>
        <v>0</v>
      </c>
      <c r="B79" s="127">
        <f>SUM(B76:B78)</f>
        <v>443.43299999999999</v>
      </c>
      <c r="C79" s="127">
        <f t="shared" si="31"/>
        <v>1369.9739999999999</v>
      </c>
      <c r="D79" s="127">
        <f t="shared" si="31"/>
        <v>2072.9160000000002</v>
      </c>
      <c r="E79" s="128">
        <f t="shared" si="31"/>
        <v>3886.3230000000003</v>
      </c>
      <c r="F79" s="130">
        <f>SUM(F76:F78)</f>
        <v>118.121</v>
      </c>
      <c r="G79" s="127">
        <f t="shared" si="31"/>
        <v>30.122</v>
      </c>
      <c r="H79" s="127">
        <f t="shared" si="31"/>
        <v>2798.915</v>
      </c>
      <c r="I79" s="127">
        <f>SUM(I76:I78)</f>
        <v>2893.5789999999997</v>
      </c>
      <c r="J79" s="129">
        <f>SUM(J76:J78)</f>
        <v>5840.7369999999992</v>
      </c>
      <c r="K79" s="134">
        <f>SUM(K76:K78)</f>
        <v>118.121</v>
      </c>
      <c r="L79" s="127">
        <f t="shared" si="31"/>
        <v>473.55500000000001</v>
      </c>
      <c r="M79" s="127">
        <f t="shared" si="31"/>
        <v>4168.8890000000001</v>
      </c>
      <c r="N79" s="127">
        <f>SUM(N76:N78)</f>
        <v>4966.4949999999999</v>
      </c>
      <c r="O79" s="127">
        <f>SUM(O76:O78)</f>
        <v>9727.06</v>
      </c>
      <c r="P79" s="131"/>
      <c r="Q79" s="132" t="s">
        <v>55</v>
      </c>
      <c r="R79" s="87"/>
    </row>
    <row r="80" spans="1:18" s="65" customFormat="1" ht="11.25" x14ac:dyDescent="0.2">
      <c r="A80" s="126">
        <v>0</v>
      </c>
      <c r="B80" s="90">
        <f>1.31+185.417</f>
        <v>186.727</v>
      </c>
      <c r="C80" s="90">
        <v>403.89800000000002</v>
      </c>
      <c r="D80" s="90">
        <v>831.96900000000005</v>
      </c>
      <c r="E80" s="107">
        <f>SUM(A80:D80)</f>
        <v>1422.5940000000001</v>
      </c>
      <c r="F80" s="92">
        <v>26.047999999999998</v>
      </c>
      <c r="G80" s="90">
        <v>29.004999999999999</v>
      </c>
      <c r="H80" s="90">
        <v>850.60500000000002</v>
      </c>
      <c r="I80" s="90">
        <v>860.96299999999997</v>
      </c>
      <c r="J80" s="84">
        <f>SUM(F80:I80)</f>
        <v>1766.6210000000001</v>
      </c>
      <c r="K80" s="91">
        <f t="shared" ref="K80:O81" si="32">F80+A80</f>
        <v>26.047999999999998</v>
      </c>
      <c r="L80" s="90">
        <f t="shared" si="32"/>
        <v>215.732</v>
      </c>
      <c r="M80" s="90">
        <f t="shared" si="32"/>
        <v>1254.5030000000002</v>
      </c>
      <c r="N80" s="90">
        <f t="shared" si="32"/>
        <v>1692.932</v>
      </c>
      <c r="O80" s="90">
        <f t="shared" si="32"/>
        <v>3189.2150000000001</v>
      </c>
      <c r="P80" s="86"/>
      <c r="Q80" s="94" t="s">
        <v>89</v>
      </c>
      <c r="R80" s="87"/>
    </row>
    <row r="81" spans="1:18" s="65" customFormat="1" ht="11.25" x14ac:dyDescent="0.2">
      <c r="A81" s="126">
        <v>0</v>
      </c>
      <c r="B81" s="90">
        <v>224.9</v>
      </c>
      <c r="C81" s="90">
        <v>406.541</v>
      </c>
      <c r="D81" s="90">
        <v>688.77300000000002</v>
      </c>
      <c r="E81" s="107">
        <f>SUM(A81:D81)</f>
        <v>1320.2139999999999</v>
      </c>
      <c r="F81" s="92">
        <v>39.192700000000002</v>
      </c>
      <c r="G81" s="90">
        <v>13.22</v>
      </c>
      <c r="H81" s="90">
        <v>1001.921</v>
      </c>
      <c r="I81" s="90">
        <v>907.91600000000005</v>
      </c>
      <c r="J81" s="84">
        <f>SUM(F81:I81)</f>
        <v>1962.2497000000003</v>
      </c>
      <c r="K81" s="91">
        <f t="shared" si="32"/>
        <v>39.192700000000002</v>
      </c>
      <c r="L81" s="90">
        <f t="shared" si="32"/>
        <v>238.12</v>
      </c>
      <c r="M81" s="90">
        <f t="shared" si="32"/>
        <v>1408.462</v>
      </c>
      <c r="N81" s="90">
        <f t="shared" si="32"/>
        <v>1596.6890000000001</v>
      </c>
      <c r="O81" s="90">
        <f t="shared" si="32"/>
        <v>3282.4637000000002</v>
      </c>
      <c r="P81" s="86"/>
      <c r="Q81" s="94" t="s">
        <v>90</v>
      </c>
      <c r="R81" s="87"/>
    </row>
    <row r="82" spans="1:18" s="65" customFormat="1" ht="11.25" x14ac:dyDescent="0.2">
      <c r="A82" s="126">
        <v>0</v>
      </c>
      <c r="B82" s="90">
        <v>170.14099999999999</v>
      </c>
      <c r="C82" s="90">
        <v>507.17899999999997</v>
      </c>
      <c r="D82" s="90">
        <v>798.09500000000003</v>
      </c>
      <c r="E82" s="107">
        <f>SUM(A82:D82)</f>
        <v>1475.415</v>
      </c>
      <c r="F82" s="92">
        <v>39.359000000000002</v>
      </c>
      <c r="G82" s="90">
        <v>14</v>
      </c>
      <c r="H82" s="90">
        <v>879.10299999999995</v>
      </c>
      <c r="I82" s="90">
        <v>913.79300000000001</v>
      </c>
      <c r="J82" s="84">
        <f>SUM(F82:I82)</f>
        <v>1846.2550000000001</v>
      </c>
      <c r="K82" s="91">
        <f>A82+F82</f>
        <v>39.359000000000002</v>
      </c>
      <c r="L82" s="90">
        <f>B82+G82</f>
        <v>184.14099999999999</v>
      </c>
      <c r="M82" s="90">
        <f>C82+H82</f>
        <v>1386.2819999999999</v>
      </c>
      <c r="N82" s="90">
        <f>D82+I82</f>
        <v>1711.8879999999999</v>
      </c>
      <c r="O82" s="90">
        <f>E82+J82</f>
        <v>3321.67</v>
      </c>
      <c r="P82" s="86"/>
      <c r="Q82" s="94" t="s">
        <v>91</v>
      </c>
      <c r="R82" s="87"/>
    </row>
    <row r="83" spans="1:18" s="65" customFormat="1" ht="11.25" x14ac:dyDescent="0.2">
      <c r="A83" s="133">
        <f t="shared" ref="A83:N83" si="33">SUM(A80:A82)</f>
        <v>0</v>
      </c>
      <c r="B83" s="127">
        <f>SUM(B80:B82)</f>
        <v>581.76800000000003</v>
      </c>
      <c r="C83" s="127">
        <f t="shared" si="33"/>
        <v>1317.6179999999999</v>
      </c>
      <c r="D83" s="127">
        <f t="shared" si="33"/>
        <v>2318.8370000000004</v>
      </c>
      <c r="E83" s="128">
        <f t="shared" si="33"/>
        <v>4218.223</v>
      </c>
      <c r="F83" s="130">
        <f t="shared" si="33"/>
        <v>104.59970000000001</v>
      </c>
      <c r="G83" s="127">
        <f t="shared" si="33"/>
        <v>56.225000000000001</v>
      </c>
      <c r="H83" s="127">
        <f t="shared" si="33"/>
        <v>2731.6289999999999</v>
      </c>
      <c r="I83" s="127">
        <f t="shared" si="33"/>
        <v>2682.672</v>
      </c>
      <c r="J83" s="129">
        <f t="shared" si="33"/>
        <v>5575.1257000000005</v>
      </c>
      <c r="K83" s="134">
        <f t="shared" si="33"/>
        <v>104.59970000000001</v>
      </c>
      <c r="L83" s="127">
        <f t="shared" si="33"/>
        <v>637.99299999999994</v>
      </c>
      <c r="M83" s="127">
        <f t="shared" si="33"/>
        <v>4049.2470000000003</v>
      </c>
      <c r="N83" s="127">
        <f t="shared" si="33"/>
        <v>5001.509</v>
      </c>
      <c r="O83" s="127">
        <f>SUM(O80:O82)</f>
        <v>9793.3487000000005</v>
      </c>
      <c r="P83" s="131"/>
      <c r="Q83" s="132" t="s">
        <v>56</v>
      </c>
      <c r="R83" s="87"/>
    </row>
    <row r="84" spans="1:18" s="65" customFormat="1" ht="11.25" x14ac:dyDescent="0.2">
      <c r="A84" s="126"/>
      <c r="B84" s="90"/>
      <c r="C84" s="90"/>
      <c r="D84" s="90"/>
      <c r="E84" s="107"/>
      <c r="F84" s="92"/>
      <c r="G84" s="90"/>
      <c r="H84" s="90"/>
      <c r="I84" s="90"/>
      <c r="J84" s="84"/>
      <c r="K84" s="91"/>
      <c r="L84" s="90"/>
      <c r="M84" s="90"/>
      <c r="N84" s="90"/>
      <c r="O84" s="90"/>
      <c r="P84" s="86"/>
      <c r="Q84" s="94"/>
      <c r="R84" s="87"/>
    </row>
    <row r="85" spans="1:18" s="65" customFormat="1" ht="11.25" x14ac:dyDescent="0.2">
      <c r="A85" s="126">
        <v>0</v>
      </c>
      <c r="B85" s="90">
        <v>179.43600000000001</v>
      </c>
      <c r="C85" s="90">
        <v>563.89</v>
      </c>
      <c r="D85" s="90">
        <v>706.601</v>
      </c>
      <c r="E85" s="107">
        <f t="shared" ref="E85:E90" si="34">SUM(A85:D85)</f>
        <v>1449.9270000000001</v>
      </c>
      <c r="F85" s="92">
        <v>31.879470000000001</v>
      </c>
      <c r="G85" s="90">
        <v>15.2</v>
      </c>
      <c r="H85" s="90">
        <v>923.49599999999998</v>
      </c>
      <c r="I85" s="90">
        <v>968.31100000000004</v>
      </c>
      <c r="J85" s="84">
        <f t="shared" ref="J85:J90" si="35">SUM(F85:I85)</f>
        <v>1938.8864699999999</v>
      </c>
      <c r="K85" s="91">
        <f t="shared" ref="K85:O91" si="36">A85+F85</f>
        <v>31.879470000000001</v>
      </c>
      <c r="L85" s="90">
        <f t="shared" si="36"/>
        <v>194.636</v>
      </c>
      <c r="M85" s="90">
        <f t="shared" si="36"/>
        <v>1487.386</v>
      </c>
      <c r="N85" s="90">
        <f t="shared" si="36"/>
        <v>1674.912</v>
      </c>
      <c r="O85" s="90">
        <f t="shared" si="36"/>
        <v>3388.8134700000001</v>
      </c>
      <c r="P85" s="86"/>
      <c r="Q85" s="94" t="s">
        <v>78</v>
      </c>
      <c r="R85" s="87">
        <v>2010</v>
      </c>
    </row>
    <row r="86" spans="1:18" s="65" customFormat="1" ht="11.25" x14ac:dyDescent="0.2">
      <c r="A86" s="126">
        <v>0</v>
      </c>
      <c r="B86" s="90">
        <v>156.55199999999999</v>
      </c>
      <c r="C86" s="90">
        <v>644.15599999999995</v>
      </c>
      <c r="D86" s="90">
        <v>728.471</v>
      </c>
      <c r="E86" s="107">
        <f t="shared" si="34"/>
        <v>1529.1790000000001</v>
      </c>
      <c r="F86" s="92">
        <v>29.617999999999999</v>
      </c>
      <c r="G86" s="90">
        <v>3.3</v>
      </c>
      <c r="H86" s="90">
        <v>863.81799999999998</v>
      </c>
      <c r="I86" s="90">
        <v>887.36900000000003</v>
      </c>
      <c r="J86" s="84">
        <f t="shared" si="35"/>
        <v>1784.105</v>
      </c>
      <c r="K86" s="91">
        <f t="shared" si="36"/>
        <v>29.617999999999999</v>
      </c>
      <c r="L86" s="90">
        <f t="shared" si="36"/>
        <v>159.852</v>
      </c>
      <c r="M86" s="90">
        <f t="shared" si="36"/>
        <v>1507.9739999999999</v>
      </c>
      <c r="N86" s="90">
        <f t="shared" si="36"/>
        <v>1615.8400000000001</v>
      </c>
      <c r="O86" s="90">
        <f t="shared" si="36"/>
        <v>3313.2840000000001</v>
      </c>
      <c r="P86" s="86"/>
      <c r="Q86" s="94" t="s">
        <v>79</v>
      </c>
      <c r="R86" s="87"/>
    </row>
    <row r="87" spans="1:18" s="65" customFormat="1" ht="11.25" x14ac:dyDescent="0.2">
      <c r="A87" s="126">
        <v>0</v>
      </c>
      <c r="B87" s="90">
        <v>232.24600000000001</v>
      </c>
      <c r="C87" s="90">
        <v>726.47299999999996</v>
      </c>
      <c r="D87" s="90">
        <v>924.84900000000005</v>
      </c>
      <c r="E87" s="107">
        <f t="shared" si="34"/>
        <v>1883.568</v>
      </c>
      <c r="F87" s="92">
        <v>64.650000000000006</v>
      </c>
      <c r="G87" s="90">
        <v>5.1219999999999999</v>
      </c>
      <c r="H87" s="90">
        <v>951.04100000000005</v>
      </c>
      <c r="I87" s="90">
        <v>1029.6310000000001</v>
      </c>
      <c r="J87" s="84">
        <f t="shared" si="35"/>
        <v>2050.4440000000004</v>
      </c>
      <c r="K87" s="91">
        <f>A87+F87</f>
        <v>64.650000000000006</v>
      </c>
      <c r="L87" s="90">
        <f>B87+G87</f>
        <v>237.36799999999999</v>
      </c>
      <c r="M87" s="90">
        <f t="shared" si="36"/>
        <v>1677.5140000000001</v>
      </c>
      <c r="N87" s="90">
        <f t="shared" si="36"/>
        <v>1954.48</v>
      </c>
      <c r="O87" s="90">
        <f t="shared" si="36"/>
        <v>3934.0120000000006</v>
      </c>
      <c r="P87" s="86"/>
      <c r="Q87" s="94" t="s">
        <v>80</v>
      </c>
      <c r="R87" s="87"/>
    </row>
    <row r="88" spans="1:18" s="65" customFormat="1" ht="11.25" x14ac:dyDescent="0.2">
      <c r="A88" s="148">
        <f>SUM(A85:A87)</f>
        <v>0</v>
      </c>
      <c r="B88" s="144">
        <f>SUM(B85:B87)</f>
        <v>568.23400000000004</v>
      </c>
      <c r="C88" s="144">
        <f>SUM(C85:C87)</f>
        <v>1934.5189999999998</v>
      </c>
      <c r="D88" s="144">
        <f>SUM(D85:D87)</f>
        <v>2359.9210000000003</v>
      </c>
      <c r="E88" s="144">
        <f t="shared" si="34"/>
        <v>4862.674</v>
      </c>
      <c r="F88" s="145">
        <f>SUM(F85:F87)</f>
        <v>126.14747</v>
      </c>
      <c r="G88" s="144">
        <f>SUM(G85:G87)</f>
        <v>23.622</v>
      </c>
      <c r="H88" s="144">
        <f>SUM(H85:H87)</f>
        <v>2738.355</v>
      </c>
      <c r="I88" s="144">
        <f>SUM(I85:I87)</f>
        <v>2885.3110000000001</v>
      </c>
      <c r="J88" s="149">
        <f t="shared" si="35"/>
        <v>5773.4354700000004</v>
      </c>
      <c r="K88" s="150">
        <f t="shared" si="36"/>
        <v>126.14747</v>
      </c>
      <c r="L88" s="144">
        <f>B88+G88</f>
        <v>591.85599999999999</v>
      </c>
      <c r="M88" s="144">
        <f t="shared" si="36"/>
        <v>4672.8739999999998</v>
      </c>
      <c r="N88" s="144">
        <f t="shared" si="36"/>
        <v>5245.232</v>
      </c>
      <c r="O88" s="144">
        <f>E88+J88</f>
        <v>10636.109469999999</v>
      </c>
      <c r="P88" s="146"/>
      <c r="Q88" s="147" t="s">
        <v>53</v>
      </c>
      <c r="R88" s="151">
        <v>2010</v>
      </c>
    </row>
    <row r="89" spans="1:18" s="65" customFormat="1" ht="11.25" x14ac:dyDescent="0.2">
      <c r="A89" s="148">
        <v>0</v>
      </c>
      <c r="B89" s="144">
        <v>149.089</v>
      </c>
      <c r="C89" s="144">
        <v>651.43399999999997</v>
      </c>
      <c r="D89" s="144">
        <v>956.08</v>
      </c>
      <c r="E89" s="152">
        <f t="shared" si="34"/>
        <v>1756.6030000000001</v>
      </c>
      <c r="F89" s="145">
        <v>91.537000000000006</v>
      </c>
      <c r="G89" s="144">
        <v>3.8</v>
      </c>
      <c r="H89" s="144">
        <v>983.44</v>
      </c>
      <c r="I89" s="144">
        <v>921.72900000000004</v>
      </c>
      <c r="J89" s="149">
        <f t="shared" si="35"/>
        <v>2000.5060000000001</v>
      </c>
      <c r="K89" s="150">
        <f t="shared" si="36"/>
        <v>91.537000000000006</v>
      </c>
      <c r="L89" s="144">
        <f t="shared" si="36"/>
        <v>152.88900000000001</v>
      </c>
      <c r="M89" s="144">
        <f t="shared" si="36"/>
        <v>1634.874</v>
      </c>
      <c r="N89" s="144">
        <f t="shared" si="36"/>
        <v>1877.8090000000002</v>
      </c>
      <c r="O89" s="144">
        <f t="shared" si="36"/>
        <v>3757.1090000000004</v>
      </c>
      <c r="P89" s="146"/>
      <c r="Q89" s="147" t="s">
        <v>68</v>
      </c>
      <c r="R89" s="151"/>
    </row>
    <row r="90" spans="1:18" s="65" customFormat="1" ht="11.25" x14ac:dyDescent="0.2">
      <c r="A90" s="148">
        <v>0</v>
      </c>
      <c r="B90" s="144">
        <v>254.423</v>
      </c>
      <c r="C90" s="144">
        <v>723.33199999999999</v>
      </c>
      <c r="D90" s="144">
        <v>911.48900000000003</v>
      </c>
      <c r="E90" s="152">
        <f t="shared" si="34"/>
        <v>1889.2440000000001</v>
      </c>
      <c r="F90" s="145">
        <v>48.515819999999998</v>
      </c>
      <c r="G90" s="144">
        <v>2.5499999999999998</v>
      </c>
      <c r="H90" s="144">
        <v>930.58199999999999</v>
      </c>
      <c r="I90" s="144">
        <v>988.21199999999999</v>
      </c>
      <c r="J90" s="149">
        <f t="shared" si="35"/>
        <v>1969.8598200000001</v>
      </c>
      <c r="K90" s="145">
        <f t="shared" si="36"/>
        <v>48.515819999999998</v>
      </c>
      <c r="L90" s="144">
        <f t="shared" si="36"/>
        <v>256.97300000000001</v>
      </c>
      <c r="M90" s="144">
        <f t="shared" ref="M90:O91" si="37">C90+H90</f>
        <v>1653.914</v>
      </c>
      <c r="N90" s="144">
        <f t="shared" si="37"/>
        <v>1899.701</v>
      </c>
      <c r="O90" s="144">
        <f t="shared" si="37"/>
        <v>3859.1038200000003</v>
      </c>
      <c r="P90" s="146"/>
      <c r="Q90" s="147" t="s">
        <v>82</v>
      </c>
      <c r="R90" s="151"/>
    </row>
    <row r="91" spans="1:18" s="65" customFormat="1" ht="11.25" x14ac:dyDescent="0.2">
      <c r="A91" s="148">
        <v>0</v>
      </c>
      <c r="B91" s="144">
        <v>215.16800000000001</v>
      </c>
      <c r="C91" s="144">
        <v>588.33100000000002</v>
      </c>
      <c r="D91" s="144">
        <v>977.34500000000003</v>
      </c>
      <c r="E91" s="152">
        <f>SUM(A91:D91)</f>
        <v>1780.8440000000001</v>
      </c>
      <c r="F91" s="145">
        <v>53.642000000000003</v>
      </c>
      <c r="G91" s="144">
        <v>2.5</v>
      </c>
      <c r="H91" s="144">
        <v>1051.77</v>
      </c>
      <c r="I91" s="144">
        <v>961.85299999999995</v>
      </c>
      <c r="J91" s="149">
        <f>SUM(F91:I91)</f>
        <v>2069.7649999999999</v>
      </c>
      <c r="K91" s="145">
        <f>A91+F91</f>
        <v>53.642000000000003</v>
      </c>
      <c r="L91" s="144">
        <f t="shared" si="36"/>
        <v>217.66800000000001</v>
      </c>
      <c r="M91" s="144">
        <f t="shared" si="37"/>
        <v>1640.1010000000001</v>
      </c>
      <c r="N91" s="144">
        <f t="shared" si="37"/>
        <v>1939.1979999999999</v>
      </c>
      <c r="O91" s="144">
        <f t="shared" si="37"/>
        <v>3850.6089999999999</v>
      </c>
      <c r="P91" s="146"/>
      <c r="Q91" s="147" t="s">
        <v>83</v>
      </c>
      <c r="R91" s="151"/>
    </row>
    <row r="92" spans="1:18" s="65" customFormat="1" ht="11.25" x14ac:dyDescent="0.2">
      <c r="A92" s="148">
        <f t="shared" ref="A92:N92" si="38">SUM(A89:A91)</f>
        <v>0</v>
      </c>
      <c r="B92" s="144">
        <f t="shared" si="38"/>
        <v>618.68000000000006</v>
      </c>
      <c r="C92" s="144">
        <f t="shared" si="38"/>
        <v>1963.0970000000002</v>
      </c>
      <c r="D92" s="144">
        <f t="shared" si="38"/>
        <v>2844.9139999999998</v>
      </c>
      <c r="E92" s="152">
        <f t="shared" si="38"/>
        <v>5426.6910000000007</v>
      </c>
      <c r="F92" s="145">
        <f t="shared" si="38"/>
        <v>193.69481999999999</v>
      </c>
      <c r="G92" s="144">
        <f t="shared" si="38"/>
        <v>8.85</v>
      </c>
      <c r="H92" s="144">
        <f t="shared" si="38"/>
        <v>2965.7919999999999</v>
      </c>
      <c r="I92" s="144">
        <f t="shared" si="38"/>
        <v>2871.7939999999999</v>
      </c>
      <c r="J92" s="149">
        <f>SUM(J89:J91)</f>
        <v>6040.1308200000003</v>
      </c>
      <c r="K92" s="145">
        <f t="shared" si="38"/>
        <v>193.69481999999999</v>
      </c>
      <c r="L92" s="144">
        <f t="shared" si="38"/>
        <v>627.53</v>
      </c>
      <c r="M92" s="144">
        <f t="shared" si="38"/>
        <v>4928.8890000000001</v>
      </c>
      <c r="N92" s="144">
        <f t="shared" si="38"/>
        <v>5716.7080000000005</v>
      </c>
      <c r="O92" s="144">
        <f>E92+J92</f>
        <v>11466.821820000001</v>
      </c>
      <c r="P92" s="146"/>
      <c r="Q92" s="147" t="s">
        <v>54</v>
      </c>
      <c r="R92" s="151"/>
    </row>
    <row r="93" spans="1:18" s="65" customFormat="1" ht="11.25" x14ac:dyDescent="0.2">
      <c r="A93" s="148">
        <v>0</v>
      </c>
      <c r="B93" s="144">
        <v>114.03</v>
      </c>
      <c r="C93" s="144">
        <v>520.12800000000004</v>
      </c>
      <c r="D93" s="144">
        <v>915.81</v>
      </c>
      <c r="E93" s="152">
        <f>SUM(A93:D93)</f>
        <v>1549.9679999999998</v>
      </c>
      <c r="F93" s="145">
        <v>54.974930000000001</v>
      </c>
      <c r="G93" s="144">
        <v>0.26</v>
      </c>
      <c r="H93" s="144">
        <v>923.46100000000001</v>
      </c>
      <c r="I93" s="144">
        <v>1074.9369999999999</v>
      </c>
      <c r="J93" s="149">
        <f>SUM(F93:I93)</f>
        <v>2053.6329299999998</v>
      </c>
      <c r="K93" s="145">
        <f t="shared" ref="K93:N95" si="39">A93+F93</f>
        <v>54.974930000000001</v>
      </c>
      <c r="L93" s="144">
        <f>B93+G93</f>
        <v>114.29</v>
      </c>
      <c r="M93" s="144">
        <f t="shared" si="39"/>
        <v>1443.5889999999999</v>
      </c>
      <c r="N93" s="144">
        <f t="shared" si="39"/>
        <v>1990.7469999999998</v>
      </c>
      <c r="O93" s="144">
        <f>E93+J93</f>
        <v>3603.6009299999996</v>
      </c>
      <c r="P93" s="146"/>
      <c r="Q93" s="147" t="s">
        <v>85</v>
      </c>
      <c r="R93" s="151"/>
    </row>
    <row r="94" spans="1:18" s="65" customFormat="1" ht="11.25" x14ac:dyDescent="0.2">
      <c r="A94" s="148">
        <v>0</v>
      </c>
      <c r="B94" s="144">
        <v>233.82900000000001</v>
      </c>
      <c r="C94" s="144">
        <v>549.07399999999996</v>
      </c>
      <c r="D94" s="144">
        <v>870.19500000000005</v>
      </c>
      <c r="E94" s="152">
        <f>SUM(A94:D94)</f>
        <v>1653.098</v>
      </c>
      <c r="F94" s="144">
        <v>66.744</v>
      </c>
      <c r="G94" s="144">
        <v>0.221</v>
      </c>
      <c r="H94" s="144">
        <v>1040.585</v>
      </c>
      <c r="I94" s="144">
        <v>1066.652</v>
      </c>
      <c r="J94" s="149">
        <f>SUM(F94:I94)</f>
        <v>2174.2020000000002</v>
      </c>
      <c r="K94" s="145">
        <f t="shared" si="39"/>
        <v>66.744</v>
      </c>
      <c r="L94" s="144">
        <f>B94+G94</f>
        <v>234.05</v>
      </c>
      <c r="M94" s="144">
        <f t="shared" si="39"/>
        <v>1589.6590000000001</v>
      </c>
      <c r="N94" s="144">
        <f t="shared" si="39"/>
        <v>1936.8470000000002</v>
      </c>
      <c r="O94" s="144">
        <f>E94+J94</f>
        <v>3827.3</v>
      </c>
      <c r="P94" s="146"/>
      <c r="Q94" s="147" t="s">
        <v>86</v>
      </c>
      <c r="R94" s="151"/>
    </row>
    <row r="95" spans="1:18" s="65" customFormat="1" ht="11.25" x14ac:dyDescent="0.2">
      <c r="A95" s="148">
        <v>0</v>
      </c>
      <c r="B95" s="144">
        <v>195.767</v>
      </c>
      <c r="C95" s="144">
        <v>475.85300000000001</v>
      </c>
      <c r="D95" s="144">
        <v>763.34400000000005</v>
      </c>
      <c r="E95" s="152">
        <f>SUM(A95:D95)</f>
        <v>1434.9639999999999</v>
      </c>
      <c r="F95" s="144">
        <v>49.436</v>
      </c>
      <c r="G95" s="144">
        <v>0.23499999999999999</v>
      </c>
      <c r="H95" s="144">
        <v>725.90200000000004</v>
      </c>
      <c r="I95" s="144">
        <v>1011.028</v>
      </c>
      <c r="J95" s="149">
        <f>SUM(F95:I95)</f>
        <v>1786.6010000000001</v>
      </c>
      <c r="K95" s="145">
        <f t="shared" si="39"/>
        <v>49.436</v>
      </c>
      <c r="L95" s="144">
        <f>B95+G95</f>
        <v>196.00200000000001</v>
      </c>
      <c r="M95" s="144">
        <f t="shared" si="39"/>
        <v>1201.7550000000001</v>
      </c>
      <c r="N95" s="144">
        <f t="shared" si="39"/>
        <v>1774.3720000000001</v>
      </c>
      <c r="O95" s="144">
        <f>E95+J95</f>
        <v>3221.5650000000001</v>
      </c>
      <c r="P95" s="146"/>
      <c r="Q95" s="147" t="s">
        <v>87</v>
      </c>
      <c r="R95" s="151"/>
    </row>
    <row r="96" spans="1:18" s="65" customFormat="1" ht="11.25" x14ac:dyDescent="0.2">
      <c r="A96" s="148">
        <f t="shared" ref="A96:O96" si="40">SUM(A93:A95)</f>
        <v>0</v>
      </c>
      <c r="B96" s="144">
        <f t="shared" si="40"/>
        <v>543.62599999999998</v>
      </c>
      <c r="C96" s="144">
        <f t="shared" si="40"/>
        <v>1545.0550000000001</v>
      </c>
      <c r="D96" s="144">
        <f t="shared" si="40"/>
        <v>2549.3490000000002</v>
      </c>
      <c r="E96" s="152">
        <f t="shared" si="40"/>
        <v>4638.03</v>
      </c>
      <c r="F96" s="144">
        <f t="shared" si="40"/>
        <v>171.15493000000001</v>
      </c>
      <c r="G96" s="144">
        <f>SUM(G93:G95)</f>
        <v>0.71599999999999997</v>
      </c>
      <c r="H96" s="144">
        <f t="shared" si="40"/>
        <v>2689.9480000000003</v>
      </c>
      <c r="I96" s="144">
        <f>SUM(I93:I95)</f>
        <v>3152.6170000000002</v>
      </c>
      <c r="J96" s="149">
        <f t="shared" si="40"/>
        <v>6014.4359299999996</v>
      </c>
      <c r="K96" s="145">
        <f t="shared" si="40"/>
        <v>171.15493000000001</v>
      </c>
      <c r="L96" s="144">
        <f t="shared" si="40"/>
        <v>544.3420000000001</v>
      </c>
      <c r="M96" s="144">
        <f t="shared" si="40"/>
        <v>4235.0030000000006</v>
      </c>
      <c r="N96" s="144">
        <f t="shared" si="40"/>
        <v>5701.9660000000003</v>
      </c>
      <c r="O96" s="144">
        <f t="shared" si="40"/>
        <v>10652.46593</v>
      </c>
      <c r="P96" s="146">
        <f>SUM(K96:O96)</f>
        <v>21304.931860000004</v>
      </c>
      <c r="Q96" s="147" t="s">
        <v>55</v>
      </c>
      <c r="R96" s="151"/>
    </row>
    <row r="97" spans="1:18" s="65" customFormat="1" ht="11.25" x14ac:dyDescent="0.2">
      <c r="A97" s="148">
        <v>0</v>
      </c>
      <c r="B97" s="144">
        <v>221.95599999999999</v>
      </c>
      <c r="C97" s="144">
        <v>584.94500000000005</v>
      </c>
      <c r="D97" s="144">
        <v>693.6377</v>
      </c>
      <c r="E97" s="152">
        <f>SUM(A97:D97)</f>
        <v>1500.5387000000001</v>
      </c>
      <c r="F97" s="144">
        <v>67.763239999999996</v>
      </c>
      <c r="G97" s="144">
        <v>4.9470000000000001</v>
      </c>
      <c r="H97" s="144">
        <v>996.31700000000001</v>
      </c>
      <c r="I97" s="144">
        <v>1074.0616</v>
      </c>
      <c r="J97" s="149">
        <f>SUM(F97:I97)</f>
        <v>2143.0888399999999</v>
      </c>
      <c r="K97" s="145">
        <f t="shared" ref="K97:O98" si="41">F97+A97</f>
        <v>67.763239999999996</v>
      </c>
      <c r="L97" s="144">
        <f t="shared" si="41"/>
        <v>226.90299999999999</v>
      </c>
      <c r="M97" s="144">
        <f t="shared" si="41"/>
        <v>1581.2620000000002</v>
      </c>
      <c r="N97" s="144">
        <f t="shared" si="41"/>
        <v>1767.6993</v>
      </c>
      <c r="O97" s="144">
        <f t="shared" si="41"/>
        <v>3643.62754</v>
      </c>
      <c r="P97" s="146"/>
      <c r="Q97" s="147" t="s">
        <v>89</v>
      </c>
      <c r="R97" s="151"/>
    </row>
    <row r="98" spans="1:18" s="65" customFormat="1" ht="11.25" x14ac:dyDescent="0.2">
      <c r="A98" s="148">
        <v>0</v>
      </c>
      <c r="B98" s="144">
        <v>212.43299999999999</v>
      </c>
      <c r="C98" s="144">
        <v>663.15099999999995</v>
      </c>
      <c r="D98" s="144">
        <v>657.33590000000004</v>
      </c>
      <c r="E98" s="152">
        <f>SUM(A98:D98)</f>
        <v>1532.9198999999999</v>
      </c>
      <c r="F98" s="144">
        <v>78.908000000000001</v>
      </c>
      <c r="G98" s="144">
        <v>14.884</v>
      </c>
      <c r="H98" s="144">
        <v>885.71400000000006</v>
      </c>
      <c r="I98" s="144">
        <v>1063.9052999999999</v>
      </c>
      <c r="J98" s="149">
        <f>SUM(F98:I98)</f>
        <v>2043.4113</v>
      </c>
      <c r="K98" s="145">
        <f t="shared" si="41"/>
        <v>78.908000000000001</v>
      </c>
      <c r="L98" s="144">
        <f t="shared" si="41"/>
        <v>227.31700000000001</v>
      </c>
      <c r="M98" s="144">
        <f t="shared" si="41"/>
        <v>1548.865</v>
      </c>
      <c r="N98" s="144">
        <f t="shared" si="41"/>
        <v>1721.2411999999999</v>
      </c>
      <c r="O98" s="144">
        <f t="shared" si="41"/>
        <v>3576.3311999999996</v>
      </c>
      <c r="P98" s="146"/>
      <c r="Q98" s="147" t="s">
        <v>90</v>
      </c>
      <c r="R98" s="151"/>
    </row>
    <row r="99" spans="1:18" s="65" customFormat="1" ht="11.25" x14ac:dyDescent="0.2">
      <c r="A99" s="148">
        <v>9.2370000000000001</v>
      </c>
      <c r="B99" s="144">
        <v>89.808000000000007</v>
      </c>
      <c r="C99" s="144">
        <v>617.09400000000005</v>
      </c>
      <c r="D99" s="144">
        <v>592.28930000000003</v>
      </c>
      <c r="E99" s="152">
        <f>SUM(A99:D99)</f>
        <v>1308.4283</v>
      </c>
      <c r="F99" s="144">
        <v>72.152529999999999</v>
      </c>
      <c r="G99" s="144">
        <v>13.252000000000001</v>
      </c>
      <c r="H99" s="144">
        <v>951.01700000000005</v>
      </c>
      <c r="I99" s="144">
        <v>1092.3425999999999</v>
      </c>
      <c r="J99" s="149">
        <f>SUM(F99:I99)</f>
        <v>2128.76413</v>
      </c>
      <c r="K99" s="145">
        <f>A99+F99</f>
        <v>81.389529999999993</v>
      </c>
      <c r="L99" s="144">
        <f>B99+G99</f>
        <v>103.06</v>
      </c>
      <c r="M99" s="144">
        <f>C99+H99</f>
        <v>1568.1110000000001</v>
      </c>
      <c r="N99" s="144">
        <f>D99+I99</f>
        <v>1684.6318999999999</v>
      </c>
      <c r="O99" s="144">
        <f>E99+J99</f>
        <v>3437.1924300000001</v>
      </c>
      <c r="P99" s="146"/>
      <c r="Q99" s="147" t="s">
        <v>91</v>
      </c>
      <c r="R99" s="151"/>
    </row>
    <row r="100" spans="1:18" s="65" customFormat="1" ht="11.25" x14ac:dyDescent="0.2">
      <c r="A100" s="148">
        <f>SUM(A97:A99)</f>
        <v>9.2370000000000001</v>
      </c>
      <c r="B100" s="144">
        <f t="shared" ref="B100:N100" si="42">SUM(B97:B99)</f>
        <v>524.197</v>
      </c>
      <c r="C100" s="144">
        <f t="shared" si="42"/>
        <v>1865.19</v>
      </c>
      <c r="D100" s="144">
        <f t="shared" si="42"/>
        <v>1943.2629000000002</v>
      </c>
      <c r="E100" s="152">
        <f t="shared" si="42"/>
        <v>4341.8868999999995</v>
      </c>
      <c r="F100" s="144">
        <f t="shared" si="42"/>
        <v>218.82377000000002</v>
      </c>
      <c r="G100" s="144">
        <f t="shared" si="42"/>
        <v>33.082999999999998</v>
      </c>
      <c r="H100" s="144">
        <f t="shared" si="42"/>
        <v>2833.0479999999998</v>
      </c>
      <c r="I100" s="144">
        <f t="shared" si="42"/>
        <v>3230.3094999999998</v>
      </c>
      <c r="J100" s="149">
        <f>SUM(J97:J99)</f>
        <v>6315.2642699999997</v>
      </c>
      <c r="K100" s="145">
        <f t="shared" si="42"/>
        <v>228.06076999999999</v>
      </c>
      <c r="L100" s="144">
        <f t="shared" si="42"/>
        <v>557.28</v>
      </c>
      <c r="M100" s="144">
        <f>SUM(M97:M99)</f>
        <v>4698.2380000000003</v>
      </c>
      <c r="N100" s="144">
        <f t="shared" si="42"/>
        <v>5173.5723999999991</v>
      </c>
      <c r="O100" s="144">
        <f>SUM(O97:O99)</f>
        <v>10657.151170000001</v>
      </c>
      <c r="P100" s="146"/>
      <c r="Q100" s="147" t="s">
        <v>56</v>
      </c>
      <c r="R100" s="151"/>
    </row>
    <row r="101" spans="1:18" s="65" customFormat="1" ht="11.25" x14ac:dyDescent="0.2">
      <c r="A101" s="148"/>
      <c r="B101" s="144"/>
      <c r="C101" s="144"/>
      <c r="D101" s="144"/>
      <c r="E101" s="152"/>
      <c r="F101" s="144"/>
      <c r="G101" s="144"/>
      <c r="H101" s="144"/>
      <c r="I101" s="144"/>
      <c r="J101" s="149"/>
      <c r="K101" s="145"/>
      <c r="L101" s="144"/>
      <c r="M101" s="144"/>
      <c r="N101" s="144"/>
      <c r="O101" s="144"/>
      <c r="P101" s="146"/>
      <c r="Q101" s="147"/>
      <c r="R101" s="151"/>
    </row>
    <row r="102" spans="1:18" s="65" customFormat="1" ht="11.25" x14ac:dyDescent="0.2">
      <c r="A102" s="148">
        <v>0</v>
      </c>
      <c r="B102" s="144">
        <v>106.277</v>
      </c>
      <c r="C102" s="144">
        <v>515.70659999999998</v>
      </c>
      <c r="D102" s="144">
        <v>622.36590000000001</v>
      </c>
      <c r="E102" s="152">
        <f>SUM(A102:D102)</f>
        <v>1244.3495</v>
      </c>
      <c r="F102" s="144">
        <v>82.436000000000007</v>
      </c>
      <c r="G102" s="144">
        <v>12.7942</v>
      </c>
      <c r="H102" s="144">
        <v>932.99860000000001</v>
      </c>
      <c r="I102" s="144">
        <v>902.80460000000005</v>
      </c>
      <c r="J102" s="149">
        <f>SUM(F102:I102)</f>
        <v>1931.0334000000003</v>
      </c>
      <c r="K102" s="145">
        <f>F102+A102</f>
        <v>82.436000000000007</v>
      </c>
      <c r="L102" s="144">
        <f>G102+B102</f>
        <v>119.0712</v>
      </c>
      <c r="M102" s="144">
        <f>H102+C102</f>
        <v>1448.7051999999999</v>
      </c>
      <c r="N102" s="144">
        <f>I102+D102</f>
        <v>1525.1705000000002</v>
      </c>
      <c r="O102" s="144">
        <f>J102+E102</f>
        <v>3175.3829000000005</v>
      </c>
      <c r="P102" s="146"/>
      <c r="Q102" s="147" t="s">
        <v>78</v>
      </c>
      <c r="R102" s="151">
        <v>2011</v>
      </c>
    </row>
    <row r="103" spans="1:18" s="65" customFormat="1" ht="11.25" x14ac:dyDescent="0.2">
      <c r="A103" s="148">
        <v>1.3220000000000001</v>
      </c>
      <c r="B103" s="144">
        <v>91.182000000000002</v>
      </c>
      <c r="C103" s="144">
        <v>520.15940000000001</v>
      </c>
      <c r="D103" s="144">
        <v>766.84450000000004</v>
      </c>
      <c r="E103" s="152">
        <f>SUM(A103:D103)</f>
        <v>1379.5079000000001</v>
      </c>
      <c r="F103" s="144">
        <v>73.877399999999994</v>
      </c>
      <c r="G103" s="144">
        <v>14.125999999999999</v>
      </c>
      <c r="H103" s="144">
        <v>1006.2698</v>
      </c>
      <c r="I103" s="144">
        <v>970.58029999999997</v>
      </c>
      <c r="J103" s="149">
        <f>SUM(F103:I103)</f>
        <v>2064.8535000000002</v>
      </c>
      <c r="K103" s="145">
        <f>A103+F103</f>
        <v>75.199399999999997</v>
      </c>
      <c r="L103" s="144">
        <f t="shared" ref="L103:O104" si="43">B103+G103</f>
        <v>105.30800000000001</v>
      </c>
      <c r="M103" s="144">
        <f t="shared" si="43"/>
        <v>1526.4292</v>
      </c>
      <c r="N103" s="144">
        <f t="shared" si="43"/>
        <v>1737.4248</v>
      </c>
      <c r="O103" s="144">
        <f t="shared" si="43"/>
        <v>3444.3614000000002</v>
      </c>
      <c r="P103" s="146"/>
      <c r="Q103" s="147" t="s">
        <v>79</v>
      </c>
      <c r="R103" s="151"/>
    </row>
    <row r="104" spans="1:18" s="65" customFormat="1" ht="11.25" x14ac:dyDescent="0.2">
      <c r="A104" s="148">
        <v>2.5999999999999999E-2</v>
      </c>
      <c r="B104" s="144">
        <v>215.322</v>
      </c>
      <c r="C104" s="144">
        <v>916.23299999999995</v>
      </c>
      <c r="D104" s="144">
        <v>966.04129999999998</v>
      </c>
      <c r="E104" s="152">
        <f>SUM(A104:D104)</f>
        <v>2097.6223</v>
      </c>
      <c r="F104" s="144">
        <v>79.962000000000003</v>
      </c>
      <c r="G104" s="144">
        <v>13.27</v>
      </c>
      <c r="H104" s="144">
        <v>1076.3653999999999</v>
      </c>
      <c r="I104" s="144">
        <v>1114.5954999999999</v>
      </c>
      <c r="J104" s="149">
        <f>SUM(F104:I104)</f>
        <v>2284.1929</v>
      </c>
      <c r="K104" s="145">
        <f>A104+F104</f>
        <v>79.988</v>
      </c>
      <c r="L104" s="144">
        <f t="shared" si="43"/>
        <v>228.59200000000001</v>
      </c>
      <c r="M104" s="144">
        <f t="shared" si="43"/>
        <v>1992.5983999999999</v>
      </c>
      <c r="N104" s="144">
        <f t="shared" si="43"/>
        <v>2080.6367999999998</v>
      </c>
      <c r="O104" s="144">
        <f t="shared" si="43"/>
        <v>4381.8152</v>
      </c>
      <c r="P104" s="146"/>
      <c r="Q104" s="147" t="s">
        <v>80</v>
      </c>
      <c r="R104" s="151"/>
    </row>
    <row r="105" spans="1:18" s="65" customFormat="1" ht="11.25" x14ac:dyDescent="0.2">
      <c r="A105" s="148">
        <f>SUM(A102:A104)</f>
        <v>1.3480000000000001</v>
      </c>
      <c r="B105" s="144">
        <f t="shared" ref="B105:O105" si="44">SUM(B102:B104)</f>
        <v>412.78100000000001</v>
      </c>
      <c r="C105" s="144">
        <f t="shared" si="44"/>
        <v>1952.0989999999999</v>
      </c>
      <c r="D105" s="144">
        <f t="shared" si="44"/>
        <v>2355.2516999999998</v>
      </c>
      <c r="E105" s="152">
        <f t="shared" si="44"/>
        <v>4721.4796999999999</v>
      </c>
      <c r="F105" s="144">
        <f>SUM(F102:F104)</f>
        <v>236.27539999999999</v>
      </c>
      <c r="G105" s="144">
        <f>SUM(G102:G104)</f>
        <v>40.190200000000004</v>
      </c>
      <c r="H105" s="144">
        <f>SUM(H102:H104)</f>
        <v>3015.6337999999996</v>
      </c>
      <c r="I105" s="144">
        <f>SUM(I102:I104)</f>
        <v>2987.9803999999999</v>
      </c>
      <c r="J105" s="149">
        <f>SUM(J102:J104)</f>
        <v>6280.0798000000004</v>
      </c>
      <c r="K105" s="145">
        <f t="shared" si="44"/>
        <v>237.6234</v>
      </c>
      <c r="L105" s="144">
        <f t="shared" si="44"/>
        <v>452.97120000000007</v>
      </c>
      <c r="M105" s="144">
        <f t="shared" si="44"/>
        <v>4967.7327999999998</v>
      </c>
      <c r="N105" s="144">
        <f t="shared" si="44"/>
        <v>5343.2320999999993</v>
      </c>
      <c r="O105" s="144">
        <f t="shared" si="44"/>
        <v>11001.559499999999</v>
      </c>
      <c r="P105" s="146"/>
      <c r="Q105" s="147" t="s">
        <v>53</v>
      </c>
      <c r="R105" s="151">
        <v>2011</v>
      </c>
    </row>
    <row r="106" spans="1:18" s="65" customFormat="1" ht="11.25" x14ac:dyDescent="0.2">
      <c r="A106" s="148">
        <v>0</v>
      </c>
      <c r="B106" s="144">
        <v>130.29</v>
      </c>
      <c r="C106" s="144">
        <v>658.50409999999999</v>
      </c>
      <c r="D106" s="144">
        <v>909.06460000000004</v>
      </c>
      <c r="E106" s="152">
        <f>SUM(A106:D106)</f>
        <v>1697.8587</v>
      </c>
      <c r="F106" s="144">
        <v>62.813000000000002</v>
      </c>
      <c r="G106" s="144">
        <v>11.606999999999999</v>
      </c>
      <c r="H106" s="144">
        <v>953.62099999999998</v>
      </c>
      <c r="I106" s="144">
        <v>1001.9959</v>
      </c>
      <c r="J106" s="149">
        <f>SUM(F106:I106)</f>
        <v>2030.0369000000001</v>
      </c>
      <c r="K106" s="145">
        <f>A106+F106</f>
        <v>62.813000000000002</v>
      </c>
      <c r="L106" s="144">
        <f t="shared" ref="L106:O108" si="45">B106+G106</f>
        <v>141.89699999999999</v>
      </c>
      <c r="M106" s="144">
        <f t="shared" si="45"/>
        <v>1612.1251</v>
      </c>
      <c r="N106" s="144">
        <f t="shared" si="45"/>
        <v>1911.0605</v>
      </c>
      <c r="O106" s="144">
        <f t="shared" si="45"/>
        <v>3727.8955999999998</v>
      </c>
      <c r="P106" s="146"/>
      <c r="Q106" s="147" t="s">
        <v>68</v>
      </c>
      <c r="R106" s="151"/>
    </row>
    <row r="107" spans="1:18" s="65" customFormat="1" ht="11.25" x14ac:dyDescent="0.2">
      <c r="A107" s="148">
        <v>0</v>
      </c>
      <c r="B107" s="144">
        <v>183.327</v>
      </c>
      <c r="C107" s="144">
        <v>653.61469999999997</v>
      </c>
      <c r="D107" s="144">
        <v>862.13430000000005</v>
      </c>
      <c r="E107" s="152">
        <f>SUM(A107:D107)</f>
        <v>1699.076</v>
      </c>
      <c r="F107" s="144">
        <v>115.36</v>
      </c>
      <c r="G107" s="144">
        <v>12.587999999999999</v>
      </c>
      <c r="H107" s="144">
        <v>985.60310000000004</v>
      </c>
      <c r="I107" s="144">
        <v>1152.5658000000001</v>
      </c>
      <c r="J107" s="149">
        <f>SUM(F107:I107)</f>
        <v>2266.1169</v>
      </c>
      <c r="K107" s="145">
        <f>A107+F107</f>
        <v>115.36</v>
      </c>
      <c r="L107" s="144">
        <f t="shared" si="45"/>
        <v>195.91499999999999</v>
      </c>
      <c r="M107" s="144">
        <f t="shared" si="45"/>
        <v>1639.2177999999999</v>
      </c>
      <c r="N107" s="144">
        <f t="shared" si="45"/>
        <v>2014.7001</v>
      </c>
      <c r="O107" s="144">
        <f>E107+J107</f>
        <v>3965.1929</v>
      </c>
      <c r="P107" s="146"/>
      <c r="Q107" s="147" t="s">
        <v>82</v>
      </c>
      <c r="R107" s="151"/>
    </row>
    <row r="108" spans="1:18" s="65" customFormat="1" ht="11.25" x14ac:dyDescent="0.2">
      <c r="A108" s="148">
        <v>0</v>
      </c>
      <c r="B108" s="144">
        <v>177.386</v>
      </c>
      <c r="C108" s="144">
        <v>643.10159999999996</v>
      </c>
      <c r="D108" s="144">
        <v>1078.7437</v>
      </c>
      <c r="E108" s="152">
        <f>SUM(A108:D108)</f>
        <v>1899.2312999999999</v>
      </c>
      <c r="F108" s="144">
        <v>95.238</v>
      </c>
      <c r="G108" s="144">
        <v>17.2607</v>
      </c>
      <c r="H108" s="144">
        <v>964.68399999999997</v>
      </c>
      <c r="I108" s="144">
        <v>1062.7942</v>
      </c>
      <c r="J108" s="149">
        <f>SUM(F108:I108)</f>
        <v>2139.9769000000001</v>
      </c>
      <c r="K108" s="145">
        <f>A108+F108</f>
        <v>95.238</v>
      </c>
      <c r="L108" s="144">
        <f t="shared" si="45"/>
        <v>194.64670000000001</v>
      </c>
      <c r="M108" s="144">
        <f t="shared" si="45"/>
        <v>1607.7855999999999</v>
      </c>
      <c r="N108" s="144">
        <f t="shared" si="45"/>
        <v>2141.5379000000003</v>
      </c>
      <c r="O108" s="144">
        <f>E108+J108</f>
        <v>4039.2082</v>
      </c>
      <c r="P108" s="146"/>
      <c r="Q108" s="147" t="s">
        <v>83</v>
      </c>
      <c r="R108" s="151"/>
    </row>
    <row r="109" spans="1:18" s="65" customFormat="1" ht="11.25" x14ac:dyDescent="0.2">
      <c r="A109" s="148">
        <f>SUM(A106:A108)</f>
        <v>0</v>
      </c>
      <c r="B109" s="144">
        <f>SUM(B106:B108)</f>
        <v>491.00299999999993</v>
      </c>
      <c r="C109" s="144">
        <f t="shared" ref="C109:N109" si="46">SUM(C106:C108)</f>
        <v>1955.2203999999999</v>
      </c>
      <c r="D109" s="144">
        <f t="shared" si="46"/>
        <v>2849.9426000000003</v>
      </c>
      <c r="E109" s="152">
        <f t="shared" si="46"/>
        <v>5296.1659999999993</v>
      </c>
      <c r="F109" s="144">
        <f>SUM(F106:F108)</f>
        <v>273.411</v>
      </c>
      <c r="G109" s="144">
        <f t="shared" si="46"/>
        <v>41.4557</v>
      </c>
      <c r="H109" s="144">
        <f t="shared" si="46"/>
        <v>2903.9080999999996</v>
      </c>
      <c r="I109" s="144">
        <f t="shared" si="46"/>
        <v>3217.3559000000005</v>
      </c>
      <c r="J109" s="149">
        <f t="shared" si="46"/>
        <v>6436.1306999999997</v>
      </c>
      <c r="K109" s="145">
        <f t="shared" si="46"/>
        <v>273.411</v>
      </c>
      <c r="L109" s="144">
        <f t="shared" si="46"/>
        <v>532.45870000000002</v>
      </c>
      <c r="M109" s="144">
        <f t="shared" si="46"/>
        <v>4859.1284999999998</v>
      </c>
      <c r="N109" s="144">
        <f t="shared" si="46"/>
        <v>6067.2985000000008</v>
      </c>
      <c r="O109" s="144">
        <f>SUM(O106:O108)</f>
        <v>11732.296699999999</v>
      </c>
      <c r="P109" s="146"/>
      <c r="Q109" s="147" t="s">
        <v>54</v>
      </c>
      <c r="R109" s="151"/>
    </row>
    <row r="110" spans="1:18" s="65" customFormat="1" ht="11.25" x14ac:dyDescent="0.2">
      <c r="A110" s="148">
        <v>10.558999999999999</v>
      </c>
      <c r="B110" s="144">
        <v>152.15199999999999</v>
      </c>
      <c r="C110" s="144">
        <v>537.1617</v>
      </c>
      <c r="D110" s="144">
        <v>922.88049999999998</v>
      </c>
      <c r="E110" s="152">
        <f>SUM(A110:D110)</f>
        <v>1622.7532000000001</v>
      </c>
      <c r="F110" s="144">
        <v>71.861000000000004</v>
      </c>
      <c r="G110" s="144">
        <v>15.834</v>
      </c>
      <c r="H110" s="144">
        <v>1040.6796999999999</v>
      </c>
      <c r="I110" s="144">
        <v>1026.5406</v>
      </c>
      <c r="J110" s="149">
        <f>SUM(F110:I110)</f>
        <v>2154.9152999999997</v>
      </c>
      <c r="K110" s="145">
        <f>A110+F110</f>
        <v>82.42</v>
      </c>
      <c r="L110" s="144">
        <f t="shared" ref="L110:O112" si="47">B110+G110</f>
        <v>167.98599999999999</v>
      </c>
      <c r="M110" s="144">
        <f t="shared" si="47"/>
        <v>1577.8413999999998</v>
      </c>
      <c r="N110" s="144">
        <f t="shared" si="47"/>
        <v>1949.4211</v>
      </c>
      <c r="O110" s="144">
        <f t="shared" si="47"/>
        <v>3777.6684999999998</v>
      </c>
      <c r="P110" s="146"/>
      <c r="Q110" s="147" t="s">
        <v>85</v>
      </c>
      <c r="R110" s="151"/>
    </row>
    <row r="111" spans="1:18" s="65" customFormat="1" ht="11.25" x14ac:dyDescent="0.2">
      <c r="A111" s="148">
        <v>9.452</v>
      </c>
      <c r="B111" s="144">
        <v>264.52300000000002</v>
      </c>
      <c r="C111" s="144">
        <v>573.13530000000003</v>
      </c>
      <c r="D111" s="144">
        <v>918.25440000000003</v>
      </c>
      <c r="E111" s="152">
        <f>SUM(A111:D111)</f>
        <v>1765.3647000000001</v>
      </c>
      <c r="F111" s="144">
        <v>106.24299999999999</v>
      </c>
      <c r="G111" s="144">
        <v>18.038</v>
      </c>
      <c r="H111" s="144">
        <v>1177.5415</v>
      </c>
      <c r="I111" s="144">
        <v>1119.9576</v>
      </c>
      <c r="J111" s="149">
        <f>SUM(F111:I111)</f>
        <v>2421.7800999999999</v>
      </c>
      <c r="K111" s="145">
        <f>A111+F111</f>
        <v>115.69499999999999</v>
      </c>
      <c r="L111" s="144">
        <f t="shared" si="47"/>
        <v>282.56100000000004</v>
      </c>
      <c r="M111" s="144">
        <f t="shared" ref="M111:O112" si="48">C111+H111</f>
        <v>1750.6768000000002</v>
      </c>
      <c r="N111" s="144">
        <f t="shared" si="48"/>
        <v>2038.212</v>
      </c>
      <c r="O111" s="144">
        <f t="shared" si="48"/>
        <v>4187.1448</v>
      </c>
      <c r="P111" s="146"/>
      <c r="Q111" s="147" t="s">
        <v>86</v>
      </c>
      <c r="R111" s="151"/>
    </row>
    <row r="112" spans="1:18" s="65" customFormat="1" ht="11.25" x14ac:dyDescent="0.2">
      <c r="A112" s="148">
        <v>0</v>
      </c>
      <c r="B112" s="144">
        <v>190.08099999999999</v>
      </c>
      <c r="C112" s="144">
        <v>544.50049999999999</v>
      </c>
      <c r="D112" s="144">
        <v>818.4701</v>
      </c>
      <c r="E112" s="152">
        <f>SUM(A112:D112)</f>
        <v>1553.0516</v>
      </c>
      <c r="F112" s="144">
        <v>58.637</v>
      </c>
      <c r="G112" s="144">
        <v>12.308999999999999</v>
      </c>
      <c r="H112" s="144">
        <v>920.36339999999996</v>
      </c>
      <c r="I112" s="144">
        <v>838.41800000000001</v>
      </c>
      <c r="J112" s="149">
        <f>SUM(F112:I112)</f>
        <v>1829.7274</v>
      </c>
      <c r="K112" s="145">
        <f>A112+F112</f>
        <v>58.637</v>
      </c>
      <c r="L112" s="144">
        <f t="shared" si="47"/>
        <v>202.39</v>
      </c>
      <c r="M112" s="144">
        <f t="shared" si="48"/>
        <v>1464.8638999999998</v>
      </c>
      <c r="N112" s="144">
        <f t="shared" si="48"/>
        <v>1656.8881000000001</v>
      </c>
      <c r="O112" s="144">
        <f t="shared" si="48"/>
        <v>3382.779</v>
      </c>
      <c r="P112" s="146"/>
      <c r="Q112" s="147" t="s">
        <v>87</v>
      </c>
      <c r="R112" s="151"/>
    </row>
    <row r="113" spans="1:18" s="65" customFormat="1" ht="11.25" x14ac:dyDescent="0.2">
      <c r="A113" s="148">
        <f>SUM(A110:A112)</f>
        <v>20.010999999999999</v>
      </c>
      <c r="B113" s="144">
        <f t="shared" ref="B113:N113" si="49">SUM(B110:B112)</f>
        <v>606.75599999999997</v>
      </c>
      <c r="C113" s="144">
        <f t="shared" si="49"/>
        <v>1654.7975000000001</v>
      </c>
      <c r="D113" s="144">
        <f t="shared" si="49"/>
        <v>2659.605</v>
      </c>
      <c r="E113" s="152">
        <f t="shared" si="49"/>
        <v>4941.1695</v>
      </c>
      <c r="F113" s="144">
        <f>SUM(F110:F112)</f>
        <v>236.74099999999999</v>
      </c>
      <c r="G113" s="144">
        <f t="shared" si="49"/>
        <v>46.180999999999997</v>
      </c>
      <c r="H113" s="144">
        <f t="shared" si="49"/>
        <v>3138.5846000000001</v>
      </c>
      <c r="I113" s="144">
        <f>SUM(I110:I112)</f>
        <v>2984.9162000000001</v>
      </c>
      <c r="J113" s="149">
        <f>SUM(J110:J112)</f>
        <v>6406.4227999999994</v>
      </c>
      <c r="K113" s="145">
        <f t="shared" si="49"/>
        <v>256.75200000000001</v>
      </c>
      <c r="L113" s="144">
        <f t="shared" si="49"/>
        <v>652.93700000000001</v>
      </c>
      <c r="M113" s="144">
        <f t="shared" si="49"/>
        <v>4793.3820999999998</v>
      </c>
      <c r="N113" s="144">
        <f t="shared" si="49"/>
        <v>5644.5212000000001</v>
      </c>
      <c r="O113" s="144">
        <f>SUM(O110:O112)</f>
        <v>11347.5923</v>
      </c>
      <c r="P113" s="146"/>
      <c r="Q113" s="147" t="s">
        <v>55</v>
      </c>
      <c r="R113" s="151"/>
    </row>
    <row r="114" spans="1:18" s="65" customFormat="1" ht="11.25" x14ac:dyDescent="0.2">
      <c r="A114" s="148">
        <v>0</v>
      </c>
      <c r="B114" s="144">
        <v>158.721</v>
      </c>
      <c r="C114" s="144">
        <v>564.45219999999995</v>
      </c>
      <c r="D114" s="144">
        <v>860.06600000000003</v>
      </c>
      <c r="E114" s="152">
        <f>SUM(A114:D114)</f>
        <v>1583.2392</v>
      </c>
      <c r="F114" s="144">
        <v>115.9</v>
      </c>
      <c r="G114" s="144">
        <v>13.74</v>
      </c>
      <c r="H114" s="144">
        <v>987.70690000000002</v>
      </c>
      <c r="I114" s="144">
        <v>1140.2193</v>
      </c>
      <c r="J114" s="149">
        <f>SUM(F114:I114)</f>
        <v>2257.5662000000002</v>
      </c>
      <c r="K114" s="145">
        <f t="shared" ref="K114:O116" si="50">A114+F114</f>
        <v>115.9</v>
      </c>
      <c r="L114" s="144">
        <f t="shared" si="50"/>
        <v>172.46100000000001</v>
      </c>
      <c r="M114" s="144">
        <f t="shared" si="50"/>
        <v>1552.1590999999999</v>
      </c>
      <c r="N114" s="144">
        <f t="shared" si="50"/>
        <v>2000.2853</v>
      </c>
      <c r="O114" s="144">
        <f t="shared" si="50"/>
        <v>3840.8054000000002</v>
      </c>
      <c r="P114" s="146"/>
      <c r="Q114" s="147" t="s">
        <v>89</v>
      </c>
      <c r="R114" s="151"/>
    </row>
    <row r="115" spans="1:18" s="65" customFormat="1" ht="11.25" x14ac:dyDescent="0.2">
      <c r="A115" s="148">
        <v>3.2120000000000002</v>
      </c>
      <c r="B115" s="144">
        <v>235.685</v>
      </c>
      <c r="C115" s="144">
        <v>504.48309999999998</v>
      </c>
      <c r="D115" s="144">
        <v>762.31269999999995</v>
      </c>
      <c r="E115" s="152">
        <f>SUM(A115:D115)</f>
        <v>1505.6927999999998</v>
      </c>
      <c r="F115" s="144">
        <v>79.504999999999995</v>
      </c>
      <c r="G115" s="144">
        <v>11.185</v>
      </c>
      <c r="H115" s="144">
        <v>974.16240000000005</v>
      </c>
      <c r="I115" s="144">
        <v>1092.2075</v>
      </c>
      <c r="J115" s="149">
        <f>SUM(F115:I115)</f>
        <v>2157.0599000000002</v>
      </c>
      <c r="K115" s="145">
        <f t="shared" si="50"/>
        <v>82.716999999999999</v>
      </c>
      <c r="L115" s="144">
        <f t="shared" si="50"/>
        <v>246.87</v>
      </c>
      <c r="M115" s="144">
        <f t="shared" si="50"/>
        <v>1478.6455000000001</v>
      </c>
      <c r="N115" s="144">
        <f t="shared" si="50"/>
        <v>1854.5201999999999</v>
      </c>
      <c r="O115" s="144">
        <f t="shared" si="50"/>
        <v>3662.7527</v>
      </c>
      <c r="P115" s="146"/>
      <c r="Q115" s="147" t="s">
        <v>90</v>
      </c>
      <c r="R115" s="151"/>
    </row>
    <row r="116" spans="1:18" s="65" customFormat="1" ht="11.25" x14ac:dyDescent="0.2">
      <c r="A116" s="148">
        <v>0</v>
      </c>
      <c r="B116" s="144">
        <v>214.374</v>
      </c>
      <c r="C116" s="144">
        <v>593.62090000000001</v>
      </c>
      <c r="D116" s="144">
        <v>734.07410000000004</v>
      </c>
      <c r="E116" s="152">
        <f>SUM(A116:D116)</f>
        <v>1542.069</v>
      </c>
      <c r="F116" s="144">
        <v>58.957000000000001</v>
      </c>
      <c r="G116" s="144">
        <v>8.3729999999999993</v>
      </c>
      <c r="H116" s="144">
        <v>970.76490000000001</v>
      </c>
      <c r="I116" s="144">
        <v>908.30949999999996</v>
      </c>
      <c r="J116" s="149">
        <f>SUM(F116:I116)</f>
        <v>1946.4043999999999</v>
      </c>
      <c r="K116" s="145">
        <f t="shared" si="50"/>
        <v>58.957000000000001</v>
      </c>
      <c r="L116" s="144">
        <f t="shared" si="50"/>
        <v>222.74699999999999</v>
      </c>
      <c r="M116" s="144">
        <f t="shared" si="50"/>
        <v>1564.3858</v>
      </c>
      <c r="N116" s="144">
        <f t="shared" si="50"/>
        <v>1642.3836000000001</v>
      </c>
      <c r="O116" s="144">
        <f t="shared" si="50"/>
        <v>3488.4733999999999</v>
      </c>
      <c r="P116" s="146"/>
      <c r="Q116" s="147" t="s">
        <v>91</v>
      </c>
      <c r="R116" s="151"/>
    </row>
    <row r="117" spans="1:18" s="65" customFormat="1" ht="11.25" x14ac:dyDescent="0.2">
      <c r="A117" s="145">
        <f t="shared" ref="A117:J117" si="51">SUM(A114:A116)</f>
        <v>3.2120000000000002</v>
      </c>
      <c r="B117" s="144">
        <f t="shared" si="51"/>
        <v>608.78</v>
      </c>
      <c r="C117" s="144">
        <f t="shared" si="51"/>
        <v>1662.5562</v>
      </c>
      <c r="D117" s="144">
        <f t="shared" si="51"/>
        <v>2356.4528</v>
      </c>
      <c r="E117" s="152">
        <f t="shared" si="51"/>
        <v>4631.0010000000002</v>
      </c>
      <c r="F117" s="144">
        <f t="shared" si="51"/>
        <v>254.36199999999999</v>
      </c>
      <c r="G117" s="144">
        <f t="shared" si="51"/>
        <v>33.298000000000002</v>
      </c>
      <c r="H117" s="144">
        <f t="shared" si="51"/>
        <v>2932.6342</v>
      </c>
      <c r="I117" s="144">
        <f t="shared" si="51"/>
        <v>3140.7363</v>
      </c>
      <c r="J117" s="149">
        <f t="shared" si="51"/>
        <v>6361.0305000000008</v>
      </c>
      <c r="K117" s="145">
        <f>SUM(K114:K116)</f>
        <v>257.57400000000001</v>
      </c>
      <c r="L117" s="144">
        <f>SUM(L114:L116)</f>
        <v>642.07799999999997</v>
      </c>
      <c r="M117" s="144">
        <f>SUM(M114:M116)</f>
        <v>4595.1903999999995</v>
      </c>
      <c r="N117" s="144">
        <f>SUM(N114:N116)</f>
        <v>5497.1890999999996</v>
      </c>
      <c r="O117" s="144">
        <f>SUM(J117,E117)</f>
        <v>10992.031500000001</v>
      </c>
      <c r="P117" s="146"/>
      <c r="Q117" s="147" t="s">
        <v>56</v>
      </c>
      <c r="R117" s="151"/>
    </row>
    <row r="118" spans="1:18" s="65" customFormat="1" ht="11.25" x14ac:dyDescent="0.2">
      <c r="A118" s="145"/>
      <c r="B118" s="153"/>
      <c r="C118" s="153"/>
      <c r="D118" s="153"/>
      <c r="E118" s="153"/>
      <c r="F118" s="154"/>
      <c r="G118" s="153"/>
      <c r="H118" s="153"/>
      <c r="I118" s="153"/>
      <c r="J118" s="149"/>
      <c r="K118" s="145"/>
      <c r="L118" s="144"/>
      <c r="M118" s="144"/>
      <c r="N118" s="144"/>
      <c r="O118" s="144"/>
      <c r="P118" s="146"/>
      <c r="Q118" s="147"/>
      <c r="R118" s="151"/>
    </row>
    <row r="119" spans="1:18" s="65" customFormat="1" ht="11.25" x14ac:dyDescent="0.2">
      <c r="A119" s="145">
        <v>3.46</v>
      </c>
      <c r="B119" s="144">
        <v>42.875999999999998</v>
      </c>
      <c r="C119" s="144">
        <v>544.43619999999999</v>
      </c>
      <c r="D119" s="144">
        <v>910.29290000000003</v>
      </c>
      <c r="E119" s="152">
        <f>SUM(A119:D119)</f>
        <v>1501.0651</v>
      </c>
      <c r="F119" s="144">
        <v>86.066000000000003</v>
      </c>
      <c r="G119" s="144">
        <v>5.4269999999999996</v>
      </c>
      <c r="H119" s="144">
        <v>1110.2308</v>
      </c>
      <c r="I119" s="144">
        <v>1141.8406</v>
      </c>
      <c r="J119" s="149">
        <f>SUM(F119:I119)</f>
        <v>2343.5644000000002</v>
      </c>
      <c r="K119" s="145">
        <f t="shared" ref="K119:O121" si="52">A119+F119</f>
        <v>89.525999999999996</v>
      </c>
      <c r="L119" s="144">
        <f t="shared" si="52"/>
        <v>48.302999999999997</v>
      </c>
      <c r="M119" s="144">
        <f t="shared" si="52"/>
        <v>1654.6669999999999</v>
      </c>
      <c r="N119" s="144">
        <f t="shared" si="52"/>
        <v>2052.1334999999999</v>
      </c>
      <c r="O119" s="144">
        <f t="shared" si="52"/>
        <v>3844.6295</v>
      </c>
      <c r="P119" s="146"/>
      <c r="Q119" s="147" t="s">
        <v>78</v>
      </c>
      <c r="R119" s="151">
        <v>2012</v>
      </c>
    </row>
    <row r="120" spans="1:18" s="65" customFormat="1" ht="11.25" x14ac:dyDescent="0.2">
      <c r="A120" s="145">
        <v>21.2</v>
      </c>
      <c r="B120" s="144">
        <v>121.43300000000001</v>
      </c>
      <c r="C120" s="144">
        <v>462.26400000000001</v>
      </c>
      <c r="D120" s="144">
        <v>726.62900000000002</v>
      </c>
      <c r="E120" s="152">
        <f>SUM(A120:D120)</f>
        <v>1331.5260000000001</v>
      </c>
      <c r="F120" s="144">
        <v>59.585999999999999</v>
      </c>
      <c r="G120" s="144">
        <v>8.718</v>
      </c>
      <c r="H120" s="144">
        <v>841.04970000000003</v>
      </c>
      <c r="I120" s="144">
        <v>893.78689999999995</v>
      </c>
      <c r="J120" s="149">
        <f>SUM(F120:I120)</f>
        <v>1803.1405999999999</v>
      </c>
      <c r="K120" s="145">
        <f t="shared" si="52"/>
        <v>80.786000000000001</v>
      </c>
      <c r="L120" s="144">
        <f t="shared" si="52"/>
        <v>130.15100000000001</v>
      </c>
      <c r="M120" s="144">
        <f t="shared" si="52"/>
        <v>1303.3137000000002</v>
      </c>
      <c r="N120" s="144">
        <f t="shared" si="52"/>
        <v>1620.4159</v>
      </c>
      <c r="O120" s="144">
        <f t="shared" si="52"/>
        <v>3134.6666</v>
      </c>
      <c r="P120" s="146"/>
      <c r="Q120" s="147" t="s">
        <v>79</v>
      </c>
      <c r="R120" s="151"/>
    </row>
    <row r="121" spans="1:18" s="65" customFormat="1" ht="11.25" x14ac:dyDescent="0.2">
      <c r="A121" s="145">
        <v>0.504</v>
      </c>
      <c r="B121" s="144">
        <v>172.05799999999999</v>
      </c>
      <c r="C121" s="144">
        <v>632.71510000000001</v>
      </c>
      <c r="D121" s="144">
        <v>1029.1574000000001</v>
      </c>
      <c r="E121" s="152">
        <f>SUM(A121:D121)</f>
        <v>1834.4345000000001</v>
      </c>
      <c r="F121" s="144">
        <v>128.673</v>
      </c>
      <c r="G121" s="144">
        <v>6.8129999999999997</v>
      </c>
      <c r="H121" s="144">
        <v>991.73810000000003</v>
      </c>
      <c r="I121" s="144">
        <v>1249.4070999999999</v>
      </c>
      <c r="J121" s="149">
        <f>SUM(F121:I121)</f>
        <v>2376.6311999999998</v>
      </c>
      <c r="K121" s="145">
        <f t="shared" si="52"/>
        <v>129.17699999999999</v>
      </c>
      <c r="L121" s="144">
        <f t="shared" si="52"/>
        <v>178.87099999999998</v>
      </c>
      <c r="M121" s="144">
        <f t="shared" si="52"/>
        <v>1624.4531999999999</v>
      </c>
      <c r="N121" s="144">
        <f t="shared" si="52"/>
        <v>2278.5645</v>
      </c>
      <c r="O121" s="144">
        <f t="shared" si="52"/>
        <v>4211.0657000000001</v>
      </c>
      <c r="P121" s="146"/>
      <c r="Q121" s="147" t="s">
        <v>80</v>
      </c>
      <c r="R121" s="151"/>
    </row>
    <row r="122" spans="1:18" s="65" customFormat="1" ht="10.5" customHeight="1" x14ac:dyDescent="0.2">
      <c r="A122" s="145">
        <f t="shared" ref="A122:N122" si="53">SUM(A119:A121)</f>
        <v>25.164000000000001</v>
      </c>
      <c r="B122" s="144">
        <f t="shared" si="53"/>
        <v>336.36699999999996</v>
      </c>
      <c r="C122" s="144">
        <f t="shared" si="53"/>
        <v>1639.4153000000001</v>
      </c>
      <c r="D122" s="144">
        <f t="shared" si="53"/>
        <v>2666.0793000000003</v>
      </c>
      <c r="E122" s="152">
        <f t="shared" si="53"/>
        <v>4667.0255999999999</v>
      </c>
      <c r="F122" s="144">
        <f t="shared" si="53"/>
        <v>274.32499999999999</v>
      </c>
      <c r="G122" s="144">
        <f t="shared" si="53"/>
        <v>20.957999999999998</v>
      </c>
      <c r="H122" s="144">
        <f t="shared" si="53"/>
        <v>2943.0186000000003</v>
      </c>
      <c r="I122" s="144">
        <f>SUM(I119:I121)</f>
        <v>3285.0346</v>
      </c>
      <c r="J122" s="149">
        <f>SUM(J119:J121)</f>
        <v>6523.3361999999997</v>
      </c>
      <c r="K122" s="145">
        <f t="shared" si="53"/>
        <v>299.48900000000003</v>
      </c>
      <c r="L122" s="144">
        <f>SUM(L119:L121)</f>
        <v>357.32499999999999</v>
      </c>
      <c r="M122" s="144">
        <f t="shared" si="53"/>
        <v>4582.4339</v>
      </c>
      <c r="N122" s="144">
        <f t="shared" si="53"/>
        <v>5951.1139000000003</v>
      </c>
      <c r="O122" s="144">
        <f>SUM(O119:O121)</f>
        <v>11190.361799999999</v>
      </c>
      <c r="P122" s="146"/>
      <c r="Q122" s="147" t="s">
        <v>53</v>
      </c>
      <c r="R122" s="175">
        <v>2012</v>
      </c>
    </row>
    <row r="123" spans="1:18" s="65" customFormat="1" ht="11.25" x14ac:dyDescent="0.2">
      <c r="A123" s="145">
        <v>7</v>
      </c>
      <c r="B123" s="144">
        <v>155.803</v>
      </c>
      <c r="C123" s="144">
        <v>688.06230000000005</v>
      </c>
      <c r="D123" s="144">
        <v>889.15869999999995</v>
      </c>
      <c r="E123" s="152">
        <f>SUM(A123:D123)</f>
        <v>1740.0239999999999</v>
      </c>
      <c r="F123" s="144">
        <v>109.991</v>
      </c>
      <c r="G123" s="144">
        <v>10.76</v>
      </c>
      <c r="H123" s="144">
        <v>1047.5354</v>
      </c>
      <c r="I123" s="144">
        <v>1175.2405000000001</v>
      </c>
      <c r="J123" s="149">
        <f>SUM(F123:I123)</f>
        <v>2343.5268999999998</v>
      </c>
      <c r="K123" s="145">
        <f>A123+F123</f>
        <v>116.991</v>
      </c>
      <c r="L123" s="144">
        <f t="shared" ref="L123:O124" si="54">B123+G123</f>
        <v>166.56299999999999</v>
      </c>
      <c r="M123" s="144">
        <f t="shared" si="54"/>
        <v>1735.5977</v>
      </c>
      <c r="N123" s="144">
        <f t="shared" si="54"/>
        <v>2064.3991999999998</v>
      </c>
      <c r="O123" s="144">
        <f t="shared" si="54"/>
        <v>4083.5508999999997</v>
      </c>
      <c r="P123" s="146"/>
      <c r="Q123" s="147" t="s">
        <v>68</v>
      </c>
      <c r="R123" s="175"/>
    </row>
    <row r="124" spans="1:18" s="65" customFormat="1" ht="11.25" x14ac:dyDescent="0.2">
      <c r="A124" s="145">
        <v>0</v>
      </c>
      <c r="B124" s="144">
        <v>147.27600000000001</v>
      </c>
      <c r="C124" s="144">
        <v>766.80370000000005</v>
      </c>
      <c r="D124" s="144">
        <v>1019.7624</v>
      </c>
      <c r="E124" s="152">
        <f>SUM(A124:D124)</f>
        <v>1933.8420999999998</v>
      </c>
      <c r="F124" s="144">
        <v>109.63200000000001</v>
      </c>
      <c r="G124" s="144">
        <v>7.915</v>
      </c>
      <c r="H124" s="144">
        <v>1167.8181999999999</v>
      </c>
      <c r="I124" s="144">
        <v>1257.5202999999999</v>
      </c>
      <c r="J124" s="149">
        <f>SUM(F124:I124)</f>
        <v>2542.8854999999999</v>
      </c>
      <c r="K124" s="145">
        <f>A124+F124</f>
        <v>109.63200000000001</v>
      </c>
      <c r="L124" s="144">
        <f t="shared" si="54"/>
        <v>155.191</v>
      </c>
      <c r="M124" s="144">
        <f t="shared" si="54"/>
        <v>1934.6219000000001</v>
      </c>
      <c r="N124" s="144">
        <f t="shared" si="54"/>
        <v>2277.2826999999997</v>
      </c>
      <c r="O124" s="144">
        <f t="shared" si="54"/>
        <v>4476.7276000000002</v>
      </c>
      <c r="P124" s="146"/>
      <c r="Q124" s="147" t="s">
        <v>82</v>
      </c>
      <c r="R124" s="175"/>
    </row>
    <row r="125" spans="1:18" s="65" customFormat="1" ht="11.25" x14ac:dyDescent="0.2">
      <c r="A125" s="145">
        <v>0</v>
      </c>
      <c r="B125" s="144">
        <v>166.25299999999999</v>
      </c>
      <c r="C125" s="144">
        <v>650.22619999999995</v>
      </c>
      <c r="D125" s="144">
        <v>904.63459999999998</v>
      </c>
      <c r="E125" s="152">
        <f>SUM(A125:D125)</f>
        <v>1721.1138000000001</v>
      </c>
      <c r="F125" s="144">
        <v>116.89</v>
      </c>
      <c r="G125" s="144">
        <v>12.571999999999999</v>
      </c>
      <c r="H125" s="144">
        <v>1003.5314</v>
      </c>
      <c r="I125" s="144">
        <v>1004.7742</v>
      </c>
      <c r="J125" s="149">
        <f>SUM(F125:I125)</f>
        <v>2137.7675999999997</v>
      </c>
      <c r="K125" s="145">
        <f>A125+F125</f>
        <v>116.89</v>
      </c>
      <c r="L125" s="144">
        <f>B125+G125</f>
        <v>178.82499999999999</v>
      </c>
      <c r="M125" s="144">
        <f>C125+H125</f>
        <v>1653.7575999999999</v>
      </c>
      <c r="N125" s="144">
        <f>D125+I125</f>
        <v>1909.4087999999999</v>
      </c>
      <c r="O125" s="144">
        <f>E125+J125</f>
        <v>3858.8813999999998</v>
      </c>
      <c r="P125" s="146"/>
      <c r="Q125" s="147" t="s">
        <v>83</v>
      </c>
      <c r="R125" s="175"/>
    </row>
    <row r="126" spans="1:18" s="65" customFormat="1" ht="11.25" x14ac:dyDescent="0.2">
      <c r="A126" s="145">
        <f t="shared" ref="A126:N126" si="55">SUM(A123:A125)</f>
        <v>7</v>
      </c>
      <c r="B126" s="144">
        <f t="shared" si="55"/>
        <v>469.33199999999999</v>
      </c>
      <c r="C126" s="144">
        <f t="shared" si="55"/>
        <v>2105.0922</v>
      </c>
      <c r="D126" s="144">
        <f t="shared" si="55"/>
        <v>2813.5556999999999</v>
      </c>
      <c r="E126" s="152">
        <f t="shared" si="55"/>
        <v>5394.9799000000003</v>
      </c>
      <c r="F126" s="144">
        <f t="shared" si="55"/>
        <v>336.51299999999998</v>
      </c>
      <c r="G126" s="144">
        <f>SUM(G123:G125)</f>
        <v>31.247</v>
      </c>
      <c r="H126" s="144">
        <f>SUM(H123:H125)</f>
        <v>3218.8849999999998</v>
      </c>
      <c r="I126" s="144">
        <f t="shared" si="55"/>
        <v>3437.5349999999999</v>
      </c>
      <c r="J126" s="149">
        <f>SUM(J123:J125)</f>
        <v>7024.1799999999985</v>
      </c>
      <c r="K126" s="145">
        <f t="shared" si="55"/>
        <v>343.51299999999998</v>
      </c>
      <c r="L126" s="144">
        <f t="shared" si="55"/>
        <v>500.57900000000001</v>
      </c>
      <c r="M126" s="144">
        <f t="shared" si="55"/>
        <v>5323.9772000000003</v>
      </c>
      <c r="N126" s="144">
        <f t="shared" si="55"/>
        <v>6251.0906999999997</v>
      </c>
      <c r="O126" s="144">
        <f>SUM(O123:O125)</f>
        <v>12419.159900000001</v>
      </c>
      <c r="P126" s="146"/>
      <c r="Q126" s="147" t="s">
        <v>54</v>
      </c>
      <c r="R126" s="175"/>
    </row>
    <row r="127" spans="1:18" s="65" customFormat="1" ht="11.25" x14ac:dyDescent="0.2">
      <c r="A127" s="145">
        <v>0</v>
      </c>
      <c r="B127" s="144">
        <v>145.57900000000001</v>
      </c>
      <c r="C127" s="144">
        <v>694.94640000000004</v>
      </c>
      <c r="D127" s="144">
        <v>899.49950000000001</v>
      </c>
      <c r="E127" s="152">
        <f>SUM(A127:D127)</f>
        <v>1740.0248999999999</v>
      </c>
      <c r="F127" s="144">
        <v>154.29400000000001</v>
      </c>
      <c r="G127" s="144">
        <v>10.792</v>
      </c>
      <c r="H127" s="144">
        <v>1190.3945000000001</v>
      </c>
      <c r="I127" s="144">
        <v>1115.6078</v>
      </c>
      <c r="J127" s="149">
        <f>SUM(F127:I127)</f>
        <v>2471.0883000000003</v>
      </c>
      <c r="K127" s="145">
        <f t="shared" ref="K127:O129" si="56">A127+F127</f>
        <v>154.29400000000001</v>
      </c>
      <c r="L127" s="144">
        <f t="shared" si="56"/>
        <v>156.37100000000001</v>
      </c>
      <c r="M127" s="144">
        <f t="shared" si="56"/>
        <v>1885.3409000000001</v>
      </c>
      <c r="N127" s="144">
        <f t="shared" si="56"/>
        <v>2015.1073000000001</v>
      </c>
      <c r="O127" s="144">
        <f t="shared" si="56"/>
        <v>4211.1131999999998</v>
      </c>
      <c r="P127" s="146"/>
      <c r="Q127" s="147" t="s">
        <v>85</v>
      </c>
      <c r="R127" s="175"/>
    </row>
    <row r="128" spans="1:18" s="65" customFormat="1" ht="11.25" x14ac:dyDescent="0.2">
      <c r="A128" s="145">
        <v>0</v>
      </c>
      <c r="B128" s="144">
        <v>128.75399999999999</v>
      </c>
      <c r="C128" s="144">
        <v>707.31510000000003</v>
      </c>
      <c r="D128" s="144">
        <v>818.39639999999997</v>
      </c>
      <c r="E128" s="152">
        <f>SUM(A128:D128)</f>
        <v>1654.4655</v>
      </c>
      <c r="F128" s="144">
        <v>105.051</v>
      </c>
      <c r="G128" s="144">
        <v>2.4820000000000002</v>
      </c>
      <c r="H128" s="144">
        <v>1230.6013</v>
      </c>
      <c r="I128" s="144">
        <v>1238.8322000000001</v>
      </c>
      <c r="J128" s="149">
        <f>SUM(F128:I128)</f>
        <v>2576.9665</v>
      </c>
      <c r="K128" s="145">
        <f t="shared" si="56"/>
        <v>105.051</v>
      </c>
      <c r="L128" s="144">
        <f t="shared" si="56"/>
        <v>131.23599999999999</v>
      </c>
      <c r="M128" s="144">
        <f t="shared" si="56"/>
        <v>1937.9164000000001</v>
      </c>
      <c r="N128" s="144">
        <f t="shared" si="56"/>
        <v>2057.2285999999999</v>
      </c>
      <c r="O128" s="144">
        <f t="shared" si="56"/>
        <v>4231.4319999999998</v>
      </c>
      <c r="P128" s="146"/>
      <c r="Q128" s="147" t="s">
        <v>86</v>
      </c>
      <c r="R128" s="175"/>
    </row>
    <row r="129" spans="1:18" s="65" customFormat="1" ht="11.25" x14ac:dyDescent="0.2">
      <c r="A129" s="145">
        <v>0</v>
      </c>
      <c r="B129" s="144">
        <v>122.59099999999999</v>
      </c>
      <c r="C129" s="144">
        <v>498.202</v>
      </c>
      <c r="D129" s="144">
        <v>795.19590000000005</v>
      </c>
      <c r="E129" s="152">
        <f>SUM(A129:D129)</f>
        <v>1415.9889000000001</v>
      </c>
      <c r="F129" s="144">
        <v>89.108000000000004</v>
      </c>
      <c r="G129" s="144">
        <v>10.173999999999999</v>
      </c>
      <c r="H129" s="144">
        <v>878.83929999999998</v>
      </c>
      <c r="I129" s="144">
        <v>1031.7109</v>
      </c>
      <c r="J129" s="149">
        <f>SUM(F129:I129)</f>
        <v>2009.8322000000001</v>
      </c>
      <c r="K129" s="145">
        <f t="shared" si="56"/>
        <v>89.108000000000004</v>
      </c>
      <c r="L129" s="144">
        <f t="shared" si="56"/>
        <v>132.76499999999999</v>
      </c>
      <c r="M129" s="144">
        <f t="shared" si="56"/>
        <v>1377.0412999999999</v>
      </c>
      <c r="N129" s="144">
        <f t="shared" si="56"/>
        <v>1826.9068000000002</v>
      </c>
      <c r="O129" s="144">
        <f t="shared" si="56"/>
        <v>3425.8211000000001</v>
      </c>
      <c r="P129" s="146"/>
      <c r="Q129" s="147" t="s">
        <v>87</v>
      </c>
      <c r="R129" s="175"/>
    </row>
    <row r="130" spans="1:18" s="65" customFormat="1" ht="11.25" x14ac:dyDescent="0.2">
      <c r="A130" s="145">
        <f t="shared" ref="A130:N130" si="57">SUM(A127:A129)</f>
        <v>0</v>
      </c>
      <c r="B130" s="144">
        <f t="shared" si="57"/>
        <v>396.92399999999998</v>
      </c>
      <c r="C130" s="144">
        <f t="shared" si="57"/>
        <v>1900.4635000000001</v>
      </c>
      <c r="D130" s="144">
        <f t="shared" si="57"/>
        <v>2513.0918000000001</v>
      </c>
      <c r="E130" s="152">
        <f t="shared" si="57"/>
        <v>4810.4793</v>
      </c>
      <c r="F130" s="144">
        <f t="shared" si="57"/>
        <v>348.45300000000003</v>
      </c>
      <c r="G130" s="144">
        <f t="shared" si="57"/>
        <v>23.448</v>
      </c>
      <c r="H130" s="144">
        <f>SUM(H127:H129)</f>
        <v>3299.8351000000002</v>
      </c>
      <c r="I130" s="144">
        <f t="shared" si="57"/>
        <v>3386.1509000000001</v>
      </c>
      <c r="J130" s="149">
        <f>SUM(J127:J129)</f>
        <v>7057.8869999999997</v>
      </c>
      <c r="K130" s="145">
        <f t="shared" si="57"/>
        <v>348.45300000000003</v>
      </c>
      <c r="L130" s="144">
        <f t="shared" si="57"/>
        <v>420.37199999999996</v>
      </c>
      <c r="M130" s="144">
        <f t="shared" si="57"/>
        <v>5200.2986000000001</v>
      </c>
      <c r="N130" s="144">
        <f t="shared" si="57"/>
        <v>5899.2427000000007</v>
      </c>
      <c r="O130" s="144">
        <f>SUM(K130:N130)</f>
        <v>11868.366300000002</v>
      </c>
      <c r="P130" s="146"/>
      <c r="Q130" s="147" t="s">
        <v>55</v>
      </c>
      <c r="R130" s="175"/>
    </row>
    <row r="131" spans="1:18" s="65" customFormat="1" ht="11.25" x14ac:dyDescent="0.2">
      <c r="A131" s="145">
        <v>0</v>
      </c>
      <c r="B131" s="144">
        <v>86.025999999999996</v>
      </c>
      <c r="C131" s="144">
        <v>521.76120000000003</v>
      </c>
      <c r="D131" s="144">
        <v>907.57370000000003</v>
      </c>
      <c r="E131" s="152">
        <f>SUM(A131:D131)</f>
        <v>1515.3609000000001</v>
      </c>
      <c r="F131" s="144">
        <v>106.342</v>
      </c>
      <c r="G131" s="144">
        <v>8.9770000000000003</v>
      </c>
      <c r="H131" s="144">
        <v>1094.6595</v>
      </c>
      <c r="I131" s="144">
        <v>1086.5582999999999</v>
      </c>
      <c r="J131" s="149">
        <f>SUM(F131:I131)</f>
        <v>2296.5367999999999</v>
      </c>
      <c r="K131" s="145">
        <f t="shared" ref="K131:O133" si="58">A131+F131</f>
        <v>106.342</v>
      </c>
      <c r="L131" s="144">
        <f t="shared" si="58"/>
        <v>95.003</v>
      </c>
      <c r="M131" s="144">
        <f t="shared" si="58"/>
        <v>1616.4207000000001</v>
      </c>
      <c r="N131" s="144">
        <f t="shared" si="58"/>
        <v>1994.1320000000001</v>
      </c>
      <c r="O131" s="144">
        <f t="shared" si="58"/>
        <v>3811.8977</v>
      </c>
      <c r="P131" s="146"/>
      <c r="Q131" s="147" t="s">
        <v>89</v>
      </c>
      <c r="R131" s="175"/>
    </row>
    <row r="132" spans="1:18" s="65" customFormat="1" ht="11.25" x14ac:dyDescent="0.2">
      <c r="A132" s="145">
        <v>0</v>
      </c>
      <c r="B132" s="144">
        <v>57.302999999999997</v>
      </c>
      <c r="C132" s="144">
        <v>501.30369999999999</v>
      </c>
      <c r="D132" s="144">
        <v>898.24839999999995</v>
      </c>
      <c r="E132" s="152">
        <f>SUM(A132:D132)</f>
        <v>1456.8551</v>
      </c>
      <c r="F132" s="144">
        <v>95.090999999999994</v>
      </c>
      <c r="G132" s="144">
        <v>7.3159999999999998</v>
      </c>
      <c r="H132" s="144">
        <v>878.85550000000001</v>
      </c>
      <c r="I132" s="144">
        <v>976.27710000000002</v>
      </c>
      <c r="J132" s="149">
        <f>SUM(F132:I132)</f>
        <v>1957.5396000000001</v>
      </c>
      <c r="K132" s="145">
        <f t="shared" si="58"/>
        <v>95.090999999999994</v>
      </c>
      <c r="L132" s="144">
        <f t="shared" si="58"/>
        <v>64.619</v>
      </c>
      <c r="M132" s="144">
        <f t="shared" si="58"/>
        <v>1380.1592000000001</v>
      </c>
      <c r="N132" s="144">
        <f t="shared" si="58"/>
        <v>1874.5255</v>
      </c>
      <c r="O132" s="144">
        <f t="shared" si="58"/>
        <v>3414.3946999999998</v>
      </c>
      <c r="P132" s="146"/>
      <c r="Q132" s="147" t="s">
        <v>90</v>
      </c>
      <c r="R132" s="175"/>
    </row>
    <row r="133" spans="1:18" s="65" customFormat="1" ht="11.25" x14ac:dyDescent="0.2">
      <c r="A133" s="145">
        <v>0</v>
      </c>
      <c r="B133" s="144">
        <v>110.25700000000001</v>
      </c>
      <c r="C133" s="144">
        <v>563.63819999999998</v>
      </c>
      <c r="D133" s="144">
        <v>910.88699999999994</v>
      </c>
      <c r="E133" s="152">
        <f>SUM(A133:D133)</f>
        <v>1584.7821999999999</v>
      </c>
      <c r="F133" s="144">
        <v>109.386</v>
      </c>
      <c r="G133" s="144">
        <v>13.624000000000001</v>
      </c>
      <c r="H133" s="144">
        <v>947.48659999999995</v>
      </c>
      <c r="I133" s="144">
        <v>1107.1243999999999</v>
      </c>
      <c r="J133" s="149">
        <f>SUM(F133:I133)</f>
        <v>2177.6210000000001</v>
      </c>
      <c r="K133" s="145">
        <f t="shared" si="58"/>
        <v>109.386</v>
      </c>
      <c r="L133" s="144">
        <f t="shared" si="58"/>
        <v>123.881</v>
      </c>
      <c r="M133" s="144">
        <f t="shared" si="58"/>
        <v>1511.1248000000001</v>
      </c>
      <c r="N133" s="144">
        <f t="shared" si="58"/>
        <v>2018.0113999999999</v>
      </c>
      <c r="O133" s="144">
        <f t="shared" si="58"/>
        <v>3762.4031999999997</v>
      </c>
      <c r="P133" s="146"/>
      <c r="Q133" s="147" t="s">
        <v>91</v>
      </c>
      <c r="R133" s="175"/>
    </row>
    <row r="134" spans="1:18" s="65" customFormat="1" ht="11.25" x14ac:dyDescent="0.2">
      <c r="A134" s="145">
        <f t="shared" ref="A134:J134" si="59">SUM(A131:A133)</f>
        <v>0</v>
      </c>
      <c r="B134" s="144">
        <f t="shared" si="59"/>
        <v>253.58600000000001</v>
      </c>
      <c r="C134" s="144">
        <f t="shared" si="59"/>
        <v>1586.7031000000002</v>
      </c>
      <c r="D134" s="144">
        <f t="shared" si="59"/>
        <v>2716.7091</v>
      </c>
      <c r="E134" s="152">
        <f t="shared" si="59"/>
        <v>4556.9982</v>
      </c>
      <c r="F134" s="144">
        <f t="shared" si="59"/>
        <v>310.81899999999996</v>
      </c>
      <c r="G134" s="144">
        <f t="shared" si="59"/>
        <v>29.917000000000002</v>
      </c>
      <c r="H134" s="144">
        <f t="shared" si="59"/>
        <v>2921.0015999999996</v>
      </c>
      <c r="I134" s="144">
        <f>SUM(I131:I133)</f>
        <v>3169.9597999999996</v>
      </c>
      <c r="J134" s="149">
        <f t="shared" si="59"/>
        <v>6431.6974</v>
      </c>
      <c r="K134" s="145">
        <f>SUM(K131:K133)</f>
        <v>310.81899999999996</v>
      </c>
      <c r="L134" s="144">
        <f>SUM(L131:L133)</f>
        <v>283.50300000000004</v>
      </c>
      <c r="M134" s="144">
        <f>SUM(M131:M133)</f>
        <v>4507.7047000000002</v>
      </c>
      <c r="N134" s="144">
        <f>SUM(N131:N133)</f>
        <v>5886.6689000000006</v>
      </c>
      <c r="O134" s="144">
        <f>SUM(O131:O133)</f>
        <v>10988.695599999999</v>
      </c>
      <c r="P134" s="146"/>
      <c r="Q134" s="147" t="s">
        <v>56</v>
      </c>
      <c r="R134" s="175"/>
    </row>
    <row r="135" spans="1:18" s="65" customFormat="1" ht="11.25" x14ac:dyDescent="0.2">
      <c r="A135" s="145"/>
      <c r="B135" s="144"/>
      <c r="C135" s="144"/>
      <c r="D135" s="144"/>
      <c r="E135" s="152"/>
      <c r="F135" s="144"/>
      <c r="G135" s="144"/>
      <c r="H135" s="144"/>
      <c r="I135" s="144"/>
      <c r="J135" s="149"/>
      <c r="K135" s="145"/>
      <c r="L135" s="144"/>
      <c r="M135" s="144"/>
      <c r="N135" s="144"/>
      <c r="O135" s="144"/>
      <c r="P135" s="146"/>
      <c r="Q135" s="147"/>
      <c r="R135" s="175"/>
    </row>
    <row r="136" spans="1:18" s="65" customFormat="1" ht="11.25" x14ac:dyDescent="0.2">
      <c r="A136" s="145">
        <v>0</v>
      </c>
      <c r="B136" s="144">
        <v>98.090999999999994</v>
      </c>
      <c r="C136" s="144">
        <v>520.84990000000005</v>
      </c>
      <c r="D136" s="144">
        <v>939.78909999999996</v>
      </c>
      <c r="E136" s="152">
        <f>SUM(A136:D136)</f>
        <v>1558.73</v>
      </c>
      <c r="F136" s="144">
        <v>105.068</v>
      </c>
      <c r="G136" s="144">
        <v>8.81</v>
      </c>
      <c r="H136" s="144">
        <v>963.50189999999998</v>
      </c>
      <c r="I136" s="144">
        <v>1247.7823000000001</v>
      </c>
      <c r="J136" s="149">
        <f>SUM(F136:I136)</f>
        <v>2325.1621999999998</v>
      </c>
      <c r="K136" s="145">
        <f t="shared" ref="K136:O138" si="60">A136+F136</f>
        <v>105.068</v>
      </c>
      <c r="L136" s="144">
        <f t="shared" si="60"/>
        <v>106.901</v>
      </c>
      <c r="M136" s="144">
        <f t="shared" si="60"/>
        <v>1484.3517999999999</v>
      </c>
      <c r="N136" s="144">
        <f t="shared" si="60"/>
        <v>2187.5713999999998</v>
      </c>
      <c r="O136" s="144">
        <f t="shared" si="60"/>
        <v>3883.8921999999998</v>
      </c>
      <c r="P136" s="146"/>
      <c r="Q136" s="147" t="s">
        <v>78</v>
      </c>
      <c r="R136" s="175">
        <v>2013</v>
      </c>
    </row>
    <row r="137" spans="1:18" s="65" customFormat="1" ht="11.25" x14ac:dyDescent="0.2">
      <c r="A137" s="145">
        <v>0</v>
      </c>
      <c r="B137" s="144">
        <v>156.72200000000001</v>
      </c>
      <c r="C137" s="144">
        <v>635.20450000000005</v>
      </c>
      <c r="D137" s="144">
        <v>916.40290000000005</v>
      </c>
      <c r="E137" s="152">
        <f>SUM(A137:D137)</f>
        <v>1708.3294000000001</v>
      </c>
      <c r="F137" s="144">
        <v>128.41200000000001</v>
      </c>
      <c r="G137" s="144">
        <v>7.2556000000000003</v>
      </c>
      <c r="H137" s="144">
        <v>973.40390000000002</v>
      </c>
      <c r="I137" s="144">
        <v>1190.325</v>
      </c>
      <c r="J137" s="149">
        <f>SUM(F137:I137)</f>
        <v>2299.3964999999998</v>
      </c>
      <c r="K137" s="145">
        <f t="shared" si="60"/>
        <v>128.41200000000001</v>
      </c>
      <c r="L137" s="144">
        <f t="shared" si="60"/>
        <v>163.9776</v>
      </c>
      <c r="M137" s="144">
        <f t="shared" si="60"/>
        <v>1608.6084000000001</v>
      </c>
      <c r="N137" s="144">
        <f t="shared" si="60"/>
        <v>2106.7278999999999</v>
      </c>
      <c r="O137" s="144">
        <f t="shared" si="60"/>
        <v>4007.7258999999999</v>
      </c>
      <c r="P137" s="146"/>
      <c r="Q137" s="147" t="s">
        <v>79</v>
      </c>
      <c r="R137" s="175"/>
    </row>
    <row r="138" spans="1:18" s="65" customFormat="1" ht="11.25" x14ac:dyDescent="0.2">
      <c r="A138" s="145">
        <v>3.95</v>
      </c>
      <c r="B138" s="144">
        <v>181.07499999999999</v>
      </c>
      <c r="C138" s="144">
        <v>639.13419999999996</v>
      </c>
      <c r="D138" s="144">
        <v>1114.6472000000001</v>
      </c>
      <c r="E138" s="152">
        <f>SUM(A138:D138)</f>
        <v>1938.8063999999999</v>
      </c>
      <c r="F138" s="144">
        <v>126.277</v>
      </c>
      <c r="G138" s="144">
        <v>12.7218</v>
      </c>
      <c r="H138" s="144">
        <v>873.91570000000002</v>
      </c>
      <c r="I138" s="144">
        <v>1104.7077999999999</v>
      </c>
      <c r="J138" s="149">
        <f>SUM(F138:I138)</f>
        <v>2117.6223</v>
      </c>
      <c r="K138" s="145">
        <f t="shared" si="60"/>
        <v>130.227</v>
      </c>
      <c r="L138" s="144">
        <f t="shared" si="60"/>
        <v>193.79679999999999</v>
      </c>
      <c r="M138" s="144">
        <f t="shared" si="60"/>
        <v>1513.0499</v>
      </c>
      <c r="N138" s="144">
        <f t="shared" si="60"/>
        <v>2219.355</v>
      </c>
      <c r="O138" s="144">
        <f t="shared" si="60"/>
        <v>4056.4286999999999</v>
      </c>
      <c r="P138" s="146"/>
      <c r="Q138" s="147" t="s">
        <v>80</v>
      </c>
      <c r="R138" s="175"/>
    </row>
    <row r="139" spans="1:18" s="65" customFormat="1" ht="11.25" x14ac:dyDescent="0.2">
      <c r="A139" s="145">
        <f t="shared" ref="A139:M139" si="61">SUM(A136:A138)</f>
        <v>3.95</v>
      </c>
      <c r="B139" s="144">
        <f t="shared" si="61"/>
        <v>435.88799999999998</v>
      </c>
      <c r="C139" s="144">
        <f t="shared" si="61"/>
        <v>1795.1886</v>
      </c>
      <c r="D139" s="144">
        <f t="shared" si="61"/>
        <v>2970.8392000000003</v>
      </c>
      <c r="E139" s="152">
        <f>SUM(E136:E138)</f>
        <v>5205.8657999999996</v>
      </c>
      <c r="F139" s="144">
        <f t="shared" si="61"/>
        <v>359.75700000000001</v>
      </c>
      <c r="G139" s="144">
        <f t="shared" si="61"/>
        <v>28.787399999999998</v>
      </c>
      <c r="H139" s="144">
        <f t="shared" si="61"/>
        <v>2810.8215</v>
      </c>
      <c r="I139" s="144">
        <f>SUM(I136:I138)</f>
        <v>3542.8150999999998</v>
      </c>
      <c r="J139" s="149">
        <f>SUM(J136:J138)</f>
        <v>6742.1809999999996</v>
      </c>
      <c r="K139" s="145">
        <f>SUM(K136:K138)</f>
        <v>363.70699999999999</v>
      </c>
      <c r="L139" s="144">
        <f>SUM(L136:L138)</f>
        <v>464.67539999999997</v>
      </c>
      <c r="M139" s="144">
        <f t="shared" si="61"/>
        <v>4606.0100999999995</v>
      </c>
      <c r="N139" s="144">
        <f>SUM(N136:N138)</f>
        <v>6513.6543000000001</v>
      </c>
      <c r="O139" s="144">
        <f>SUM(O136:O138)</f>
        <v>11948.0468</v>
      </c>
      <c r="P139" s="146"/>
      <c r="Q139" s="147" t="s">
        <v>53</v>
      </c>
      <c r="R139" s="175">
        <v>2013</v>
      </c>
    </row>
    <row r="140" spans="1:18" s="65" customFormat="1" ht="11.25" x14ac:dyDescent="0.2">
      <c r="A140" s="145">
        <v>3.3</v>
      </c>
      <c r="B140" s="144">
        <v>163.753748</v>
      </c>
      <c r="C140" s="144">
        <v>745.02470000000005</v>
      </c>
      <c r="D140" s="144">
        <v>1108.0726</v>
      </c>
      <c r="E140" s="152">
        <f>SUM(A140:D140)</f>
        <v>2020.1510480000002</v>
      </c>
      <c r="F140" s="144">
        <v>120.58499999999999</v>
      </c>
      <c r="G140" s="144">
        <v>11.062344</v>
      </c>
      <c r="H140" s="144">
        <v>1015.962</v>
      </c>
      <c r="I140" s="144">
        <v>1311.2</v>
      </c>
      <c r="J140" s="149">
        <f>SUM(F140:I140)</f>
        <v>2458.8093440000002</v>
      </c>
      <c r="K140" s="145">
        <f t="shared" ref="K140:O142" si="62">A140+F140</f>
        <v>123.88499999999999</v>
      </c>
      <c r="L140" s="144">
        <f t="shared" si="62"/>
        <v>174.816092</v>
      </c>
      <c r="M140" s="144">
        <f t="shared" si="62"/>
        <v>1760.9866999999999</v>
      </c>
      <c r="N140" s="144">
        <f t="shared" si="62"/>
        <v>2419.2726000000002</v>
      </c>
      <c r="O140" s="144">
        <f t="shared" si="62"/>
        <v>4478.9603920000009</v>
      </c>
      <c r="P140" s="146"/>
      <c r="Q140" s="147" t="s">
        <v>68</v>
      </c>
      <c r="R140" s="175"/>
    </row>
    <row r="141" spans="1:18" s="65" customFormat="1" ht="11.25" x14ac:dyDescent="0.2">
      <c r="A141" s="145">
        <v>0</v>
      </c>
      <c r="B141" s="144">
        <v>232.62799999999999</v>
      </c>
      <c r="C141" s="144">
        <v>754.85979999999995</v>
      </c>
      <c r="D141" s="144">
        <v>1188.1632999999999</v>
      </c>
      <c r="E141" s="152">
        <f>SUM(A141:D141)</f>
        <v>2175.6511</v>
      </c>
      <c r="F141" s="144">
        <v>127.623</v>
      </c>
      <c r="G141" s="144">
        <v>13.002566</v>
      </c>
      <c r="H141" s="144">
        <v>1053.1223</v>
      </c>
      <c r="I141" s="144">
        <v>1275.8511000000001</v>
      </c>
      <c r="J141" s="149">
        <f>SUM(F141:I141)</f>
        <v>2469.598966</v>
      </c>
      <c r="K141" s="145">
        <f t="shared" si="62"/>
        <v>127.623</v>
      </c>
      <c r="L141" s="144">
        <f t="shared" si="62"/>
        <v>245.63056599999999</v>
      </c>
      <c r="M141" s="144">
        <f t="shared" si="62"/>
        <v>1807.9820999999999</v>
      </c>
      <c r="N141" s="144">
        <f t="shared" si="62"/>
        <v>2464.0144</v>
      </c>
      <c r="O141" s="144">
        <f t="shared" si="62"/>
        <v>4645.2500660000005</v>
      </c>
      <c r="P141" s="146"/>
      <c r="Q141" s="147" t="s">
        <v>82</v>
      </c>
      <c r="R141" s="175"/>
    </row>
    <row r="142" spans="1:18" s="65" customFormat="1" ht="11.25" x14ac:dyDescent="0.2">
      <c r="A142" s="145">
        <v>1.9790000000000001</v>
      </c>
      <c r="B142" s="144">
        <v>234.898</v>
      </c>
      <c r="C142" s="144">
        <v>541.76700000000005</v>
      </c>
      <c r="D142" s="144">
        <v>1015.5705</v>
      </c>
      <c r="E142" s="152">
        <f>SUM(A142:D142)</f>
        <v>1794.2145</v>
      </c>
      <c r="F142" s="144">
        <v>138.33199999999999</v>
      </c>
      <c r="G142" s="144">
        <v>15.85778</v>
      </c>
      <c r="H142" s="144">
        <v>1170.0788</v>
      </c>
      <c r="I142" s="144">
        <v>1122.4104</v>
      </c>
      <c r="J142" s="149">
        <f>SUM(F142:I142)</f>
        <v>2446.6789799999997</v>
      </c>
      <c r="K142" s="145">
        <f t="shared" si="62"/>
        <v>140.31100000000001</v>
      </c>
      <c r="L142" s="144">
        <f t="shared" si="62"/>
        <v>250.75577999999999</v>
      </c>
      <c r="M142" s="144">
        <f t="shared" si="62"/>
        <v>1711.8458000000001</v>
      </c>
      <c r="N142" s="144">
        <f t="shared" si="62"/>
        <v>2137.9809</v>
      </c>
      <c r="O142" s="144">
        <f t="shared" si="62"/>
        <v>4240.8934799999997</v>
      </c>
      <c r="P142" s="146"/>
      <c r="Q142" s="147" t="s">
        <v>83</v>
      </c>
      <c r="R142" s="175"/>
    </row>
    <row r="143" spans="1:18" s="65" customFormat="1" ht="11.25" x14ac:dyDescent="0.2">
      <c r="A143" s="145">
        <f t="shared" ref="A143:M143" si="63">SUM(A140:A142)</f>
        <v>5.2789999999999999</v>
      </c>
      <c r="B143" s="144">
        <f t="shared" si="63"/>
        <v>631.27974800000004</v>
      </c>
      <c r="C143" s="144">
        <f>SUM(C140:C142)</f>
        <v>2041.6515000000002</v>
      </c>
      <c r="D143" s="144">
        <f>SUM(D140:D142)</f>
        <v>3311.8063999999995</v>
      </c>
      <c r="E143" s="152">
        <f>SUM(E140:E142)</f>
        <v>5990.0166480000007</v>
      </c>
      <c r="F143" s="144">
        <f t="shared" si="63"/>
        <v>386.53999999999996</v>
      </c>
      <c r="G143" s="144">
        <f t="shared" si="63"/>
        <v>39.922689999999996</v>
      </c>
      <c r="H143" s="144">
        <f t="shared" si="63"/>
        <v>3239.1630999999998</v>
      </c>
      <c r="I143" s="144">
        <f t="shared" si="63"/>
        <v>3709.4615000000003</v>
      </c>
      <c r="J143" s="149">
        <f t="shared" si="63"/>
        <v>7375.0872900000004</v>
      </c>
      <c r="K143" s="145">
        <f t="shared" si="63"/>
        <v>391.81899999999996</v>
      </c>
      <c r="L143" s="144">
        <f>SUM(L140:L142)</f>
        <v>671.20243799999992</v>
      </c>
      <c r="M143" s="144">
        <f t="shared" si="63"/>
        <v>5280.8145999999997</v>
      </c>
      <c r="N143" s="144">
        <f>SUM(N140:N142)</f>
        <v>7021.2679000000007</v>
      </c>
      <c r="O143" s="144">
        <f>SUM(O140:O142)</f>
        <v>13365.103938</v>
      </c>
      <c r="P143" s="146"/>
      <c r="Q143" s="147" t="s">
        <v>54</v>
      </c>
      <c r="R143" s="175"/>
    </row>
    <row r="144" spans="1:18" s="65" customFormat="1" ht="11.25" x14ac:dyDescent="0.2">
      <c r="A144" s="145">
        <v>2.4510000000000001</v>
      </c>
      <c r="B144" s="144">
        <v>127.259</v>
      </c>
      <c r="C144" s="144">
        <v>577.08259999999996</v>
      </c>
      <c r="D144" s="144">
        <v>997.29290000000003</v>
      </c>
      <c r="E144" s="152">
        <f>SUM(A144:D144)</f>
        <v>1704.0855000000001</v>
      </c>
      <c r="F144" s="144">
        <v>165.095</v>
      </c>
      <c r="G144" s="144">
        <v>15.28</v>
      </c>
      <c r="H144" s="144">
        <v>1243.9411</v>
      </c>
      <c r="I144" s="144">
        <v>1274.5454999999999</v>
      </c>
      <c r="J144" s="149">
        <f>SUM(F144:I144)</f>
        <v>2698.8616000000002</v>
      </c>
      <c r="K144" s="145">
        <f t="shared" ref="K144:O146" si="64">A144+F144</f>
        <v>167.54599999999999</v>
      </c>
      <c r="L144" s="144">
        <f t="shared" si="64"/>
        <v>142.53899999999999</v>
      </c>
      <c r="M144" s="144">
        <f t="shared" si="64"/>
        <v>1821.0237</v>
      </c>
      <c r="N144" s="144">
        <f t="shared" si="64"/>
        <v>2271.8384000000001</v>
      </c>
      <c r="O144" s="144">
        <f t="shared" si="64"/>
        <v>4402.9471000000003</v>
      </c>
      <c r="P144" s="146"/>
      <c r="Q144" s="147" t="s">
        <v>85</v>
      </c>
      <c r="R144" s="175"/>
    </row>
    <row r="145" spans="1:18" s="65" customFormat="1" ht="11.25" x14ac:dyDescent="0.2">
      <c r="A145" s="145">
        <v>0</v>
      </c>
      <c r="B145" s="144">
        <v>109.605666</v>
      </c>
      <c r="C145" s="144">
        <v>475.15019999999998</v>
      </c>
      <c r="D145" s="144">
        <v>1066.0146999999999</v>
      </c>
      <c r="E145" s="152">
        <f>SUM(A145:D145)</f>
        <v>1650.7705659999999</v>
      </c>
      <c r="F145" s="144">
        <v>183.28800000000001</v>
      </c>
      <c r="G145" s="144">
        <v>14.662414999999999</v>
      </c>
      <c r="H145" s="144">
        <v>1104.5461</v>
      </c>
      <c r="I145" s="144">
        <v>1292.8934999999999</v>
      </c>
      <c r="J145" s="149">
        <f>SUM(F145:I145)</f>
        <v>2595.3900149999999</v>
      </c>
      <c r="K145" s="145">
        <f t="shared" si="64"/>
        <v>183.28800000000001</v>
      </c>
      <c r="L145" s="144">
        <f t="shared" si="64"/>
        <v>124.268081</v>
      </c>
      <c r="M145" s="144">
        <f t="shared" si="64"/>
        <v>1579.6963000000001</v>
      </c>
      <c r="N145" s="144">
        <f t="shared" si="64"/>
        <v>2358.9081999999999</v>
      </c>
      <c r="O145" s="144">
        <f t="shared" si="64"/>
        <v>4246.1605810000001</v>
      </c>
      <c r="P145" s="146"/>
      <c r="Q145" s="147" t="s">
        <v>86</v>
      </c>
      <c r="R145" s="175"/>
    </row>
    <row r="146" spans="1:18" s="65" customFormat="1" ht="11.25" x14ac:dyDescent="0.2">
      <c r="A146" s="145">
        <v>0.113</v>
      </c>
      <c r="B146" s="144">
        <v>107.036</v>
      </c>
      <c r="C146" s="144">
        <v>423.68490000000003</v>
      </c>
      <c r="D146" s="144">
        <v>869.86170000000004</v>
      </c>
      <c r="E146" s="152">
        <f>SUM(A146:D146)</f>
        <v>1400.6956</v>
      </c>
      <c r="F146" s="144">
        <v>111.18600000000001</v>
      </c>
      <c r="G146" s="144">
        <v>11.360766</v>
      </c>
      <c r="H146" s="144">
        <v>899.13779999999997</v>
      </c>
      <c r="I146" s="144">
        <v>1046.0613000000001</v>
      </c>
      <c r="J146" s="149">
        <f>SUM(F146:I146)</f>
        <v>2067.7458660000002</v>
      </c>
      <c r="K146" s="145">
        <f t="shared" si="64"/>
        <v>111.29900000000001</v>
      </c>
      <c r="L146" s="144">
        <f t="shared" si="64"/>
        <v>118.396766</v>
      </c>
      <c r="M146" s="144">
        <f t="shared" si="64"/>
        <v>1322.8226999999999</v>
      </c>
      <c r="N146" s="144">
        <f t="shared" si="64"/>
        <v>1915.9230000000002</v>
      </c>
      <c r="O146" s="144">
        <f t="shared" si="64"/>
        <v>3468.4414660000002</v>
      </c>
      <c r="P146" s="146"/>
      <c r="Q146" s="147" t="s">
        <v>87</v>
      </c>
      <c r="R146" s="175"/>
    </row>
    <row r="147" spans="1:18" s="65" customFormat="1" ht="11.25" x14ac:dyDescent="0.2">
      <c r="A147" s="145">
        <f t="shared" ref="A147:M147" si="65">SUM(A144:A146)</f>
        <v>2.5640000000000001</v>
      </c>
      <c r="B147" s="144">
        <f t="shared" si="65"/>
        <v>343.900666</v>
      </c>
      <c r="C147" s="144">
        <f t="shared" si="65"/>
        <v>1475.9177</v>
      </c>
      <c r="D147" s="144">
        <f>SUM(D144:D146)</f>
        <v>2933.1693</v>
      </c>
      <c r="E147" s="144">
        <f t="shared" si="65"/>
        <v>4755.5516660000003</v>
      </c>
      <c r="F147" s="145">
        <f t="shared" si="65"/>
        <v>459.56900000000007</v>
      </c>
      <c r="G147" s="144">
        <f t="shared" si="65"/>
        <v>41.303180999999995</v>
      </c>
      <c r="H147" s="144">
        <f t="shared" si="65"/>
        <v>3247.625</v>
      </c>
      <c r="I147" s="144">
        <f t="shared" si="65"/>
        <v>3613.5002999999997</v>
      </c>
      <c r="J147" s="149">
        <f>SUM(J144:J146)</f>
        <v>7361.9974810000003</v>
      </c>
      <c r="K147" s="145">
        <f t="shared" si="65"/>
        <v>462.13300000000004</v>
      </c>
      <c r="L147" s="144">
        <f t="shared" si="65"/>
        <v>385.203847</v>
      </c>
      <c r="M147" s="144">
        <f t="shared" si="65"/>
        <v>4723.5427</v>
      </c>
      <c r="N147" s="144">
        <f>SUM(N144:N146)</f>
        <v>6546.6696000000011</v>
      </c>
      <c r="O147" s="144">
        <f>SUM(O144:O146)</f>
        <v>12117.549147000002</v>
      </c>
      <c r="P147" s="146"/>
      <c r="Q147" s="147" t="s">
        <v>55</v>
      </c>
      <c r="R147" s="175"/>
    </row>
    <row r="148" spans="1:18" s="65" customFormat="1" ht="11.25" x14ac:dyDescent="0.2">
      <c r="A148" s="145">
        <v>0</v>
      </c>
      <c r="B148" s="144">
        <v>166.739</v>
      </c>
      <c r="C148" s="144">
        <v>479.93610000000001</v>
      </c>
      <c r="D148" s="144">
        <v>814.82569999999998</v>
      </c>
      <c r="E148" s="144">
        <f>SUM(A148:D148)</f>
        <v>1461.5008</v>
      </c>
      <c r="F148" s="145">
        <v>162.65700000000001</v>
      </c>
      <c r="G148" s="144">
        <v>14.27336</v>
      </c>
      <c r="H148" s="144">
        <v>1088.7782</v>
      </c>
      <c r="I148" s="144">
        <v>930.53620000000001</v>
      </c>
      <c r="J148" s="144">
        <f>SUM(F148:I148)</f>
        <v>2196.24476</v>
      </c>
      <c r="K148" s="145">
        <f t="shared" ref="K148:O150" si="66">A148+F148</f>
        <v>162.65700000000001</v>
      </c>
      <c r="L148" s="144">
        <f t="shared" si="66"/>
        <v>181.01236</v>
      </c>
      <c r="M148" s="144">
        <f t="shared" si="66"/>
        <v>1568.7143000000001</v>
      </c>
      <c r="N148" s="144">
        <f t="shared" si="66"/>
        <v>1745.3618999999999</v>
      </c>
      <c r="O148" s="144">
        <f t="shared" si="66"/>
        <v>3657.7455600000003</v>
      </c>
      <c r="P148" s="146"/>
      <c r="Q148" s="147" t="s">
        <v>89</v>
      </c>
      <c r="R148" s="175"/>
    </row>
    <row r="149" spans="1:18" s="65" customFormat="1" ht="11.25" x14ac:dyDescent="0.2">
      <c r="A149" s="145">
        <v>0</v>
      </c>
      <c r="B149" s="144">
        <v>141.59414200000001</v>
      </c>
      <c r="C149" s="144">
        <v>499.00020000000001</v>
      </c>
      <c r="D149" s="144">
        <v>755.71209999999996</v>
      </c>
      <c r="E149" s="144">
        <f>SUM(A149:D149)</f>
        <v>1396.3064420000001</v>
      </c>
      <c r="F149" s="145">
        <v>113.048</v>
      </c>
      <c r="G149" s="144">
        <v>12.197024000000001</v>
      </c>
      <c r="H149" s="144">
        <v>1031.2753</v>
      </c>
      <c r="I149" s="144">
        <v>1086.5703000000001</v>
      </c>
      <c r="J149" s="144">
        <f>SUM(F149:I149)</f>
        <v>2243.0906240000004</v>
      </c>
      <c r="K149" s="145">
        <f t="shared" si="66"/>
        <v>113.048</v>
      </c>
      <c r="L149" s="144">
        <f t="shared" si="66"/>
        <v>153.791166</v>
      </c>
      <c r="M149" s="144">
        <f t="shared" si="66"/>
        <v>1530.2755</v>
      </c>
      <c r="N149" s="144">
        <f t="shared" si="66"/>
        <v>1842.2824000000001</v>
      </c>
      <c r="O149" s="144">
        <f t="shared" si="66"/>
        <v>3639.3970660000005</v>
      </c>
      <c r="P149" s="146"/>
      <c r="Q149" s="147" t="s">
        <v>90</v>
      </c>
      <c r="R149" s="175"/>
    </row>
    <row r="150" spans="1:18" s="65" customFormat="1" ht="11.25" x14ac:dyDescent="0.2">
      <c r="A150" s="145">
        <v>0</v>
      </c>
      <c r="B150" s="144">
        <v>201.90918600000001</v>
      </c>
      <c r="C150" s="144">
        <v>537.31359999999995</v>
      </c>
      <c r="D150" s="144">
        <v>914.63250000000005</v>
      </c>
      <c r="E150" s="144">
        <f>SUM(A150:D150)</f>
        <v>1653.855286</v>
      </c>
      <c r="F150" s="145">
        <v>173.52799999999999</v>
      </c>
      <c r="G150" s="144">
        <v>24.133305</v>
      </c>
      <c r="H150" s="144">
        <v>966.8895</v>
      </c>
      <c r="I150" s="144">
        <v>1203.9691</v>
      </c>
      <c r="J150" s="144">
        <f>SUM(F150:I150)</f>
        <v>2368.5199050000001</v>
      </c>
      <c r="K150" s="145">
        <f t="shared" si="66"/>
        <v>173.52799999999999</v>
      </c>
      <c r="L150" s="144">
        <f t="shared" si="66"/>
        <v>226.04249100000001</v>
      </c>
      <c r="M150" s="144">
        <f t="shared" si="66"/>
        <v>1504.2030999999999</v>
      </c>
      <c r="N150" s="144">
        <f t="shared" si="66"/>
        <v>2118.6016</v>
      </c>
      <c r="O150" s="144">
        <f t="shared" si="66"/>
        <v>4022.3751910000001</v>
      </c>
      <c r="P150" s="146"/>
      <c r="Q150" s="147" t="s">
        <v>91</v>
      </c>
      <c r="R150" s="175"/>
    </row>
    <row r="151" spans="1:18" s="65" customFormat="1" ht="11.25" x14ac:dyDescent="0.2">
      <c r="A151" s="145">
        <f t="shared" ref="A151:L151" si="67">SUM(A148:A150)</f>
        <v>0</v>
      </c>
      <c r="B151" s="144">
        <f t="shared" si="67"/>
        <v>510.24232800000004</v>
      </c>
      <c r="C151" s="144">
        <f t="shared" si="67"/>
        <v>1516.2499</v>
      </c>
      <c r="D151" s="144">
        <f t="shared" si="67"/>
        <v>2485.1703000000002</v>
      </c>
      <c r="E151" s="144">
        <f t="shared" si="67"/>
        <v>4511.6625279999998</v>
      </c>
      <c r="F151" s="145">
        <f t="shared" si="67"/>
        <v>449.23300000000006</v>
      </c>
      <c r="G151" s="144">
        <f t="shared" si="67"/>
        <v>50.603689000000003</v>
      </c>
      <c r="H151" s="144">
        <f t="shared" si="67"/>
        <v>3086.9430000000002</v>
      </c>
      <c r="I151" s="144">
        <f t="shared" si="67"/>
        <v>3221.0756000000001</v>
      </c>
      <c r="J151" s="144">
        <f t="shared" si="67"/>
        <v>6807.8552890000001</v>
      </c>
      <c r="K151" s="145">
        <f t="shared" si="67"/>
        <v>449.23300000000006</v>
      </c>
      <c r="L151" s="144">
        <f t="shared" si="67"/>
        <v>560.84601700000007</v>
      </c>
      <c r="M151" s="144">
        <f>SUM(M148:M150)</f>
        <v>4603.1929</v>
      </c>
      <c r="N151" s="144">
        <f>SUM(N148:N150)</f>
        <v>5706.2458999999999</v>
      </c>
      <c r="O151" s="144">
        <f>SUM(O148:O150)</f>
        <v>11319.517817</v>
      </c>
      <c r="P151" s="146"/>
      <c r="Q151" s="147" t="s">
        <v>56</v>
      </c>
      <c r="R151" s="175"/>
    </row>
    <row r="152" spans="1:18" s="65" customFormat="1" ht="11.25" x14ac:dyDescent="0.2">
      <c r="A152" s="130"/>
      <c r="B152" s="127"/>
      <c r="C152" s="127"/>
      <c r="D152" s="127"/>
      <c r="E152" s="127"/>
      <c r="F152" s="130"/>
      <c r="G152" s="127"/>
      <c r="H152" s="127"/>
      <c r="I152" s="127"/>
      <c r="J152" s="127"/>
      <c r="K152" s="130"/>
      <c r="L152" s="127"/>
      <c r="M152" s="127"/>
      <c r="N152" s="127"/>
      <c r="O152" s="127"/>
      <c r="P152" s="131"/>
      <c r="Q152" s="132"/>
      <c r="R152" s="176"/>
    </row>
    <row r="153" spans="1:18" s="65" customFormat="1" ht="11.25" x14ac:dyDescent="0.2">
      <c r="A153" s="145">
        <v>0.185</v>
      </c>
      <c r="B153" s="144">
        <v>172.95699999999999</v>
      </c>
      <c r="C153" s="144">
        <v>721.67999899999995</v>
      </c>
      <c r="D153" s="144">
        <v>874.57119999999998</v>
      </c>
      <c r="E153" s="144">
        <f>SUM(A153:D153)</f>
        <v>1769.3931990000001</v>
      </c>
      <c r="F153" s="145">
        <v>182.40299999999999</v>
      </c>
      <c r="G153" s="144">
        <v>17.112302</v>
      </c>
      <c r="H153" s="144">
        <v>1198.3848840000001</v>
      </c>
      <c r="I153" s="144">
        <v>1330.641736</v>
      </c>
      <c r="J153" s="144">
        <f>SUM(F153:I153)</f>
        <v>2728.5419220000003</v>
      </c>
      <c r="K153" s="145">
        <f>A153+F153</f>
        <v>182.58799999999999</v>
      </c>
      <c r="L153" s="144">
        <f>B153+G153</f>
        <v>190.06930199999999</v>
      </c>
      <c r="M153" s="144">
        <f>C153+H153</f>
        <v>1920.064883</v>
      </c>
      <c r="N153" s="144">
        <f>D153+I153</f>
        <v>2205.2129359999999</v>
      </c>
      <c r="O153" s="144">
        <f>E153+J153</f>
        <v>4497.9351210000004</v>
      </c>
      <c r="P153" s="146"/>
      <c r="Q153" s="147" t="s">
        <v>78</v>
      </c>
      <c r="R153" s="175">
        <v>2014</v>
      </c>
    </row>
    <row r="154" spans="1:18" s="65" customFormat="1" ht="11.25" x14ac:dyDescent="0.2">
      <c r="A154" s="145">
        <v>5.2690000000000001</v>
      </c>
      <c r="B154" s="144">
        <v>214.36829</v>
      </c>
      <c r="C154" s="144">
        <v>733.13628600000004</v>
      </c>
      <c r="D154" s="144">
        <v>702.78380000000004</v>
      </c>
      <c r="E154" s="144">
        <f>SUM(A154:D154)</f>
        <v>1655.5573760000002</v>
      </c>
      <c r="F154" s="145">
        <v>113.76</v>
      </c>
      <c r="G154" s="144">
        <v>14.531000000000001</v>
      </c>
      <c r="H154" s="144">
        <v>1104.58781</v>
      </c>
      <c r="I154" s="144">
        <v>1127.867371</v>
      </c>
      <c r="J154" s="144">
        <f>SUM(F154:I154)</f>
        <v>2360.746181</v>
      </c>
      <c r="K154" s="145">
        <f>A154+F154</f>
        <v>119.02900000000001</v>
      </c>
      <c r="L154" s="144">
        <f t="shared" ref="L154:N155" si="68">B154+G154</f>
        <v>228.89929000000001</v>
      </c>
      <c r="M154" s="144">
        <f t="shared" si="68"/>
        <v>1837.7240959999999</v>
      </c>
      <c r="N154" s="144">
        <f t="shared" si="68"/>
        <v>1830.651171</v>
      </c>
      <c r="O154" s="144">
        <f>E154+J154</f>
        <v>4016.3035570000002</v>
      </c>
      <c r="P154" s="146"/>
      <c r="Q154" s="147" t="s">
        <v>79</v>
      </c>
      <c r="R154" s="175"/>
    </row>
    <row r="155" spans="1:18" s="65" customFormat="1" ht="11.25" x14ac:dyDescent="0.2">
      <c r="A155" s="145">
        <v>6.41</v>
      </c>
      <c r="B155" s="144">
        <v>214.7645</v>
      </c>
      <c r="C155" s="144">
        <v>634.1078</v>
      </c>
      <c r="D155" s="144">
        <v>991.11620000000005</v>
      </c>
      <c r="E155" s="144">
        <f>SUM(A155:D155)</f>
        <v>1846.3985</v>
      </c>
      <c r="F155" s="145">
        <v>190.30699999999999</v>
      </c>
      <c r="G155" s="144">
        <v>16.825918999999999</v>
      </c>
      <c r="H155" s="144">
        <v>1287.660361</v>
      </c>
      <c r="I155" s="144">
        <v>1281.447987</v>
      </c>
      <c r="J155" s="144">
        <f>SUM(F155:I155)</f>
        <v>2776.2412669999999</v>
      </c>
      <c r="K155" s="145">
        <f>A155+F155</f>
        <v>196.71699999999998</v>
      </c>
      <c r="L155" s="144">
        <f t="shared" si="68"/>
        <v>231.590419</v>
      </c>
      <c r="M155" s="144">
        <f t="shared" si="68"/>
        <v>1921.768161</v>
      </c>
      <c r="N155" s="144">
        <f t="shared" si="68"/>
        <v>2272.5641869999999</v>
      </c>
      <c r="O155" s="144">
        <f>E155+J155</f>
        <v>4622.6397669999997</v>
      </c>
      <c r="P155" s="146"/>
      <c r="Q155" s="147" t="s">
        <v>80</v>
      </c>
      <c r="R155" s="175"/>
    </row>
    <row r="156" spans="1:18" s="65" customFormat="1" ht="11.25" x14ac:dyDescent="0.2">
      <c r="A156" s="145">
        <f t="shared" ref="A156:M156" si="69">SUM(A153:A155)</f>
        <v>11.864000000000001</v>
      </c>
      <c r="B156" s="144">
        <f t="shared" si="69"/>
        <v>602.08978999999999</v>
      </c>
      <c r="C156" s="144">
        <f>SUM(C153:C155)</f>
        <v>2088.9240849999996</v>
      </c>
      <c r="D156" s="144">
        <f t="shared" si="69"/>
        <v>2568.4712</v>
      </c>
      <c r="E156" s="144">
        <f t="shared" si="69"/>
        <v>5271.3490750000001</v>
      </c>
      <c r="F156" s="145">
        <f t="shared" si="69"/>
        <v>486.47</v>
      </c>
      <c r="G156" s="144">
        <f t="shared" si="69"/>
        <v>48.469220999999997</v>
      </c>
      <c r="H156" s="144">
        <f>SUM(H153:H155)</f>
        <v>3590.6330550000002</v>
      </c>
      <c r="I156" s="144">
        <f t="shared" si="69"/>
        <v>3739.9570939999999</v>
      </c>
      <c r="J156" s="144">
        <f t="shared" si="69"/>
        <v>7865.5293700000002</v>
      </c>
      <c r="K156" s="145">
        <f t="shared" si="69"/>
        <v>498.334</v>
      </c>
      <c r="L156" s="144">
        <f t="shared" si="69"/>
        <v>650.55901100000005</v>
      </c>
      <c r="M156" s="144">
        <f t="shared" si="69"/>
        <v>5679.5571399999999</v>
      </c>
      <c r="N156" s="144">
        <f>SUM(N153:N155)</f>
        <v>6308.4282939999994</v>
      </c>
      <c r="O156" s="144">
        <f>SUM(O153:O155)</f>
        <v>13136.878445000002</v>
      </c>
      <c r="P156" s="146"/>
      <c r="Q156" s="147" t="s">
        <v>53</v>
      </c>
      <c r="R156" s="175">
        <v>2014</v>
      </c>
    </row>
    <row r="157" spans="1:18" s="65" customFormat="1" ht="11.25" x14ac:dyDescent="0.2">
      <c r="A157" s="145">
        <v>0</v>
      </c>
      <c r="B157" s="144">
        <v>216.065774</v>
      </c>
      <c r="C157" s="144">
        <v>525.00246400000003</v>
      </c>
      <c r="D157" s="144">
        <v>948.09870000000001</v>
      </c>
      <c r="E157" s="144">
        <f>SUM(A157:D157)</f>
        <v>1689.1669380000001</v>
      </c>
      <c r="F157" s="145">
        <v>186.91800000000001</v>
      </c>
      <c r="G157" s="144">
        <v>19.229894000000002</v>
      </c>
      <c r="H157" s="144">
        <v>929.07458399999996</v>
      </c>
      <c r="I157" s="144">
        <v>1484.9238069999999</v>
      </c>
      <c r="J157" s="144">
        <f>SUM(F157:I157)</f>
        <v>2620.1462849999998</v>
      </c>
      <c r="K157" s="145">
        <f t="shared" ref="K157:O158" si="70">A157+F157</f>
        <v>186.91800000000001</v>
      </c>
      <c r="L157" s="144">
        <f t="shared" si="70"/>
        <v>235.29566800000001</v>
      </c>
      <c r="M157" s="144">
        <f t="shared" si="70"/>
        <v>1454.0770480000001</v>
      </c>
      <c r="N157" s="144">
        <f t="shared" si="70"/>
        <v>2433.0225069999997</v>
      </c>
      <c r="O157" s="144">
        <f t="shared" si="70"/>
        <v>4309.3132230000001</v>
      </c>
      <c r="P157" s="146"/>
      <c r="Q157" s="147" t="s">
        <v>68</v>
      </c>
      <c r="R157" s="177"/>
    </row>
    <row r="158" spans="1:18" s="65" customFormat="1" ht="11.25" x14ac:dyDescent="0.2">
      <c r="A158" s="145">
        <v>2.7589999999999999</v>
      </c>
      <c r="B158" s="144">
        <v>211.37799999999999</v>
      </c>
      <c r="C158" s="144">
        <v>718.46532500000001</v>
      </c>
      <c r="D158" s="144">
        <v>976.98040000000003</v>
      </c>
      <c r="E158" s="144">
        <f>SUM(A158:D158)</f>
        <v>1909.582725</v>
      </c>
      <c r="F158" s="145">
        <v>171.17400000000001</v>
      </c>
      <c r="G158" s="144">
        <v>16.066230769230799</v>
      </c>
      <c r="H158" s="144">
        <v>1113.742896</v>
      </c>
      <c r="I158" s="144">
        <v>1435.0216479999999</v>
      </c>
      <c r="J158" s="144">
        <f>SUM(F158:I158)</f>
        <v>2736.0047747692306</v>
      </c>
      <c r="K158" s="145">
        <f t="shared" si="70"/>
        <v>173.93299999999999</v>
      </c>
      <c r="L158" s="144">
        <f t="shared" si="70"/>
        <v>227.44423076923078</v>
      </c>
      <c r="M158" s="144">
        <f t="shared" si="70"/>
        <v>1832.2082209999999</v>
      </c>
      <c r="N158" s="144">
        <f t="shared" si="70"/>
        <v>2412.0020479999998</v>
      </c>
      <c r="O158" s="144">
        <f t="shared" si="70"/>
        <v>4645.5874997692308</v>
      </c>
      <c r="P158" s="146"/>
      <c r="Q158" s="147" t="s">
        <v>82</v>
      </c>
      <c r="R158" s="177"/>
    </row>
    <row r="159" spans="1:18" s="65" customFormat="1" ht="11.25" x14ac:dyDescent="0.2">
      <c r="A159" s="145">
        <v>0.36799999999999999</v>
      </c>
      <c r="B159" s="144">
        <v>152.65199999999999</v>
      </c>
      <c r="C159" s="144">
        <v>709.95960200000002</v>
      </c>
      <c r="D159" s="144">
        <v>950.37549999999999</v>
      </c>
      <c r="E159" s="144">
        <f>SUM(A159:D159)</f>
        <v>1813.355102</v>
      </c>
      <c r="F159" s="145">
        <v>150.31100000000001</v>
      </c>
      <c r="G159" s="144">
        <v>17.315750000000001</v>
      </c>
      <c r="H159" s="144">
        <v>1104.204299</v>
      </c>
      <c r="I159" s="144">
        <v>1437.3345839999999</v>
      </c>
      <c r="J159" s="144">
        <f>SUM(F159:I159)</f>
        <v>2709.1656329999996</v>
      </c>
      <c r="K159" s="145">
        <f>A159+F159</f>
        <v>150.679</v>
      </c>
      <c r="L159" s="144">
        <f>B159+G159</f>
        <v>169.96775</v>
      </c>
      <c r="M159" s="144">
        <f>C159+H159</f>
        <v>1814.1639009999999</v>
      </c>
      <c r="N159" s="144">
        <f>D159+I159</f>
        <v>2387.7100839999998</v>
      </c>
      <c r="O159" s="144">
        <f>E159+J159</f>
        <v>4522.5207350000001</v>
      </c>
      <c r="P159" s="146"/>
      <c r="Q159" s="147" t="s">
        <v>83</v>
      </c>
      <c r="R159" s="177"/>
    </row>
    <row r="160" spans="1:18" s="65" customFormat="1" ht="11.25" x14ac:dyDescent="0.2">
      <c r="A160" s="145">
        <f>SUM(A157:A159)</f>
        <v>3.1269999999999998</v>
      </c>
      <c r="B160" s="144">
        <f t="shared" ref="B160:L160" si="71">SUM(B157:B159)</f>
        <v>580.09577399999989</v>
      </c>
      <c r="C160" s="144">
        <f>SUM(C157:C159)</f>
        <v>1953.4273910000002</v>
      </c>
      <c r="D160" s="144">
        <f>SUM(D157:D159)</f>
        <v>2875.4546</v>
      </c>
      <c r="E160" s="144">
        <f t="shared" si="71"/>
        <v>5412.104765</v>
      </c>
      <c r="F160" s="145">
        <f t="shared" si="71"/>
        <v>508.40300000000002</v>
      </c>
      <c r="G160" s="144">
        <f t="shared" si="71"/>
        <v>52.611874769230802</v>
      </c>
      <c r="H160" s="144">
        <f>SUM(H157:H159)</f>
        <v>3147.0217789999997</v>
      </c>
      <c r="I160" s="144">
        <f t="shared" si="71"/>
        <v>4357.2800390000002</v>
      </c>
      <c r="J160" s="144">
        <f t="shared" si="71"/>
        <v>8065.31669276923</v>
      </c>
      <c r="K160" s="145">
        <f>SUM(K157:K159)</f>
        <v>511.53</v>
      </c>
      <c r="L160" s="144">
        <f t="shared" si="71"/>
        <v>632.70764876923079</v>
      </c>
      <c r="M160" s="144">
        <f>SUM(M157:M159)</f>
        <v>5100.4491699999999</v>
      </c>
      <c r="N160" s="144">
        <f>SUM(N157:N159)</f>
        <v>7232.7346390000002</v>
      </c>
      <c r="O160" s="144">
        <f>SUM(O157:O159)</f>
        <v>13477.421457769231</v>
      </c>
      <c r="P160" s="146"/>
      <c r="Q160" s="147" t="s">
        <v>54</v>
      </c>
      <c r="R160" s="177"/>
    </row>
    <row r="161" spans="1:18" s="65" customFormat="1" ht="11.25" x14ac:dyDescent="0.2">
      <c r="A161" s="145">
        <v>0</v>
      </c>
      <c r="B161" s="144">
        <v>83.997</v>
      </c>
      <c r="C161" s="144">
        <v>624.05075599999998</v>
      </c>
      <c r="D161" s="144">
        <v>909.64859999999999</v>
      </c>
      <c r="E161" s="144">
        <f>SUM(A161:D161)</f>
        <v>1617.6963559999999</v>
      </c>
      <c r="F161" s="145">
        <v>168.03399999999999</v>
      </c>
      <c r="G161" s="144">
        <v>17.152000000000001</v>
      </c>
      <c r="H161" s="144">
        <v>1045.5036130000001</v>
      </c>
      <c r="I161" s="144">
        <v>1717.747597</v>
      </c>
      <c r="J161" s="144">
        <f>SUM(F161:I161)</f>
        <v>2948.4372100000001</v>
      </c>
      <c r="K161" s="145">
        <f t="shared" ref="K161:O162" si="72">A161+F161</f>
        <v>168.03399999999999</v>
      </c>
      <c r="L161" s="144">
        <f t="shared" si="72"/>
        <v>101.149</v>
      </c>
      <c r="M161" s="144">
        <f t="shared" si="72"/>
        <v>1669.554369</v>
      </c>
      <c r="N161" s="144">
        <f t="shared" si="72"/>
        <v>2627.396197</v>
      </c>
      <c r="O161" s="144">
        <f>E161+J161</f>
        <v>4566.1335660000004</v>
      </c>
      <c r="P161" s="146"/>
      <c r="Q161" s="147" t="s">
        <v>85</v>
      </c>
      <c r="R161" s="177"/>
    </row>
    <row r="162" spans="1:18" s="65" customFormat="1" ht="11.25" x14ac:dyDescent="0.2">
      <c r="A162" s="145">
        <v>0</v>
      </c>
      <c r="B162" s="144">
        <v>158.22800000000001</v>
      </c>
      <c r="C162" s="144">
        <v>720.602666</v>
      </c>
      <c r="D162" s="144">
        <v>930.1105</v>
      </c>
      <c r="E162" s="144">
        <f>SUM(A162:D162)</f>
        <v>1808.9411660000001</v>
      </c>
      <c r="F162" s="145">
        <v>178.75899999999999</v>
      </c>
      <c r="G162" s="144">
        <v>10.283607999999999</v>
      </c>
      <c r="H162" s="144">
        <v>1135.0285389999999</v>
      </c>
      <c r="I162" s="144">
        <v>1327.651944</v>
      </c>
      <c r="J162" s="144">
        <f>SUM(F162:I162)</f>
        <v>2651.7230909999998</v>
      </c>
      <c r="K162" s="145">
        <f t="shared" si="72"/>
        <v>178.75899999999999</v>
      </c>
      <c r="L162" s="144">
        <f t="shared" si="72"/>
        <v>168.511608</v>
      </c>
      <c r="M162" s="144">
        <f t="shared" si="72"/>
        <v>1855.6312049999999</v>
      </c>
      <c r="N162" s="144">
        <f t="shared" si="72"/>
        <v>2257.762444</v>
      </c>
      <c r="O162" s="144">
        <f t="shared" si="72"/>
        <v>4460.6642570000004</v>
      </c>
      <c r="P162" s="146"/>
      <c r="Q162" s="147" t="s">
        <v>86</v>
      </c>
      <c r="R162" s="177"/>
    </row>
    <row r="163" spans="1:18" s="65" customFormat="1" ht="11.25" x14ac:dyDescent="0.2">
      <c r="A163" s="145">
        <v>0</v>
      </c>
      <c r="B163" s="144">
        <v>234.255</v>
      </c>
      <c r="C163" s="144">
        <v>747.27823999999998</v>
      </c>
      <c r="D163" s="144">
        <v>878.56489999999997</v>
      </c>
      <c r="E163" s="144">
        <f>SUM(A163:D163)</f>
        <v>1860.0981400000001</v>
      </c>
      <c r="F163" s="145">
        <v>121.468</v>
      </c>
      <c r="G163" s="144">
        <v>9.6349999999999998</v>
      </c>
      <c r="H163" s="144">
        <v>1083.1353280000001</v>
      </c>
      <c r="I163" s="144">
        <v>1356.4209330000001</v>
      </c>
      <c r="J163" s="144">
        <f>SUM(F163:I163)</f>
        <v>2570.6592610000002</v>
      </c>
      <c r="K163" s="145">
        <f>A163+F163</f>
        <v>121.468</v>
      </c>
      <c r="L163" s="144">
        <f>B163+G163</f>
        <v>243.89</v>
      </c>
      <c r="M163" s="144">
        <f>C163+H163</f>
        <v>1830.4135679999999</v>
      </c>
      <c r="N163" s="144">
        <f>D163+I163</f>
        <v>2234.9858330000002</v>
      </c>
      <c r="O163" s="144">
        <f>E163+J163</f>
        <v>4430.7574010000008</v>
      </c>
      <c r="P163" s="146"/>
      <c r="Q163" s="147" t="s">
        <v>87</v>
      </c>
      <c r="R163" s="177"/>
    </row>
    <row r="164" spans="1:18" s="65" customFormat="1" ht="11.25" x14ac:dyDescent="0.2">
      <c r="A164" s="145">
        <f t="shared" ref="A164:O164" si="73">SUM(A161:A163)</f>
        <v>0</v>
      </c>
      <c r="B164" s="144">
        <f t="shared" si="73"/>
        <v>476.48</v>
      </c>
      <c r="C164" s="144">
        <f>SUM(C161:C163)</f>
        <v>2091.931662</v>
      </c>
      <c r="D164" s="144">
        <f t="shared" si="73"/>
        <v>2718.3240000000001</v>
      </c>
      <c r="E164" s="144">
        <f t="shared" si="73"/>
        <v>5286.735662</v>
      </c>
      <c r="F164" s="145">
        <f t="shared" si="73"/>
        <v>468.26100000000002</v>
      </c>
      <c r="G164" s="144">
        <f t="shared" si="73"/>
        <v>37.070608</v>
      </c>
      <c r="H164" s="144">
        <f>SUM(H161:H163)</f>
        <v>3263.6674800000001</v>
      </c>
      <c r="I164" s="144">
        <f t="shared" si="73"/>
        <v>4401.8204740000001</v>
      </c>
      <c r="J164" s="144">
        <f t="shared" si="73"/>
        <v>8170.8195620000006</v>
      </c>
      <c r="K164" s="145">
        <f t="shared" si="73"/>
        <v>468.26100000000002</v>
      </c>
      <c r="L164" s="144">
        <f t="shared" si="73"/>
        <v>513.55060800000001</v>
      </c>
      <c r="M164" s="144">
        <f t="shared" si="73"/>
        <v>5355.599142</v>
      </c>
      <c r="N164" s="144">
        <f t="shared" si="73"/>
        <v>7120.1444740000006</v>
      </c>
      <c r="O164" s="144">
        <f t="shared" si="73"/>
        <v>13457.555224000002</v>
      </c>
      <c r="P164" s="146"/>
      <c r="Q164" s="147" t="s">
        <v>55</v>
      </c>
      <c r="R164" s="177"/>
    </row>
    <row r="165" spans="1:18" s="65" customFormat="1" ht="11.25" x14ac:dyDescent="0.2">
      <c r="A165" s="145">
        <v>4.0000000000000001E-3</v>
      </c>
      <c r="B165" s="144">
        <v>180.447</v>
      </c>
      <c r="C165" s="144">
        <v>700.07838200000003</v>
      </c>
      <c r="D165" s="144">
        <v>909.65470000000005</v>
      </c>
      <c r="E165" s="144">
        <f>SUM(A165:D165)</f>
        <v>1790.1840820000002</v>
      </c>
      <c r="F165" s="145">
        <v>141.48400000000001</v>
      </c>
      <c r="G165" s="144">
        <v>7.9589999999999996</v>
      </c>
      <c r="H165" s="144">
        <v>1005.629319</v>
      </c>
      <c r="I165" s="144">
        <v>1354.502598</v>
      </c>
      <c r="J165" s="144">
        <f>SUM(F165:I165)</f>
        <v>2509.5749169999999</v>
      </c>
      <c r="K165" s="145">
        <f t="shared" ref="K165:O166" si="74">A165+F165</f>
        <v>141.488</v>
      </c>
      <c r="L165" s="144">
        <f t="shared" si="74"/>
        <v>188.40600000000001</v>
      </c>
      <c r="M165" s="144">
        <f t="shared" si="74"/>
        <v>1705.707701</v>
      </c>
      <c r="N165" s="144">
        <f t="shared" si="74"/>
        <v>2264.1572980000001</v>
      </c>
      <c r="O165" s="144">
        <f t="shared" si="74"/>
        <v>4299.7589989999997</v>
      </c>
      <c r="P165" s="146"/>
      <c r="Q165" s="147" t="s">
        <v>89</v>
      </c>
      <c r="R165" s="177"/>
    </row>
    <row r="166" spans="1:18" s="65" customFormat="1" ht="11.25" x14ac:dyDescent="0.2">
      <c r="A166" s="145">
        <v>0</v>
      </c>
      <c r="B166" s="144">
        <v>118.205</v>
      </c>
      <c r="C166" s="144">
        <v>601.92697099999998</v>
      </c>
      <c r="D166" s="144">
        <v>874.5521</v>
      </c>
      <c r="E166" s="144">
        <f>SUM(A166:D166)</f>
        <v>1594.6840710000001</v>
      </c>
      <c r="F166" s="145">
        <v>156.05699999999999</v>
      </c>
      <c r="G166" s="144">
        <v>15.458</v>
      </c>
      <c r="H166" s="144">
        <v>1057.0959009999999</v>
      </c>
      <c r="I166" s="144">
        <v>1272.959617</v>
      </c>
      <c r="J166" s="144">
        <f>SUM(F166:I166)</f>
        <v>2501.570518</v>
      </c>
      <c r="K166" s="145">
        <f t="shared" si="74"/>
        <v>156.05699999999999</v>
      </c>
      <c r="L166" s="144">
        <f t="shared" si="74"/>
        <v>133.66300000000001</v>
      </c>
      <c r="M166" s="144">
        <f t="shared" si="74"/>
        <v>1659.022872</v>
      </c>
      <c r="N166" s="144">
        <f>D166+I166</f>
        <v>2147.5117169999999</v>
      </c>
      <c r="O166" s="144">
        <f t="shared" si="74"/>
        <v>4096.2545890000001</v>
      </c>
      <c r="P166" s="146"/>
      <c r="Q166" s="147" t="s">
        <v>90</v>
      </c>
      <c r="R166" s="177"/>
    </row>
    <row r="167" spans="1:18" s="65" customFormat="1" ht="11.25" x14ac:dyDescent="0.2">
      <c r="A167" s="145">
        <v>1.86</v>
      </c>
      <c r="B167" s="144">
        <v>168.7567</v>
      </c>
      <c r="C167" s="144">
        <v>828.066147</v>
      </c>
      <c r="D167" s="144">
        <v>930.5616</v>
      </c>
      <c r="E167" s="144">
        <f>SUM(A167:D167)</f>
        <v>1929.244447</v>
      </c>
      <c r="F167" s="145">
        <v>153.22800000000001</v>
      </c>
      <c r="G167" s="144">
        <v>22.576000000000001</v>
      </c>
      <c r="H167" s="144">
        <v>1226.33653</v>
      </c>
      <c r="I167" s="144">
        <v>1496.6188790000001</v>
      </c>
      <c r="J167" s="144">
        <f>SUM(F167:I167)</f>
        <v>2898.7594090000002</v>
      </c>
      <c r="K167" s="145">
        <f>A167+F167</f>
        <v>155.08800000000002</v>
      </c>
      <c r="L167" s="144">
        <f>B167+G167</f>
        <v>191.33269999999999</v>
      </c>
      <c r="M167" s="144">
        <f>C167+H167</f>
        <v>2054.402677</v>
      </c>
      <c r="N167" s="144">
        <f>D167+I167</f>
        <v>2427.1804790000001</v>
      </c>
      <c r="O167" s="144">
        <f>E167+J167</f>
        <v>4828.0038560000003</v>
      </c>
      <c r="P167" s="146"/>
      <c r="Q167" s="147" t="s">
        <v>91</v>
      </c>
      <c r="R167" s="177"/>
    </row>
    <row r="168" spans="1:18" s="65" customFormat="1" ht="11.25" x14ac:dyDescent="0.2">
      <c r="A168" s="145">
        <f>SUM(A165:A167)</f>
        <v>1.8640000000000001</v>
      </c>
      <c r="B168" s="144">
        <f t="shared" ref="B168:M168" si="75">SUM(B165:B167)</f>
        <v>467.40869999999995</v>
      </c>
      <c r="C168" s="144">
        <f t="shared" si="75"/>
        <v>2130.0715</v>
      </c>
      <c r="D168" s="144">
        <f t="shared" si="75"/>
        <v>2714.7683999999999</v>
      </c>
      <c r="E168" s="144">
        <f t="shared" si="75"/>
        <v>5314.1126000000004</v>
      </c>
      <c r="F168" s="145">
        <f t="shared" si="75"/>
        <v>450.76900000000001</v>
      </c>
      <c r="G168" s="144">
        <f t="shared" si="75"/>
        <v>45.993000000000002</v>
      </c>
      <c r="H168" s="144">
        <f t="shared" si="75"/>
        <v>3289.0617499999998</v>
      </c>
      <c r="I168" s="144">
        <f t="shared" si="75"/>
        <v>4124.0810940000001</v>
      </c>
      <c r="J168" s="144">
        <f>SUM(J165:J167)</f>
        <v>7909.9048440000006</v>
      </c>
      <c r="K168" s="145">
        <f t="shared" si="75"/>
        <v>452.63299999999998</v>
      </c>
      <c r="L168" s="144">
        <f t="shared" si="75"/>
        <v>513.40170000000001</v>
      </c>
      <c r="M168" s="144">
        <f t="shared" si="75"/>
        <v>5419.1332499999999</v>
      </c>
      <c r="N168" s="144">
        <f>SUM(N165:N167)</f>
        <v>6838.849494</v>
      </c>
      <c r="O168" s="144">
        <f>SUM(O165:O167)</f>
        <v>13224.017444000001</v>
      </c>
      <c r="P168" s="146"/>
      <c r="Q168" s="147" t="s">
        <v>56</v>
      </c>
      <c r="R168" s="177"/>
    </row>
    <row r="169" spans="1:18" s="65" customFormat="1" ht="11.25" x14ac:dyDescent="0.2">
      <c r="A169" s="130"/>
      <c r="B169" s="127"/>
      <c r="C169" s="127"/>
      <c r="D169" s="127"/>
      <c r="E169" s="127"/>
      <c r="F169" s="130"/>
      <c r="G169" s="127"/>
      <c r="H169" s="127"/>
      <c r="I169" s="127"/>
      <c r="J169" s="127"/>
      <c r="K169" s="130"/>
      <c r="L169" s="127"/>
      <c r="M169" s="127"/>
      <c r="N169" s="127"/>
      <c r="O169" s="127"/>
      <c r="P169" s="131"/>
      <c r="Q169" s="132"/>
      <c r="R169" s="177"/>
    </row>
    <row r="170" spans="1:18" s="65" customFormat="1" ht="11.25" x14ac:dyDescent="0.2">
      <c r="A170" s="145">
        <v>0</v>
      </c>
      <c r="B170" s="144">
        <v>178.86500000000001</v>
      </c>
      <c r="C170" s="144">
        <v>711.729736</v>
      </c>
      <c r="D170" s="144">
        <v>901.59630000000004</v>
      </c>
      <c r="E170" s="144">
        <f>SUM(A170:D170)</f>
        <v>1792.1910360000002</v>
      </c>
      <c r="F170" s="145">
        <v>136.51599999999999</v>
      </c>
      <c r="G170" s="144">
        <v>16.687999999999999</v>
      </c>
      <c r="H170" s="144">
        <v>1040.6468170000001</v>
      </c>
      <c r="I170" s="144">
        <v>1319.4281960000001</v>
      </c>
      <c r="J170" s="144">
        <f>SUM(F170:I170)</f>
        <v>2513.2790130000003</v>
      </c>
      <c r="K170" s="145">
        <f t="shared" ref="K170:O172" si="76">A170+F170</f>
        <v>136.51599999999999</v>
      </c>
      <c r="L170" s="144">
        <f t="shared" si="76"/>
        <v>195.553</v>
      </c>
      <c r="M170" s="144">
        <f t="shared" si="76"/>
        <v>1752.3765530000001</v>
      </c>
      <c r="N170" s="144">
        <f t="shared" si="76"/>
        <v>2221.024496</v>
      </c>
      <c r="O170" s="144">
        <f t="shared" si="76"/>
        <v>4305.4700490000005</v>
      </c>
      <c r="P170" s="146"/>
      <c r="Q170" s="147" t="s">
        <v>78</v>
      </c>
      <c r="R170" s="175">
        <v>2015</v>
      </c>
    </row>
    <row r="171" spans="1:18" s="65" customFormat="1" ht="11.25" x14ac:dyDescent="0.2">
      <c r="A171" s="145">
        <v>0</v>
      </c>
      <c r="B171" s="144">
        <v>166.358</v>
      </c>
      <c r="C171" s="144">
        <v>489.61032</v>
      </c>
      <c r="D171" s="144">
        <v>815.77020000000005</v>
      </c>
      <c r="E171" s="144">
        <f>SUM(A171:D171)</f>
        <v>1471.7385199999999</v>
      </c>
      <c r="F171" s="145">
        <v>122.93899999999999</v>
      </c>
      <c r="G171" s="144">
        <v>15.163</v>
      </c>
      <c r="H171" s="144">
        <v>1056.832226</v>
      </c>
      <c r="I171" s="144">
        <v>1346.2599250000001</v>
      </c>
      <c r="J171" s="144">
        <f>SUM(F171:I171)</f>
        <v>2541.1941510000001</v>
      </c>
      <c r="K171" s="145">
        <f t="shared" si="76"/>
        <v>122.93899999999999</v>
      </c>
      <c r="L171" s="144">
        <f t="shared" si="76"/>
        <v>181.52100000000002</v>
      </c>
      <c r="M171" s="144">
        <f t="shared" si="76"/>
        <v>1546.442546</v>
      </c>
      <c r="N171" s="144">
        <f t="shared" si="76"/>
        <v>2162.0301250000002</v>
      </c>
      <c r="O171" s="144">
        <f t="shared" si="76"/>
        <v>4012.932671</v>
      </c>
      <c r="P171" s="146"/>
      <c r="Q171" s="147" t="s">
        <v>79</v>
      </c>
      <c r="R171" s="175"/>
    </row>
    <row r="172" spans="1:18" s="65" customFormat="1" ht="11.25" x14ac:dyDescent="0.2">
      <c r="A172" s="145">
        <v>1E-3</v>
      </c>
      <c r="B172" s="144">
        <v>60.655999999999999</v>
      </c>
      <c r="C172" s="144">
        <v>775.57729400000005</v>
      </c>
      <c r="D172" s="144">
        <v>1074.0551</v>
      </c>
      <c r="E172" s="144">
        <f>SUM(A172:D172)</f>
        <v>1910.2893940000001</v>
      </c>
      <c r="F172" s="145">
        <v>200.703</v>
      </c>
      <c r="G172" s="144">
        <v>14.477259999999999</v>
      </c>
      <c r="H172" s="144">
        <v>1277.078156</v>
      </c>
      <c r="I172" s="144">
        <v>1638.18723</v>
      </c>
      <c r="J172" s="144">
        <f>SUM(F172:I172)</f>
        <v>3130.4456460000001</v>
      </c>
      <c r="K172" s="145">
        <f t="shared" si="76"/>
        <v>200.70400000000001</v>
      </c>
      <c r="L172" s="144">
        <f t="shared" si="76"/>
        <v>75.133259999999993</v>
      </c>
      <c r="M172" s="144">
        <f t="shared" si="76"/>
        <v>2052.6554500000002</v>
      </c>
      <c r="N172" s="144">
        <f t="shared" si="76"/>
        <v>2712.24233</v>
      </c>
      <c r="O172" s="144">
        <f t="shared" si="76"/>
        <v>5040.7350400000005</v>
      </c>
      <c r="P172" s="146"/>
      <c r="Q172" s="147" t="s">
        <v>80</v>
      </c>
      <c r="R172" s="175"/>
    </row>
    <row r="173" spans="1:18" s="65" customFormat="1" ht="11.25" x14ac:dyDescent="0.2">
      <c r="A173" s="145">
        <f t="shared" ref="A173:G173" si="77">SUM(A170:A172)</f>
        <v>1E-3</v>
      </c>
      <c r="B173" s="144">
        <f t="shared" si="77"/>
        <v>405.87900000000002</v>
      </c>
      <c r="C173" s="144">
        <f>SUM(C170:C172)</f>
        <v>1976.9173500000002</v>
      </c>
      <c r="D173" s="144">
        <f>SUM(D170:D172)</f>
        <v>2791.4216000000001</v>
      </c>
      <c r="E173" s="144">
        <f t="shared" si="77"/>
        <v>5174.2189500000004</v>
      </c>
      <c r="F173" s="145">
        <f t="shared" si="77"/>
        <v>460.15800000000002</v>
      </c>
      <c r="G173" s="144">
        <f t="shared" si="77"/>
        <v>46.32826</v>
      </c>
      <c r="H173" s="144">
        <f t="shared" ref="H173:O173" si="78">SUM(H170:H172)</f>
        <v>3374.5571990000003</v>
      </c>
      <c r="I173" s="144">
        <f>SUM(I170:I172)</f>
        <v>4303.8753510000006</v>
      </c>
      <c r="J173" s="144">
        <f t="shared" si="78"/>
        <v>8184.918810000001</v>
      </c>
      <c r="K173" s="145">
        <f t="shared" si="78"/>
        <v>460.15899999999999</v>
      </c>
      <c r="L173" s="144">
        <f t="shared" si="78"/>
        <v>452.20726000000002</v>
      </c>
      <c r="M173" s="144">
        <f t="shared" si="78"/>
        <v>5351.4745490000005</v>
      </c>
      <c r="N173" s="144">
        <f t="shared" si="78"/>
        <v>7095.2969510000003</v>
      </c>
      <c r="O173" s="144">
        <f t="shared" si="78"/>
        <v>13359.137760000001</v>
      </c>
      <c r="P173" s="146"/>
      <c r="Q173" s="147" t="s">
        <v>53</v>
      </c>
      <c r="R173" s="175">
        <v>2015</v>
      </c>
    </row>
    <row r="174" spans="1:18" s="65" customFormat="1" ht="11.25" x14ac:dyDescent="0.2">
      <c r="A174" s="145">
        <v>0.34</v>
      </c>
      <c r="B174" s="144">
        <v>0.12265</v>
      </c>
      <c r="C174" s="144">
        <v>565.59638399999994</v>
      </c>
      <c r="D174" s="144">
        <v>837.52380000000005</v>
      </c>
      <c r="E174" s="144">
        <f>SUM(A174:D174)</f>
        <v>1403.582834</v>
      </c>
      <c r="F174" s="145">
        <v>176.57</v>
      </c>
      <c r="G174" s="144">
        <v>18.5669</v>
      </c>
      <c r="H174" s="144">
        <v>1028.561146</v>
      </c>
      <c r="I174" s="144">
        <v>1363.4177999999999</v>
      </c>
      <c r="J174" s="144">
        <f>SUM(F174:I174)</f>
        <v>2587.1158459999997</v>
      </c>
      <c r="K174" s="145">
        <f>A174+F174</f>
        <v>176.91</v>
      </c>
      <c r="L174" s="144">
        <f>B174+G174</f>
        <v>18.689550000000001</v>
      </c>
      <c r="M174" s="144">
        <f>C174+H174</f>
        <v>1594.15753</v>
      </c>
      <c r="N174" s="144">
        <f>D174+I174</f>
        <v>2200.9416000000001</v>
      </c>
      <c r="O174" s="144">
        <f>E174+J174</f>
        <v>3990.6986799999995</v>
      </c>
      <c r="P174" s="146"/>
      <c r="Q174" s="147" t="s">
        <v>68</v>
      </c>
      <c r="R174" s="175"/>
    </row>
    <row r="175" spans="1:18" s="65" customFormat="1" ht="11.25" x14ac:dyDescent="0.2">
      <c r="A175" s="145">
        <v>1.05</v>
      </c>
      <c r="B175" s="144">
        <v>0.214</v>
      </c>
      <c r="C175" s="144">
        <v>802.06216700000004</v>
      </c>
      <c r="D175" s="144">
        <v>864.19579999999996</v>
      </c>
      <c r="E175" s="144">
        <f>SUM(A175:D175)</f>
        <v>1667.5219670000001</v>
      </c>
      <c r="F175" s="145">
        <v>164.60900000000001</v>
      </c>
      <c r="G175" s="144">
        <v>20.001000000000001</v>
      </c>
      <c r="H175" s="144">
        <v>1136.1616959999999</v>
      </c>
      <c r="I175" s="144">
        <v>1412.4945</v>
      </c>
      <c r="J175" s="144">
        <f>SUM(F175:I175)</f>
        <v>2733.2661959999996</v>
      </c>
      <c r="K175" s="145">
        <f>F175+A175</f>
        <v>165.65900000000002</v>
      </c>
      <c r="L175" s="144">
        <f>G175+B175</f>
        <v>20.215</v>
      </c>
      <c r="M175" s="144">
        <f t="shared" ref="M175:O176" si="79">H175+C175</f>
        <v>1938.2238629999999</v>
      </c>
      <c r="N175" s="144">
        <f t="shared" si="79"/>
        <v>2276.6903000000002</v>
      </c>
      <c r="O175" s="144">
        <f t="shared" si="79"/>
        <v>4400.7881629999993</v>
      </c>
      <c r="P175" s="146"/>
      <c r="Q175" s="147" t="s">
        <v>82</v>
      </c>
      <c r="R175" s="175"/>
    </row>
    <row r="176" spans="1:18" s="65" customFormat="1" ht="11.25" x14ac:dyDescent="0.2">
      <c r="A176" s="145">
        <v>3.03</v>
      </c>
      <c r="B176" s="144">
        <v>207.46899999999999</v>
      </c>
      <c r="C176" s="144">
        <v>737.48818500000004</v>
      </c>
      <c r="D176" s="144">
        <v>809.44899999999996</v>
      </c>
      <c r="E176" s="144">
        <f>SUM(A176:D176)</f>
        <v>1757.436185</v>
      </c>
      <c r="F176" s="145">
        <v>199.012</v>
      </c>
      <c r="G176" s="144">
        <v>16.536999999999999</v>
      </c>
      <c r="H176" s="144">
        <v>1292.4134750000001</v>
      </c>
      <c r="I176" s="144">
        <v>1444.3894</v>
      </c>
      <c r="J176" s="144">
        <f>SUM(F176:I176)</f>
        <v>2952.3518750000003</v>
      </c>
      <c r="K176" s="145">
        <f>F176+A176</f>
        <v>202.042</v>
      </c>
      <c r="L176" s="144">
        <f>G176+B176</f>
        <v>224.006</v>
      </c>
      <c r="M176" s="144">
        <f t="shared" si="79"/>
        <v>2029.90166</v>
      </c>
      <c r="N176" s="144">
        <f>I176+D176</f>
        <v>2253.8384000000001</v>
      </c>
      <c r="O176" s="144">
        <f t="shared" si="79"/>
        <v>4709.7880600000008</v>
      </c>
      <c r="P176" s="146"/>
      <c r="Q176" s="147" t="s">
        <v>83</v>
      </c>
      <c r="R176" s="175"/>
    </row>
    <row r="177" spans="1:19" s="65" customFormat="1" ht="11.25" x14ac:dyDescent="0.2">
      <c r="A177" s="145">
        <f t="shared" ref="A177:L177" si="80">SUM(A174:A176)</f>
        <v>4.42</v>
      </c>
      <c r="B177" s="144">
        <f t="shared" si="80"/>
        <v>207.80564999999999</v>
      </c>
      <c r="C177" s="144">
        <f t="shared" si="80"/>
        <v>2105.1467360000001</v>
      </c>
      <c r="D177" s="144">
        <f>SUM(D174:D176)</f>
        <v>2511.1686</v>
      </c>
      <c r="E177" s="144">
        <f t="shared" si="80"/>
        <v>4828.540986</v>
      </c>
      <c r="F177" s="145">
        <f>SUM(F174:F176)</f>
        <v>540.19100000000003</v>
      </c>
      <c r="G177" s="144">
        <f t="shared" si="80"/>
        <v>55.104900000000001</v>
      </c>
      <c r="H177" s="144">
        <f>SUM(H174:H176)</f>
        <v>3457.1363170000004</v>
      </c>
      <c r="I177" s="144">
        <f>SUM(I174:I176)</f>
        <v>4220.3017</v>
      </c>
      <c r="J177" s="144">
        <f t="shared" si="80"/>
        <v>8272.7339169999996</v>
      </c>
      <c r="K177" s="145">
        <f t="shared" si="80"/>
        <v>544.61099999999999</v>
      </c>
      <c r="L177" s="144">
        <f t="shared" si="80"/>
        <v>262.91055</v>
      </c>
      <c r="M177" s="144">
        <f>SUM(M174:M176)</f>
        <v>5562.2830529999992</v>
      </c>
      <c r="N177" s="144">
        <f>SUM(N174:N176)</f>
        <v>6731.4703000000009</v>
      </c>
      <c r="O177" s="144">
        <f>SUM(O174:O176)</f>
        <v>13101.274903</v>
      </c>
      <c r="P177" s="146"/>
      <c r="Q177" s="147" t="s">
        <v>54</v>
      </c>
      <c r="R177" s="175"/>
    </row>
    <row r="178" spans="1:19" s="65" customFormat="1" ht="11.25" x14ac:dyDescent="0.2">
      <c r="A178" s="145">
        <v>0</v>
      </c>
      <c r="B178" s="144">
        <v>290.94099999999997</v>
      </c>
      <c r="C178" s="166">
        <v>667.23022100000003</v>
      </c>
      <c r="D178" s="144">
        <v>850.85569999999996</v>
      </c>
      <c r="E178" s="144">
        <f>SUM(A178:D178)</f>
        <v>1809.0269210000001</v>
      </c>
      <c r="F178" s="145">
        <v>165.75399999999999</v>
      </c>
      <c r="G178" s="144">
        <v>23.51652</v>
      </c>
      <c r="H178" s="166">
        <v>1264.747912</v>
      </c>
      <c r="I178" s="144">
        <v>1323.1977999999999</v>
      </c>
      <c r="J178" s="144">
        <f>SUM(F178:I178)</f>
        <v>2777.2162319999998</v>
      </c>
      <c r="K178" s="145">
        <f t="shared" ref="K178:O180" si="81">A178+F178</f>
        <v>165.75399999999999</v>
      </c>
      <c r="L178" s="144">
        <f t="shared" si="81"/>
        <v>314.45751999999999</v>
      </c>
      <c r="M178" s="144">
        <f t="shared" si="81"/>
        <v>1931.9781330000001</v>
      </c>
      <c r="N178" s="144">
        <f t="shared" si="81"/>
        <v>2174.0535</v>
      </c>
      <c r="O178" s="144">
        <f t="shared" si="81"/>
        <v>4586.2431529999994</v>
      </c>
      <c r="P178" s="146"/>
      <c r="Q178" s="147" t="s">
        <v>85</v>
      </c>
      <c r="R178" s="175"/>
    </row>
    <row r="179" spans="1:19" s="65" customFormat="1" ht="11.25" x14ac:dyDescent="0.2">
      <c r="A179" s="145">
        <v>0</v>
      </c>
      <c r="B179" s="144">
        <v>225.637</v>
      </c>
      <c r="C179" s="166">
        <v>607.15200000000004</v>
      </c>
      <c r="D179" s="144">
        <v>755.87969999999996</v>
      </c>
      <c r="E179" s="144">
        <f>SUM(A179:D179)</f>
        <v>1588.6686999999999</v>
      </c>
      <c r="F179" s="145">
        <v>213.04300000000001</v>
      </c>
      <c r="G179" s="144">
        <v>20.579000000000001</v>
      </c>
      <c r="H179" s="166">
        <v>1337.5614430000001</v>
      </c>
      <c r="I179" s="166">
        <v>1270.0273999999999</v>
      </c>
      <c r="J179" s="144">
        <f>SUM(F179:I179)</f>
        <v>2841.2108429999998</v>
      </c>
      <c r="K179" s="145">
        <f t="shared" si="81"/>
        <v>213.04300000000001</v>
      </c>
      <c r="L179" s="144">
        <f t="shared" si="81"/>
        <v>246.21600000000001</v>
      </c>
      <c r="M179" s="144">
        <f t="shared" si="81"/>
        <v>1944.7134430000001</v>
      </c>
      <c r="N179" s="144">
        <f t="shared" si="81"/>
        <v>2025.9070999999999</v>
      </c>
      <c r="O179" s="144">
        <f t="shared" si="81"/>
        <v>4429.879543</v>
      </c>
      <c r="P179" s="146"/>
      <c r="Q179" s="147" t="s">
        <v>86</v>
      </c>
      <c r="R179" s="175"/>
    </row>
    <row r="180" spans="1:19" s="65" customFormat="1" ht="11.25" x14ac:dyDescent="0.2">
      <c r="A180" s="145">
        <v>1.2889999999999999</v>
      </c>
      <c r="B180" s="144">
        <v>83.691999999999993</v>
      </c>
      <c r="C180" s="166">
        <v>610.65578800000003</v>
      </c>
      <c r="D180" s="144">
        <v>780.51689999999996</v>
      </c>
      <c r="E180" s="144">
        <f>SUM(A180:D180)</f>
        <v>1476.1536879999999</v>
      </c>
      <c r="F180" s="145">
        <v>180.53899999999999</v>
      </c>
      <c r="G180" s="144">
        <v>3.05142452369321</v>
      </c>
      <c r="H180" s="166">
        <v>1057.114701</v>
      </c>
      <c r="I180" s="166">
        <v>1409.973</v>
      </c>
      <c r="J180" s="144">
        <f>SUM(F180:I180)</f>
        <v>2650.6781255236929</v>
      </c>
      <c r="K180" s="145">
        <f t="shared" si="81"/>
        <v>181.82799999999997</v>
      </c>
      <c r="L180" s="144">
        <f t="shared" si="81"/>
        <v>86.743424523693207</v>
      </c>
      <c r="M180" s="144">
        <f t="shared" si="81"/>
        <v>1667.770489</v>
      </c>
      <c r="N180" s="144">
        <f t="shared" si="81"/>
        <v>2190.4899</v>
      </c>
      <c r="O180" s="144">
        <f t="shared" si="81"/>
        <v>4126.8318135236932</v>
      </c>
      <c r="P180" s="146"/>
      <c r="Q180" s="147" t="s">
        <v>87</v>
      </c>
      <c r="R180" s="175"/>
    </row>
    <row r="181" spans="1:19" s="65" customFormat="1" ht="11.25" x14ac:dyDescent="0.2">
      <c r="A181" s="145">
        <f t="shared" ref="A181:M181" si="82">SUM(A178:A180)</f>
        <v>1.2889999999999999</v>
      </c>
      <c r="B181" s="144">
        <f t="shared" si="82"/>
        <v>600.27</v>
      </c>
      <c r="C181" s="166">
        <f>SUM(C178:C180)</f>
        <v>1885.0380090000001</v>
      </c>
      <c r="D181" s="144">
        <f t="shared" si="82"/>
        <v>2387.2523000000001</v>
      </c>
      <c r="E181" s="144">
        <f>SUM(E178:E180)</f>
        <v>4873.8493089999993</v>
      </c>
      <c r="F181" s="145">
        <f>SUM(F178:F180)</f>
        <v>559.33600000000001</v>
      </c>
      <c r="G181" s="144">
        <f t="shared" si="82"/>
        <v>47.146944523693207</v>
      </c>
      <c r="H181" s="166">
        <f>SUM(H178:H180)</f>
        <v>3659.4240560000003</v>
      </c>
      <c r="I181" s="166">
        <f>SUM(I178:I180)</f>
        <v>4003.1981999999998</v>
      </c>
      <c r="J181" s="144">
        <f>SUM(J178:J180)</f>
        <v>8269.1052005236925</v>
      </c>
      <c r="K181" s="145">
        <f t="shared" si="82"/>
        <v>560.625</v>
      </c>
      <c r="L181" s="144">
        <f t="shared" si="82"/>
        <v>647.41694452369325</v>
      </c>
      <c r="M181" s="144">
        <f t="shared" si="82"/>
        <v>5544.4620649999997</v>
      </c>
      <c r="N181" s="144">
        <f>SUM(N178:N180)</f>
        <v>6390.4505000000008</v>
      </c>
      <c r="O181" s="144">
        <f>SUM(O178:O180)</f>
        <v>13142.954509523692</v>
      </c>
      <c r="P181" s="146"/>
      <c r="Q181" s="147" t="s">
        <v>55</v>
      </c>
      <c r="R181" s="175"/>
    </row>
    <row r="182" spans="1:19" s="65" customFormat="1" ht="11.25" x14ac:dyDescent="0.2">
      <c r="A182" s="145">
        <v>0</v>
      </c>
      <c r="B182" s="144">
        <v>226.16499999999999</v>
      </c>
      <c r="C182" s="166">
        <v>595.238921</v>
      </c>
      <c r="D182" s="144">
        <v>839.43870000000004</v>
      </c>
      <c r="E182" s="144">
        <f>SUM(A182:D182)</f>
        <v>1660.842621</v>
      </c>
      <c r="F182" s="145">
        <v>178.80600000000001</v>
      </c>
      <c r="G182" s="144">
        <v>36.497999999999998</v>
      </c>
      <c r="H182" s="166">
        <v>1289.312322</v>
      </c>
      <c r="I182" s="166">
        <v>1525.5945999999999</v>
      </c>
      <c r="J182" s="144">
        <f>SUM(F182:I182)</f>
        <v>3030.2109220000002</v>
      </c>
      <c r="K182" s="145">
        <f t="shared" ref="K182:M184" si="83">F182+A182</f>
        <v>178.80600000000001</v>
      </c>
      <c r="L182" s="144">
        <f t="shared" si="83"/>
        <v>262.66300000000001</v>
      </c>
      <c r="M182" s="144">
        <f t="shared" si="83"/>
        <v>1884.5512429999999</v>
      </c>
      <c r="N182" s="144">
        <f t="shared" ref="N182:O184" si="84">I182+D182</f>
        <v>2365.0333000000001</v>
      </c>
      <c r="O182" s="144">
        <f t="shared" si="84"/>
        <v>4691.053543</v>
      </c>
      <c r="P182" s="146"/>
      <c r="Q182" s="147" t="s">
        <v>89</v>
      </c>
      <c r="R182" s="175"/>
    </row>
    <row r="183" spans="1:19" s="65" customFormat="1" ht="11.25" x14ac:dyDescent="0.2">
      <c r="A183" s="145">
        <v>0</v>
      </c>
      <c r="B183" s="144">
        <v>216.78200000000001</v>
      </c>
      <c r="C183" s="166">
        <v>663.30924600000003</v>
      </c>
      <c r="D183" s="144">
        <v>882.70270000000005</v>
      </c>
      <c r="E183" s="144">
        <f>SUM(A183:D183)</f>
        <v>1762.7939460000002</v>
      </c>
      <c r="F183" s="145">
        <v>191.071</v>
      </c>
      <c r="G183" s="144">
        <v>8.9031663125948395</v>
      </c>
      <c r="H183" s="166">
        <v>1250.1405999999999</v>
      </c>
      <c r="I183" s="166">
        <v>1396.7747999999999</v>
      </c>
      <c r="J183" s="144">
        <f>SUM(F183:I183)</f>
        <v>2846.889566312595</v>
      </c>
      <c r="K183" s="145">
        <f t="shared" si="83"/>
        <v>191.071</v>
      </c>
      <c r="L183" s="144">
        <f t="shared" si="83"/>
        <v>225.68516631259484</v>
      </c>
      <c r="M183" s="144">
        <f t="shared" si="83"/>
        <v>1913.449846</v>
      </c>
      <c r="N183" s="144">
        <f t="shared" si="84"/>
        <v>2279.4775</v>
      </c>
      <c r="O183" s="144">
        <f t="shared" si="84"/>
        <v>4609.6835123125948</v>
      </c>
      <c r="P183" s="146"/>
      <c r="Q183" s="147" t="s">
        <v>90</v>
      </c>
      <c r="R183" s="175"/>
    </row>
    <row r="184" spans="1:19" s="65" customFormat="1" ht="11.25" x14ac:dyDescent="0.2">
      <c r="A184" s="145">
        <v>0</v>
      </c>
      <c r="B184" s="144">
        <v>234.37100000000001</v>
      </c>
      <c r="C184" s="166">
        <v>723.00117699999998</v>
      </c>
      <c r="D184" s="144">
        <v>915.33939999999996</v>
      </c>
      <c r="E184" s="144">
        <f>SUM(A184:D184)</f>
        <v>1872.711577</v>
      </c>
      <c r="F184" s="145">
        <v>200.541</v>
      </c>
      <c r="G184" s="144">
        <v>17.930800999999999</v>
      </c>
      <c r="H184" s="166">
        <v>1294.262919</v>
      </c>
      <c r="I184" s="166">
        <v>1482.3593000000001</v>
      </c>
      <c r="J184" s="144">
        <f>SUM(F184:I184)</f>
        <v>2995.09402</v>
      </c>
      <c r="K184" s="145">
        <f t="shared" si="83"/>
        <v>200.541</v>
      </c>
      <c r="L184" s="144">
        <f t="shared" si="83"/>
        <v>252.30180100000001</v>
      </c>
      <c r="M184" s="144">
        <f t="shared" si="83"/>
        <v>2017.2640959999999</v>
      </c>
      <c r="N184" s="144">
        <f t="shared" si="84"/>
        <v>2397.6986999999999</v>
      </c>
      <c r="O184" s="144">
        <f t="shared" si="84"/>
        <v>4867.8055970000005</v>
      </c>
      <c r="P184" s="146"/>
      <c r="Q184" s="147" t="s">
        <v>91</v>
      </c>
      <c r="R184" s="175"/>
    </row>
    <row r="185" spans="1:19" s="65" customFormat="1" ht="11.25" x14ac:dyDescent="0.2">
      <c r="A185" s="145">
        <f t="shared" ref="A185:M185" si="85">SUM(A182:A184)</f>
        <v>0</v>
      </c>
      <c r="B185" s="144">
        <f t="shared" si="85"/>
        <v>677.31799999999998</v>
      </c>
      <c r="C185" s="166">
        <f>SUM(C182:C184)</f>
        <v>1981.549344</v>
      </c>
      <c r="D185" s="144">
        <f t="shared" si="85"/>
        <v>2637.4807999999998</v>
      </c>
      <c r="E185" s="144">
        <f t="shared" si="85"/>
        <v>5296.3481440000005</v>
      </c>
      <c r="F185" s="145">
        <f>SUM(F182:F184)</f>
        <v>570.41800000000001</v>
      </c>
      <c r="G185" s="144">
        <f t="shared" si="85"/>
        <v>63.331967312594841</v>
      </c>
      <c r="H185" s="166">
        <f>SUM(H182:H184)</f>
        <v>3833.7158410000002</v>
      </c>
      <c r="I185" s="166">
        <f>SUM(I182:I184)</f>
        <v>4404.7286999999997</v>
      </c>
      <c r="J185" s="144">
        <f t="shared" si="85"/>
        <v>8872.1945083125956</v>
      </c>
      <c r="K185" s="145">
        <f t="shared" si="85"/>
        <v>570.41800000000001</v>
      </c>
      <c r="L185" s="144">
        <f t="shared" si="85"/>
        <v>740.64996731259487</v>
      </c>
      <c r="M185" s="144">
        <f t="shared" si="85"/>
        <v>5815.2651850000002</v>
      </c>
      <c r="N185" s="144">
        <f>SUM(N182:N184)</f>
        <v>7042.2094999999999</v>
      </c>
      <c r="O185" s="144">
        <f>SUM(O182:O184)</f>
        <v>14168.542652312595</v>
      </c>
      <c r="P185" s="146"/>
      <c r="Q185" s="147" t="s">
        <v>56</v>
      </c>
      <c r="R185" s="175"/>
    </row>
    <row r="186" spans="1:19" s="65" customFormat="1" ht="11.25" x14ac:dyDescent="0.2">
      <c r="A186" s="130"/>
      <c r="B186" s="127"/>
      <c r="C186" s="158"/>
      <c r="D186" s="127"/>
      <c r="E186" s="127"/>
      <c r="F186" s="130"/>
      <c r="G186" s="127"/>
      <c r="H186" s="158"/>
      <c r="I186" s="158"/>
      <c r="J186" s="127"/>
      <c r="K186" s="130"/>
      <c r="L186" s="127"/>
      <c r="M186" s="127"/>
      <c r="N186" s="127"/>
      <c r="O186" s="127"/>
      <c r="P186" s="131"/>
      <c r="Q186" s="132"/>
      <c r="R186" s="177"/>
    </row>
    <row r="187" spans="1:19" s="65" customFormat="1" ht="11.25" x14ac:dyDescent="0.2">
      <c r="A187" s="145">
        <v>0</v>
      </c>
      <c r="B187" s="144">
        <v>48.98</v>
      </c>
      <c r="C187" s="166">
        <v>701.59556299999997</v>
      </c>
      <c r="D187" s="144">
        <v>908.78420000000006</v>
      </c>
      <c r="E187" s="144">
        <f>SUM(A187:D187)</f>
        <v>1659.3597629999999</v>
      </c>
      <c r="F187" s="145">
        <v>213.934</v>
      </c>
      <c r="G187" s="144">
        <v>17.594999999999999</v>
      </c>
      <c r="H187" s="166">
        <v>1148.4791740000001</v>
      </c>
      <c r="I187" s="166">
        <v>1404.6694110000001</v>
      </c>
      <c r="J187" s="144">
        <f>SUM(F187:I187)</f>
        <v>2784.6775850000004</v>
      </c>
      <c r="K187" s="145">
        <f t="shared" ref="K187:O189" si="86">A187+F187</f>
        <v>213.934</v>
      </c>
      <c r="L187" s="144">
        <f t="shared" si="86"/>
        <v>66.574999999999989</v>
      </c>
      <c r="M187" s="144">
        <f t="shared" si="86"/>
        <v>1850.0747369999999</v>
      </c>
      <c r="N187" s="144">
        <f t="shared" si="86"/>
        <v>2313.4536109999999</v>
      </c>
      <c r="O187" s="144">
        <f t="shared" si="86"/>
        <v>4444.0373479999998</v>
      </c>
      <c r="P187" s="146"/>
      <c r="Q187" s="147" t="s">
        <v>78</v>
      </c>
      <c r="R187" s="175">
        <v>2016</v>
      </c>
    </row>
    <row r="188" spans="1:19" s="65" customFormat="1" ht="11.25" x14ac:dyDescent="0.2">
      <c r="A188" s="145">
        <v>0</v>
      </c>
      <c r="B188" s="144">
        <v>22.42</v>
      </c>
      <c r="C188" s="166">
        <v>616.37804300000005</v>
      </c>
      <c r="D188" s="144">
        <v>894.63679999999999</v>
      </c>
      <c r="E188" s="144">
        <f>SUM(A188:D188)</f>
        <v>1533.434843</v>
      </c>
      <c r="F188" s="145">
        <v>219.93299999999999</v>
      </c>
      <c r="G188" s="144">
        <v>9.1829999999999998</v>
      </c>
      <c r="H188" s="166">
        <v>1259.92725</v>
      </c>
      <c r="I188" s="166">
        <v>1418.9004460000001</v>
      </c>
      <c r="J188" s="144">
        <f>SUM(F188:I188)</f>
        <v>2907.9436960000003</v>
      </c>
      <c r="K188" s="145">
        <f t="shared" si="86"/>
        <v>219.93299999999999</v>
      </c>
      <c r="L188" s="144">
        <f t="shared" si="86"/>
        <v>31.603000000000002</v>
      </c>
      <c r="M188" s="144">
        <f t="shared" si="86"/>
        <v>1876.3052929999999</v>
      </c>
      <c r="N188" s="144">
        <f t="shared" si="86"/>
        <v>2313.5372459999999</v>
      </c>
      <c r="O188" s="144">
        <f t="shared" si="86"/>
        <v>4441.3785390000003</v>
      </c>
      <c r="P188" s="146"/>
      <c r="Q188" s="147" t="s">
        <v>79</v>
      </c>
      <c r="R188" s="175"/>
    </row>
    <row r="189" spans="1:19" s="65" customFormat="1" ht="11.25" x14ac:dyDescent="0.2">
      <c r="A189" s="145">
        <v>0.28599999999999998</v>
      </c>
      <c r="B189" s="144">
        <v>60</v>
      </c>
      <c r="C189" s="166">
        <v>810.697048</v>
      </c>
      <c r="D189" s="144">
        <v>942.87080000000003</v>
      </c>
      <c r="E189" s="144">
        <f>SUM(A189:D189)</f>
        <v>1813.8538480000002</v>
      </c>
      <c r="F189" s="145">
        <v>248.17400000000001</v>
      </c>
      <c r="G189" s="144">
        <v>22.012</v>
      </c>
      <c r="H189" s="144">
        <v>1379.6438270000001</v>
      </c>
      <c r="I189" s="166">
        <v>1581.116239</v>
      </c>
      <c r="J189" s="144">
        <f>SUM(F189:I189)</f>
        <v>3230.946066</v>
      </c>
      <c r="K189" s="145">
        <f t="shared" si="86"/>
        <v>248.46</v>
      </c>
      <c r="L189" s="144">
        <f t="shared" si="86"/>
        <v>82.012</v>
      </c>
      <c r="M189" s="144">
        <f t="shared" si="86"/>
        <v>2190.3408749999999</v>
      </c>
      <c r="N189" s="144">
        <f t="shared" si="86"/>
        <v>2523.9870390000001</v>
      </c>
      <c r="O189" s="144">
        <f t="shared" si="86"/>
        <v>5044.7999140000002</v>
      </c>
      <c r="P189" s="146"/>
      <c r="Q189" s="147" t="s">
        <v>80</v>
      </c>
      <c r="R189" s="175"/>
    </row>
    <row r="190" spans="1:19" s="65" customFormat="1" ht="11.25" x14ac:dyDescent="0.2">
      <c r="A190" s="145">
        <f t="shared" ref="A190:N190" si="87">SUM(A187:A189)</f>
        <v>0.28599999999999998</v>
      </c>
      <c r="B190" s="144">
        <f t="shared" si="87"/>
        <v>131.4</v>
      </c>
      <c r="C190" s="166">
        <f>SUM(C187:C189)</f>
        <v>2128.670654</v>
      </c>
      <c r="D190" s="144">
        <f t="shared" si="87"/>
        <v>2746.2918</v>
      </c>
      <c r="E190" s="144">
        <f t="shared" si="87"/>
        <v>5006.6484540000001</v>
      </c>
      <c r="F190" s="145">
        <f t="shared" si="87"/>
        <v>682.04099999999994</v>
      </c>
      <c r="G190" s="144">
        <f t="shared" si="87"/>
        <v>48.79</v>
      </c>
      <c r="H190" s="166">
        <f>SUM(H187:H189)</f>
        <v>3788.0502509999997</v>
      </c>
      <c r="I190" s="166">
        <f>SUM(I187:I189)</f>
        <v>4404.6860960000004</v>
      </c>
      <c r="J190" s="144">
        <f>SUM(J187:J189)</f>
        <v>8923.5673470000002</v>
      </c>
      <c r="K190" s="145">
        <f>SUM(K187:K189)</f>
        <v>682.327</v>
      </c>
      <c r="L190" s="144">
        <f t="shared" si="87"/>
        <v>180.19</v>
      </c>
      <c r="M190" s="144">
        <f t="shared" si="87"/>
        <v>5916.7209050000001</v>
      </c>
      <c r="N190" s="144">
        <f t="shared" si="87"/>
        <v>7150.9778960000003</v>
      </c>
      <c r="O190" s="144">
        <f>SUM(O187:O189)</f>
        <v>13930.215800999998</v>
      </c>
      <c r="P190" s="146"/>
      <c r="Q190" s="147" t="s">
        <v>53</v>
      </c>
      <c r="R190" s="175">
        <v>2016</v>
      </c>
      <c r="S190" s="167"/>
    </row>
    <row r="191" spans="1:19" s="65" customFormat="1" ht="11.25" x14ac:dyDescent="0.2">
      <c r="A191" s="145">
        <v>0</v>
      </c>
      <c r="B191" s="144">
        <v>112.496</v>
      </c>
      <c r="C191" s="166">
        <v>758.61110099999996</v>
      </c>
      <c r="D191" s="144">
        <v>834.35170000000005</v>
      </c>
      <c r="E191" s="144">
        <f>SUM(A191:D191)</f>
        <v>1705.458801</v>
      </c>
      <c r="F191" s="145">
        <v>239.86600000000001</v>
      </c>
      <c r="G191" s="144">
        <v>22.417000000000002</v>
      </c>
      <c r="H191" s="166">
        <v>1141.484103</v>
      </c>
      <c r="I191" s="166">
        <v>1389.2174130000001</v>
      </c>
      <c r="J191" s="144">
        <f>SUM(F191:I191)</f>
        <v>2792.9845160000004</v>
      </c>
      <c r="K191" s="145">
        <f t="shared" ref="K191:M193" si="88">A191+F191</f>
        <v>239.86600000000001</v>
      </c>
      <c r="L191" s="144">
        <f t="shared" si="88"/>
        <v>134.91300000000001</v>
      </c>
      <c r="M191" s="144">
        <f t="shared" si="88"/>
        <v>1900.095204</v>
      </c>
      <c r="N191" s="144">
        <f t="shared" ref="N191:O193" si="89">D191+I191</f>
        <v>2223.569113</v>
      </c>
      <c r="O191" s="144">
        <f t="shared" si="89"/>
        <v>4498.4433170000002</v>
      </c>
      <c r="P191" s="146"/>
      <c r="Q191" s="147" t="s">
        <v>68</v>
      </c>
      <c r="R191" s="175"/>
    </row>
    <row r="192" spans="1:19" s="65" customFormat="1" ht="11.25" x14ac:dyDescent="0.2">
      <c r="A192" s="145">
        <v>0</v>
      </c>
      <c r="B192" s="144">
        <v>64.428261000000006</v>
      </c>
      <c r="C192" s="166">
        <v>868.15427599999998</v>
      </c>
      <c r="D192" s="144">
        <v>977.23130000000003</v>
      </c>
      <c r="E192" s="144">
        <f>SUM(A192:D192)</f>
        <v>1909.8138370000001</v>
      </c>
      <c r="F192" s="145">
        <v>274.202</v>
      </c>
      <c r="G192" s="144">
        <v>16.718</v>
      </c>
      <c r="H192" s="166">
        <v>1475.5755300000001</v>
      </c>
      <c r="I192" s="166">
        <v>1686.3930800000001</v>
      </c>
      <c r="J192" s="144">
        <f>SUM(F192:I192)</f>
        <v>3452.88861</v>
      </c>
      <c r="K192" s="145">
        <f t="shared" si="88"/>
        <v>274.202</v>
      </c>
      <c r="L192" s="144">
        <f t="shared" si="88"/>
        <v>81.14626100000001</v>
      </c>
      <c r="M192" s="144">
        <f t="shared" si="88"/>
        <v>2343.7298060000003</v>
      </c>
      <c r="N192" s="144">
        <f t="shared" si="89"/>
        <v>2663.6243800000002</v>
      </c>
      <c r="O192" s="144">
        <f t="shared" si="89"/>
        <v>5362.7024469999997</v>
      </c>
      <c r="P192" s="146"/>
      <c r="Q192" s="147" t="s">
        <v>82</v>
      </c>
      <c r="R192" s="175"/>
    </row>
    <row r="193" spans="1:19" s="65" customFormat="1" ht="11.25" x14ac:dyDescent="0.2">
      <c r="A193" s="145">
        <v>0</v>
      </c>
      <c r="B193" s="144">
        <v>91.042000000000002</v>
      </c>
      <c r="C193" s="166">
        <v>835.06733999999994</v>
      </c>
      <c r="D193" s="144">
        <v>853.56640000000004</v>
      </c>
      <c r="E193" s="144">
        <f>SUM(A193:D193)</f>
        <v>1779.6757400000001</v>
      </c>
      <c r="F193" s="145">
        <v>247.614</v>
      </c>
      <c r="G193" s="144">
        <v>18.396000000000001</v>
      </c>
      <c r="H193" s="166">
        <v>1325.0086920000001</v>
      </c>
      <c r="I193" s="166">
        <v>1455.9331569999999</v>
      </c>
      <c r="J193" s="144">
        <f>SUM(F193:I193)</f>
        <v>3046.951849</v>
      </c>
      <c r="K193" s="145">
        <f t="shared" si="88"/>
        <v>247.614</v>
      </c>
      <c r="L193" s="144">
        <f t="shared" si="88"/>
        <v>109.438</v>
      </c>
      <c r="M193" s="144">
        <f t="shared" si="88"/>
        <v>2160.0760319999999</v>
      </c>
      <c r="N193" s="144">
        <f t="shared" si="89"/>
        <v>2309.4995570000001</v>
      </c>
      <c r="O193" s="144">
        <f t="shared" si="89"/>
        <v>4826.6275889999997</v>
      </c>
      <c r="P193" s="146"/>
      <c r="Q193" s="147" t="s">
        <v>83</v>
      </c>
      <c r="R193" s="175"/>
    </row>
    <row r="194" spans="1:19" s="65" customFormat="1" ht="11.25" x14ac:dyDescent="0.2">
      <c r="A194" s="145">
        <f t="shared" ref="A194:O194" si="90">SUM(A191:A193)</f>
        <v>0</v>
      </c>
      <c r="B194" s="144">
        <f t="shared" si="90"/>
        <v>267.96626100000003</v>
      </c>
      <c r="C194" s="166">
        <f>SUM(C191:C193)</f>
        <v>2461.8327169999998</v>
      </c>
      <c r="D194" s="144">
        <f t="shared" si="90"/>
        <v>2665.1494000000002</v>
      </c>
      <c r="E194" s="144">
        <f t="shared" si="90"/>
        <v>5394.948378000001</v>
      </c>
      <c r="F194" s="145">
        <f t="shared" si="90"/>
        <v>761.68200000000002</v>
      </c>
      <c r="G194" s="144">
        <f t="shared" si="90"/>
        <v>57.531000000000006</v>
      </c>
      <c r="H194" s="166">
        <f>SUM(H191:H193)</f>
        <v>3942.0683250000002</v>
      </c>
      <c r="I194" s="166">
        <f>SUM(I191:I193)</f>
        <v>4531.5436499999996</v>
      </c>
      <c r="J194" s="144">
        <f t="shared" si="90"/>
        <v>9292.8249749999995</v>
      </c>
      <c r="K194" s="145">
        <f t="shared" si="90"/>
        <v>761.68200000000002</v>
      </c>
      <c r="L194" s="144">
        <f t="shared" si="90"/>
        <v>325.49726100000004</v>
      </c>
      <c r="M194" s="144">
        <f t="shared" si="90"/>
        <v>6403.9010420000004</v>
      </c>
      <c r="N194" s="144">
        <f t="shared" si="90"/>
        <v>7196.6930500000008</v>
      </c>
      <c r="O194" s="144">
        <f t="shared" si="90"/>
        <v>14687.773353</v>
      </c>
      <c r="P194" s="146"/>
      <c r="Q194" s="147" t="s">
        <v>54</v>
      </c>
      <c r="R194" s="175"/>
      <c r="S194" s="167"/>
    </row>
    <row r="195" spans="1:19" s="65" customFormat="1" ht="11.25" x14ac:dyDescent="0.2">
      <c r="A195" s="145">
        <v>2</v>
      </c>
      <c r="B195" s="144">
        <v>205.286</v>
      </c>
      <c r="C195" s="166">
        <v>714.00382999999999</v>
      </c>
      <c r="D195" s="144">
        <v>741.73440000000005</v>
      </c>
      <c r="E195" s="144">
        <f>SUM(A195:D195)</f>
        <v>1663.02423</v>
      </c>
      <c r="F195" s="145">
        <v>244.00200000000001</v>
      </c>
      <c r="G195" s="144">
        <v>25.24</v>
      </c>
      <c r="H195" s="166">
        <v>1255.6478689999999</v>
      </c>
      <c r="I195" s="166">
        <v>1500.531403</v>
      </c>
      <c r="J195" s="144">
        <f>SUM(F195:I195)</f>
        <v>3025.4212719999996</v>
      </c>
      <c r="K195" s="145">
        <f t="shared" ref="K195:O197" si="91">A195+F195</f>
        <v>246.00200000000001</v>
      </c>
      <c r="L195" s="144">
        <f t="shared" si="91"/>
        <v>230.52600000000001</v>
      </c>
      <c r="M195" s="144">
        <f t="shared" si="91"/>
        <v>1969.651699</v>
      </c>
      <c r="N195" s="144">
        <f t="shared" si="91"/>
        <v>2242.2658030000002</v>
      </c>
      <c r="O195" s="144">
        <f t="shared" si="91"/>
        <v>4688.4455019999996</v>
      </c>
      <c r="P195" s="146"/>
      <c r="Q195" s="147" t="s">
        <v>85</v>
      </c>
      <c r="R195" s="175"/>
    </row>
    <row r="196" spans="1:19" s="65" customFormat="1" ht="11.25" x14ac:dyDescent="0.2">
      <c r="A196" s="145">
        <v>0</v>
      </c>
      <c r="B196" s="144">
        <v>282.37700000000001</v>
      </c>
      <c r="C196" s="166">
        <v>720.88865299999998</v>
      </c>
      <c r="D196" s="144">
        <v>672.44569999999999</v>
      </c>
      <c r="E196" s="144">
        <f>SUM(A196:D196)</f>
        <v>1675.7113529999999</v>
      </c>
      <c r="F196" s="145">
        <v>229.517</v>
      </c>
      <c r="G196" s="144">
        <v>17.917000000000002</v>
      </c>
      <c r="H196" s="166">
        <v>1479.1805770000001</v>
      </c>
      <c r="I196" s="166">
        <v>1511.7312999999999</v>
      </c>
      <c r="J196" s="144">
        <f>SUM(F196:I196)</f>
        <v>3238.3458769999997</v>
      </c>
      <c r="K196" s="145">
        <f t="shared" si="91"/>
        <v>229.517</v>
      </c>
      <c r="L196" s="144">
        <f t="shared" si="91"/>
        <v>300.29399999999998</v>
      </c>
      <c r="M196" s="144">
        <f t="shared" si="91"/>
        <v>2200.0692300000001</v>
      </c>
      <c r="N196" s="144">
        <f t="shared" si="91"/>
        <v>2184.1769999999997</v>
      </c>
      <c r="O196" s="144">
        <f t="shared" si="91"/>
        <v>4914.0572299999994</v>
      </c>
      <c r="P196" s="146"/>
      <c r="Q196" s="147" t="s">
        <v>86</v>
      </c>
      <c r="R196" s="175"/>
    </row>
    <row r="197" spans="1:19" s="65" customFormat="1" ht="11.25" x14ac:dyDescent="0.2">
      <c r="A197" s="145">
        <v>5.0999999999999997E-2</v>
      </c>
      <c r="B197" s="144">
        <v>259.911</v>
      </c>
      <c r="C197" s="166">
        <v>677.34071500000005</v>
      </c>
      <c r="D197" s="144">
        <v>670.23800000000006</v>
      </c>
      <c r="E197" s="144">
        <f>SUM(A197:D197)</f>
        <v>1607.5407150000001</v>
      </c>
      <c r="F197" s="145">
        <v>241.53299999999999</v>
      </c>
      <c r="G197" s="144">
        <v>13.753</v>
      </c>
      <c r="H197" s="166">
        <v>1383.31413</v>
      </c>
      <c r="I197" s="166">
        <v>1478.849297</v>
      </c>
      <c r="J197" s="144">
        <f>SUM(F197:I197)</f>
        <v>3117.449427</v>
      </c>
      <c r="K197" s="145">
        <f t="shared" si="91"/>
        <v>241.58399999999997</v>
      </c>
      <c r="L197" s="144">
        <f>B197+G197</f>
        <v>273.66399999999999</v>
      </c>
      <c r="M197" s="144">
        <f>C197+H197</f>
        <v>2060.654845</v>
      </c>
      <c r="N197" s="144">
        <f t="shared" si="91"/>
        <v>2149.087297</v>
      </c>
      <c r="O197" s="144">
        <f t="shared" si="91"/>
        <v>4724.9901420000006</v>
      </c>
      <c r="P197" s="146"/>
      <c r="Q197" s="147" t="s">
        <v>87</v>
      </c>
      <c r="R197" s="175"/>
    </row>
    <row r="198" spans="1:19" s="65" customFormat="1" ht="11.25" x14ac:dyDescent="0.2">
      <c r="A198" s="145">
        <f t="shared" ref="A198:N198" si="92">SUM(A195:A197)</f>
        <v>2.0510000000000002</v>
      </c>
      <c r="B198" s="144">
        <f t="shared" si="92"/>
        <v>747.57400000000007</v>
      </c>
      <c r="C198" s="166">
        <f t="shared" si="92"/>
        <v>2112.2331979999999</v>
      </c>
      <c r="D198" s="144">
        <f t="shared" si="92"/>
        <v>2084.4180999999999</v>
      </c>
      <c r="E198" s="144">
        <f t="shared" si="92"/>
        <v>4946.2762979999998</v>
      </c>
      <c r="F198" s="145">
        <f t="shared" si="92"/>
        <v>715.05200000000002</v>
      </c>
      <c r="G198" s="144">
        <f t="shared" si="92"/>
        <v>56.91</v>
      </c>
      <c r="H198" s="166">
        <f t="shared" si="92"/>
        <v>4118.1425760000002</v>
      </c>
      <c r="I198" s="166">
        <f>SUM(I195:I197)</f>
        <v>4491.1120000000001</v>
      </c>
      <c r="J198" s="144">
        <f t="shared" si="92"/>
        <v>9381.2165759999989</v>
      </c>
      <c r="K198" s="145">
        <f t="shared" si="92"/>
        <v>717.10299999999995</v>
      </c>
      <c r="L198" s="144">
        <f t="shared" si="92"/>
        <v>804.48399999999992</v>
      </c>
      <c r="M198" s="144">
        <f t="shared" si="92"/>
        <v>6230.3757740000001</v>
      </c>
      <c r="N198" s="144">
        <f t="shared" si="92"/>
        <v>6575.5300999999999</v>
      </c>
      <c r="O198" s="144">
        <f>SUM(O195:O197)</f>
        <v>14327.492874</v>
      </c>
      <c r="P198" s="146"/>
      <c r="Q198" s="147" t="s">
        <v>55</v>
      </c>
      <c r="R198" s="175"/>
    </row>
    <row r="199" spans="1:19" s="65" customFormat="1" ht="11.25" x14ac:dyDescent="0.2">
      <c r="A199" s="145">
        <v>0</v>
      </c>
      <c r="B199" s="144">
        <v>138.01</v>
      </c>
      <c r="C199" s="166">
        <v>504.89150000000001</v>
      </c>
      <c r="D199" s="144">
        <v>766.4348</v>
      </c>
      <c r="E199" s="144">
        <f>SUM(A199:D199)</f>
        <v>1409.3362999999999</v>
      </c>
      <c r="F199" s="145">
        <v>194.488</v>
      </c>
      <c r="G199" s="144">
        <v>15.276999999999999</v>
      </c>
      <c r="H199" s="166">
        <v>1030.4709</v>
      </c>
      <c r="I199" s="166">
        <v>1563.3525</v>
      </c>
      <c r="J199" s="144">
        <f>SUM(F199:I199)</f>
        <v>2803.5884000000001</v>
      </c>
      <c r="K199" s="145">
        <f t="shared" ref="K199:O200" si="93">A199+F199</f>
        <v>194.488</v>
      </c>
      <c r="L199" s="144">
        <f t="shared" si="93"/>
        <v>153.28699999999998</v>
      </c>
      <c r="M199" s="144">
        <f t="shared" si="93"/>
        <v>1535.3624</v>
      </c>
      <c r="N199" s="144">
        <f t="shared" si="93"/>
        <v>2329.7873</v>
      </c>
      <c r="O199" s="144">
        <f t="shared" si="93"/>
        <v>4212.9246999999996</v>
      </c>
      <c r="P199" s="146"/>
      <c r="Q199" s="147" t="s">
        <v>89</v>
      </c>
      <c r="R199" s="175"/>
    </row>
    <row r="200" spans="1:19" s="65" customFormat="1" ht="11.25" x14ac:dyDescent="0.2">
      <c r="A200" s="145">
        <v>0</v>
      </c>
      <c r="B200" s="144">
        <v>305.95499999999998</v>
      </c>
      <c r="C200" s="166">
        <v>777.33600000000001</v>
      </c>
      <c r="D200" s="144">
        <v>937.44489999999996</v>
      </c>
      <c r="E200" s="144">
        <f>SUM(A200:D200)</f>
        <v>2020.7358999999999</v>
      </c>
      <c r="F200" s="145">
        <v>238.98500000000001</v>
      </c>
      <c r="G200" s="144">
        <v>15.776999999999999</v>
      </c>
      <c r="H200" s="166">
        <v>1305.9649999999999</v>
      </c>
      <c r="I200" s="166">
        <v>1368.2104360000001</v>
      </c>
      <c r="J200" s="144">
        <f>SUM(F200:I200)</f>
        <v>2928.9374360000002</v>
      </c>
      <c r="K200" s="145">
        <f t="shared" si="93"/>
        <v>238.98500000000001</v>
      </c>
      <c r="L200" s="144">
        <f t="shared" si="93"/>
        <v>321.73199999999997</v>
      </c>
      <c r="M200" s="144">
        <f t="shared" si="93"/>
        <v>2083.3009999999999</v>
      </c>
      <c r="N200" s="144">
        <f t="shared" si="93"/>
        <v>2305.6553359999998</v>
      </c>
      <c r="O200" s="144">
        <f t="shared" si="93"/>
        <v>4949.6733359999998</v>
      </c>
      <c r="P200" s="146"/>
      <c r="Q200" s="147" t="s">
        <v>90</v>
      </c>
      <c r="R200" s="175"/>
    </row>
    <row r="201" spans="1:19" s="65" customFormat="1" ht="11.25" x14ac:dyDescent="0.2">
      <c r="A201" s="145">
        <v>0</v>
      </c>
      <c r="B201" s="144">
        <v>300.21800000000002</v>
      </c>
      <c r="C201" s="166">
        <v>709.16049999999996</v>
      </c>
      <c r="D201" s="144">
        <v>950.24659999999994</v>
      </c>
      <c r="E201" s="144">
        <f>SUM(A201:D201)</f>
        <v>1959.6251</v>
      </c>
      <c r="F201" s="145">
        <v>230.93700000000001</v>
      </c>
      <c r="G201" s="144">
        <v>24.007999999999999</v>
      </c>
      <c r="H201" s="166">
        <v>1207.5962999999999</v>
      </c>
      <c r="I201" s="166">
        <v>1517.679623</v>
      </c>
      <c r="J201" s="144">
        <f>SUM(F201:I201)</f>
        <v>2980.2209229999999</v>
      </c>
      <c r="K201" s="145">
        <f>A201+F201</f>
        <v>230.93700000000001</v>
      </c>
      <c r="L201" s="144">
        <f>B201+G201</f>
        <v>324.226</v>
      </c>
      <c r="M201" s="144">
        <f>C201+H201</f>
        <v>1916.7567999999999</v>
      </c>
      <c r="N201" s="144">
        <f>D201+I201</f>
        <v>2467.9262229999999</v>
      </c>
      <c r="O201" s="144">
        <f>E201+J201</f>
        <v>4939.8460230000001</v>
      </c>
      <c r="P201" s="146"/>
      <c r="Q201" s="147" t="s">
        <v>91</v>
      </c>
      <c r="R201" s="175"/>
    </row>
    <row r="202" spans="1:19" s="65" customFormat="1" ht="11.25" x14ac:dyDescent="0.2">
      <c r="A202" s="145">
        <f t="shared" ref="A202:M202" si="94">SUM(A199:A201)</f>
        <v>0</v>
      </c>
      <c r="B202" s="144">
        <f t="shared" si="94"/>
        <v>744.18299999999999</v>
      </c>
      <c r="C202" s="166">
        <f t="shared" si="94"/>
        <v>1991.3879999999999</v>
      </c>
      <c r="D202" s="144">
        <f t="shared" si="94"/>
        <v>2654.1262999999999</v>
      </c>
      <c r="E202" s="144">
        <f t="shared" si="94"/>
        <v>5389.6972999999998</v>
      </c>
      <c r="F202" s="145">
        <f t="shared" si="94"/>
        <v>664.41000000000008</v>
      </c>
      <c r="G202" s="144">
        <f t="shared" si="94"/>
        <v>55.061999999999998</v>
      </c>
      <c r="H202" s="166">
        <f t="shared" si="94"/>
        <v>3544.0321999999996</v>
      </c>
      <c r="I202" s="166">
        <f t="shared" si="94"/>
        <v>4449.2425590000003</v>
      </c>
      <c r="J202" s="144">
        <f t="shared" si="94"/>
        <v>8712.7467590000015</v>
      </c>
      <c r="K202" s="145">
        <f t="shared" si="94"/>
        <v>664.41000000000008</v>
      </c>
      <c r="L202" s="144">
        <f t="shared" si="94"/>
        <v>799.24499999999989</v>
      </c>
      <c r="M202" s="144">
        <f t="shared" si="94"/>
        <v>5535.4201999999996</v>
      </c>
      <c r="N202" s="144">
        <f>SUM(N199:N201)</f>
        <v>7103.3688590000002</v>
      </c>
      <c r="O202" s="144">
        <f>SUM(O199:O201)</f>
        <v>14102.444058999999</v>
      </c>
      <c r="P202" s="146"/>
      <c r="Q202" s="147" t="s">
        <v>56</v>
      </c>
      <c r="R202" s="175"/>
    </row>
    <row r="203" spans="1:19" s="65" customFormat="1" ht="11.25" x14ac:dyDescent="0.2">
      <c r="A203" s="130"/>
      <c r="B203" s="127"/>
      <c r="C203" s="158"/>
      <c r="D203" s="127"/>
      <c r="E203" s="127"/>
      <c r="F203" s="130"/>
      <c r="G203" s="127"/>
      <c r="H203" s="158"/>
      <c r="I203" s="158"/>
      <c r="J203" s="127"/>
      <c r="K203" s="130"/>
      <c r="L203" s="127"/>
      <c r="M203" s="127"/>
      <c r="N203" s="127"/>
      <c r="O203" s="127"/>
      <c r="P203" s="131"/>
      <c r="Q203" s="132"/>
      <c r="R203" s="177"/>
    </row>
    <row r="204" spans="1:19" s="65" customFormat="1" ht="11.25" x14ac:dyDescent="0.2">
      <c r="A204" s="130">
        <v>0</v>
      </c>
      <c r="B204" s="127">
        <v>96.159454999999994</v>
      </c>
      <c r="C204" s="158">
        <v>722.39970000000005</v>
      </c>
      <c r="D204" s="127">
        <v>893.26969999999994</v>
      </c>
      <c r="E204" s="127">
        <f>SUM(A204:D204)</f>
        <v>1711.828855</v>
      </c>
      <c r="F204" s="130">
        <v>225.291</v>
      </c>
      <c r="G204" s="127">
        <v>8.0106199999999994</v>
      </c>
      <c r="H204" s="158">
        <v>1323.6106</v>
      </c>
      <c r="I204" s="158">
        <v>1570.33331</v>
      </c>
      <c r="J204" s="127">
        <f>SUM(F204:I204)</f>
        <v>3127.2455300000001</v>
      </c>
      <c r="K204" s="145">
        <f t="shared" ref="K204:O205" si="95">F204+A204</f>
        <v>225.291</v>
      </c>
      <c r="L204" s="144">
        <f t="shared" si="95"/>
        <v>104.170075</v>
      </c>
      <c r="M204" s="144">
        <f t="shared" si="95"/>
        <v>2046.0102999999999</v>
      </c>
      <c r="N204" s="144">
        <f>I204+D204</f>
        <v>2463.6030099999998</v>
      </c>
      <c r="O204" s="144">
        <f t="shared" si="95"/>
        <v>4839.0743849999999</v>
      </c>
      <c r="P204" s="146"/>
      <c r="Q204" s="147" t="s">
        <v>78</v>
      </c>
      <c r="R204" s="175">
        <v>2017</v>
      </c>
    </row>
    <row r="205" spans="1:19" s="65" customFormat="1" ht="11.25" x14ac:dyDescent="0.2">
      <c r="A205" s="130">
        <v>0.13600000000000001</v>
      </c>
      <c r="B205" s="127">
        <v>75.149000000000001</v>
      </c>
      <c r="C205" s="158">
        <v>697.36559999999997</v>
      </c>
      <c r="D205" s="127">
        <v>775.39599999999996</v>
      </c>
      <c r="E205" s="127">
        <f>SUM(A205:D205)</f>
        <v>1548.0465999999999</v>
      </c>
      <c r="F205" s="130">
        <v>265.28800000000001</v>
      </c>
      <c r="G205" s="127">
        <v>6.8635000000000002</v>
      </c>
      <c r="H205" s="158">
        <v>1161.9002</v>
      </c>
      <c r="I205" s="158">
        <v>1347.3865229999999</v>
      </c>
      <c r="J205" s="127">
        <f>SUM(F205:I205)</f>
        <v>2781.4382230000001</v>
      </c>
      <c r="K205" s="145">
        <f>F205+A205</f>
        <v>265.42400000000004</v>
      </c>
      <c r="L205" s="144">
        <f t="shared" si="95"/>
        <v>82.012500000000003</v>
      </c>
      <c r="M205" s="144">
        <f t="shared" si="95"/>
        <v>1859.2658000000001</v>
      </c>
      <c r="N205" s="144">
        <f t="shared" si="95"/>
        <v>2122.7825229999999</v>
      </c>
      <c r="O205" s="144">
        <f>J205+E205</f>
        <v>4329.4848229999998</v>
      </c>
      <c r="P205" s="146"/>
      <c r="Q205" s="147" t="s">
        <v>79</v>
      </c>
      <c r="R205" s="175"/>
    </row>
    <row r="206" spans="1:19" s="65" customFormat="1" ht="11.25" x14ac:dyDescent="0.2">
      <c r="A206" s="130">
        <v>0</v>
      </c>
      <c r="B206" s="127">
        <v>73.200999999999993</v>
      </c>
      <c r="C206" s="158">
        <v>821.21889999999996</v>
      </c>
      <c r="D206" s="127">
        <v>897.11739999999998</v>
      </c>
      <c r="E206" s="127">
        <f>SUM(A206:D206)</f>
        <v>1791.5373</v>
      </c>
      <c r="F206" s="130">
        <v>252.471</v>
      </c>
      <c r="G206" s="127">
        <v>26.077000000000002</v>
      </c>
      <c r="H206" s="158">
        <v>1223.6115</v>
      </c>
      <c r="I206" s="158">
        <v>1660.64951</v>
      </c>
      <c r="J206" s="127">
        <f>SUM(F206:I206)</f>
        <v>3162.8090099999999</v>
      </c>
      <c r="K206" s="145">
        <f>F206+A206</f>
        <v>252.471</v>
      </c>
      <c r="L206" s="144">
        <f>G206+B206</f>
        <v>99.277999999999992</v>
      </c>
      <c r="M206" s="144">
        <f>H206+C206</f>
        <v>2044.8303999999998</v>
      </c>
      <c r="N206" s="144">
        <f>I206+D206</f>
        <v>2557.7669099999998</v>
      </c>
      <c r="O206" s="144">
        <f>J206+E206</f>
        <v>4954.3463099999999</v>
      </c>
      <c r="P206" s="146"/>
      <c r="Q206" s="147" t="s">
        <v>80</v>
      </c>
      <c r="R206" s="175"/>
    </row>
    <row r="207" spans="1:19" s="65" customFormat="1" ht="11.25" x14ac:dyDescent="0.2">
      <c r="A207" s="145">
        <f>SUM(A204:A206)</f>
        <v>0.13600000000000001</v>
      </c>
      <c r="B207" s="144">
        <f t="shared" ref="B207:N207" si="96">SUM(B204:B206)</f>
        <v>244.50945499999997</v>
      </c>
      <c r="C207" s="166">
        <f t="shared" si="96"/>
        <v>2240.9841999999999</v>
      </c>
      <c r="D207" s="144">
        <f t="shared" si="96"/>
        <v>2565.7831000000001</v>
      </c>
      <c r="E207" s="144">
        <f t="shared" si="96"/>
        <v>5051.4127549999994</v>
      </c>
      <c r="F207" s="145">
        <f t="shared" si="96"/>
        <v>743.05</v>
      </c>
      <c r="G207" s="144">
        <f>SUM(G204:G206)</f>
        <v>40.951120000000003</v>
      </c>
      <c r="H207" s="166">
        <f t="shared" si="96"/>
        <v>3709.1223</v>
      </c>
      <c r="I207" s="166">
        <f t="shared" si="96"/>
        <v>4578.3693430000003</v>
      </c>
      <c r="J207" s="144">
        <f>SUM(J204:J206)</f>
        <v>9071.4927630000002</v>
      </c>
      <c r="K207" s="145">
        <f t="shared" si="96"/>
        <v>743.18600000000004</v>
      </c>
      <c r="L207" s="144">
        <f t="shared" si="96"/>
        <v>285.46057499999995</v>
      </c>
      <c r="M207" s="144">
        <f t="shared" si="96"/>
        <v>5950.1064999999999</v>
      </c>
      <c r="N207" s="144">
        <f t="shared" si="96"/>
        <v>7144.152442999999</v>
      </c>
      <c r="O207" s="144">
        <f>SUM(O204:O206)</f>
        <v>14122.905518</v>
      </c>
      <c r="P207" s="146"/>
      <c r="Q207" s="147" t="s">
        <v>53</v>
      </c>
      <c r="R207" s="175">
        <v>2017</v>
      </c>
    </row>
    <row r="208" spans="1:19" s="65" customFormat="1" ht="11.25" x14ac:dyDescent="0.2">
      <c r="A208" s="145">
        <v>0</v>
      </c>
      <c r="B208" s="144">
        <v>108.42400000000001</v>
      </c>
      <c r="C208" s="166">
        <v>689.80955500000005</v>
      </c>
      <c r="D208" s="144">
        <v>968.95339999999999</v>
      </c>
      <c r="E208" s="144">
        <f>SUM(A208:D208)</f>
        <v>1767.1869550000001</v>
      </c>
      <c r="F208" s="145">
        <v>274.96899999999999</v>
      </c>
      <c r="G208" s="144">
        <v>15.935</v>
      </c>
      <c r="H208" s="166">
        <v>1170.61007</v>
      </c>
      <c r="I208" s="166">
        <v>1643.0379</v>
      </c>
      <c r="J208" s="144">
        <f>SUM(F208:I208)</f>
        <v>3104.55197</v>
      </c>
      <c r="K208" s="145">
        <f t="shared" ref="K208:O209" si="97">A208+F208</f>
        <v>274.96899999999999</v>
      </c>
      <c r="L208" s="144">
        <f t="shared" si="97"/>
        <v>124.35900000000001</v>
      </c>
      <c r="M208" s="144">
        <f t="shared" si="97"/>
        <v>1860.419625</v>
      </c>
      <c r="N208" s="144">
        <f t="shared" si="97"/>
        <v>2611.9913000000001</v>
      </c>
      <c r="O208" s="144">
        <f t="shared" si="97"/>
        <v>4871.7389249999997</v>
      </c>
      <c r="P208" s="146"/>
      <c r="Q208" s="147" t="s">
        <v>68</v>
      </c>
      <c r="R208" s="151"/>
    </row>
    <row r="209" spans="1:18" s="65" customFormat="1" ht="11.25" x14ac:dyDescent="0.2">
      <c r="A209" s="145">
        <v>0</v>
      </c>
      <c r="B209" s="144">
        <v>181.227</v>
      </c>
      <c r="C209" s="166">
        <v>707.90980000000002</v>
      </c>
      <c r="D209" s="144">
        <v>882.44970000000001</v>
      </c>
      <c r="E209" s="144">
        <f>SUM(A209:D209)</f>
        <v>1771.5864999999999</v>
      </c>
      <c r="F209" s="145">
        <v>281.35199999999998</v>
      </c>
      <c r="G209" s="144">
        <v>9.2620000000000005</v>
      </c>
      <c r="H209" s="166">
        <v>1344.1365000000001</v>
      </c>
      <c r="I209" s="166">
        <v>1611.22444</v>
      </c>
      <c r="J209" s="144">
        <f>SUM(F209:I209)</f>
        <v>3245.9749400000001</v>
      </c>
      <c r="K209" s="145">
        <f t="shared" si="97"/>
        <v>281.35199999999998</v>
      </c>
      <c r="L209" s="144">
        <f t="shared" si="97"/>
        <v>190.489</v>
      </c>
      <c r="M209" s="144">
        <f t="shared" si="97"/>
        <v>2052.0463</v>
      </c>
      <c r="N209" s="144">
        <f t="shared" si="97"/>
        <v>2493.6741400000001</v>
      </c>
      <c r="O209" s="144">
        <f t="shared" si="97"/>
        <v>5017.5614399999995</v>
      </c>
      <c r="P209" s="146"/>
      <c r="Q209" s="147" t="s">
        <v>82</v>
      </c>
      <c r="R209" s="151"/>
    </row>
    <row r="210" spans="1:18" s="65" customFormat="1" ht="11.25" x14ac:dyDescent="0.2">
      <c r="A210" s="145">
        <v>0</v>
      </c>
      <c r="B210" s="144">
        <v>205.19300000000001</v>
      </c>
      <c r="C210" s="166">
        <v>725.58420000000001</v>
      </c>
      <c r="D210" s="144">
        <v>874.11940000000004</v>
      </c>
      <c r="E210" s="144">
        <f>SUM(A210:D210)</f>
        <v>1804.8966</v>
      </c>
      <c r="F210" s="145">
        <v>252.01900000000001</v>
      </c>
      <c r="G210" s="144">
        <v>14.843999999999999</v>
      </c>
      <c r="H210" s="166">
        <v>1248.7668000000001</v>
      </c>
      <c r="I210" s="166">
        <v>1714.5928719999999</v>
      </c>
      <c r="J210" s="144">
        <f>SUM(F210:I210)</f>
        <v>3230.2226719999999</v>
      </c>
      <c r="K210" s="145">
        <f>A210+F210</f>
        <v>252.01900000000001</v>
      </c>
      <c r="L210" s="144">
        <f>B210+G210</f>
        <v>220.03700000000001</v>
      </c>
      <c r="M210" s="144">
        <f>C210+H210</f>
        <v>1974.3510000000001</v>
      </c>
      <c r="N210" s="144">
        <f>D210+I210</f>
        <v>2588.7122719999998</v>
      </c>
      <c r="O210" s="144">
        <f>E210+J210</f>
        <v>5035.1192719999999</v>
      </c>
      <c r="P210" s="146"/>
      <c r="Q210" s="147" t="s">
        <v>83</v>
      </c>
      <c r="R210" s="151"/>
    </row>
    <row r="211" spans="1:18" s="65" customFormat="1" ht="11.25" x14ac:dyDescent="0.2">
      <c r="A211" s="145">
        <f t="shared" ref="A211:N211" si="98">SUM(A208:A210)</f>
        <v>0</v>
      </c>
      <c r="B211" s="144">
        <f t="shared" si="98"/>
        <v>494.84400000000005</v>
      </c>
      <c r="C211" s="166">
        <f t="shared" si="98"/>
        <v>2123.3035550000004</v>
      </c>
      <c r="D211" s="144">
        <f t="shared" si="98"/>
        <v>2725.5225</v>
      </c>
      <c r="E211" s="144">
        <f t="shared" si="98"/>
        <v>5343.6700550000005</v>
      </c>
      <c r="F211" s="145">
        <f t="shared" si="98"/>
        <v>808.33999999999992</v>
      </c>
      <c r="G211" s="144">
        <f t="shared" si="98"/>
        <v>40.041000000000004</v>
      </c>
      <c r="H211" s="166">
        <f t="shared" si="98"/>
        <v>3763.5133700000006</v>
      </c>
      <c r="I211" s="166">
        <f t="shared" si="98"/>
        <v>4968.8552120000004</v>
      </c>
      <c r="J211" s="144">
        <f t="shared" si="98"/>
        <v>9580.7495820000004</v>
      </c>
      <c r="K211" s="145">
        <f t="shared" si="98"/>
        <v>808.33999999999992</v>
      </c>
      <c r="L211" s="144">
        <f t="shared" si="98"/>
        <v>534.88499999999999</v>
      </c>
      <c r="M211" s="144">
        <f>SUM(M208:M210)</f>
        <v>5886.8169250000001</v>
      </c>
      <c r="N211" s="144">
        <f t="shared" si="98"/>
        <v>7694.3777120000004</v>
      </c>
      <c r="O211" s="144">
        <f>SUM(O208:O210)</f>
        <v>14924.419636999999</v>
      </c>
      <c r="P211" s="146"/>
      <c r="Q211" s="147" t="s">
        <v>54</v>
      </c>
      <c r="R211" s="151"/>
    </row>
    <row r="212" spans="1:18" s="65" customFormat="1" ht="11.25" x14ac:dyDescent="0.2">
      <c r="A212" s="145">
        <v>0</v>
      </c>
      <c r="B212" s="144">
        <v>248.702</v>
      </c>
      <c r="C212" s="166">
        <v>702.80734900000004</v>
      </c>
      <c r="D212" s="144">
        <v>868.38059999999996</v>
      </c>
      <c r="E212" s="144">
        <f>SUM(A212:D212)</f>
        <v>1819.8899489999999</v>
      </c>
      <c r="F212" s="145">
        <v>233.80361300000001</v>
      </c>
      <c r="G212" s="144">
        <v>3.8740000000000001</v>
      </c>
      <c r="H212" s="166">
        <v>1404.3508999999999</v>
      </c>
      <c r="I212" s="166">
        <v>1532.909723</v>
      </c>
      <c r="J212" s="144">
        <f>SUM(F212:I212)</f>
        <v>3174.938236</v>
      </c>
      <c r="K212" s="145">
        <f t="shared" ref="K212:O214" si="99">A212+F212</f>
        <v>233.80361300000001</v>
      </c>
      <c r="L212" s="144">
        <f t="shared" si="99"/>
        <v>252.57599999999999</v>
      </c>
      <c r="M212" s="144">
        <f t="shared" si="99"/>
        <v>2107.1582490000001</v>
      </c>
      <c r="N212" s="144">
        <f t="shared" si="99"/>
        <v>2401.2903230000002</v>
      </c>
      <c r="O212" s="144">
        <f t="shared" si="99"/>
        <v>4994.8281850000003</v>
      </c>
      <c r="P212" s="146"/>
      <c r="Q212" s="147" t="s">
        <v>85</v>
      </c>
      <c r="R212" s="151"/>
    </row>
    <row r="213" spans="1:18" s="65" customFormat="1" ht="11.25" x14ac:dyDescent="0.2">
      <c r="A213" s="145">
        <v>0</v>
      </c>
      <c r="B213" s="144">
        <v>226.01499999999999</v>
      </c>
      <c r="C213" s="166">
        <v>633.80255699999998</v>
      </c>
      <c r="D213" s="144">
        <v>839.42600000000004</v>
      </c>
      <c r="E213" s="144">
        <f>SUM(A213:D213)</f>
        <v>1699.243557</v>
      </c>
      <c r="F213" s="145">
        <v>248.14747333333301</v>
      </c>
      <c r="G213" s="144">
        <v>17.661999999999999</v>
      </c>
      <c r="H213" s="166">
        <v>1411.520154</v>
      </c>
      <c r="I213" s="166">
        <v>1676.1342500000001</v>
      </c>
      <c r="J213" s="144">
        <f>SUM(F213:I213)</f>
        <v>3353.4638773333331</v>
      </c>
      <c r="K213" s="145">
        <f t="shared" si="99"/>
        <v>248.14747333333301</v>
      </c>
      <c r="L213" s="144">
        <f t="shared" si="99"/>
        <v>243.67699999999999</v>
      </c>
      <c r="M213" s="144">
        <f t="shared" si="99"/>
        <v>2045.322711</v>
      </c>
      <c r="N213" s="144">
        <f t="shared" si="99"/>
        <v>2515.56025</v>
      </c>
      <c r="O213" s="144">
        <f t="shared" si="99"/>
        <v>5052.7074343333334</v>
      </c>
      <c r="P213" s="146"/>
      <c r="Q213" s="147" t="s">
        <v>86</v>
      </c>
      <c r="R213" s="151"/>
    </row>
    <row r="214" spans="1:18" s="65" customFormat="1" ht="11.25" x14ac:dyDescent="0.2">
      <c r="A214" s="145">
        <v>0</v>
      </c>
      <c r="B214" s="144">
        <v>126.3565</v>
      </c>
      <c r="C214" s="166">
        <v>609.55485999999996</v>
      </c>
      <c r="D214" s="144">
        <v>783.72360000000003</v>
      </c>
      <c r="E214" s="144">
        <f>SUM(A214:D214)</f>
        <v>1519.6349599999999</v>
      </c>
      <c r="F214" s="145">
        <v>193.56724</v>
      </c>
      <c r="G214" s="144">
        <v>5.4790000000000001</v>
      </c>
      <c r="H214" s="166">
        <v>1204.2099000000001</v>
      </c>
      <c r="I214" s="166">
        <v>1479.6365599999999</v>
      </c>
      <c r="J214" s="144">
        <f>SUM(F214:I214)</f>
        <v>2882.8926999999999</v>
      </c>
      <c r="K214" s="145">
        <f t="shared" si="99"/>
        <v>193.56724</v>
      </c>
      <c r="L214" s="144">
        <f t="shared" si="99"/>
        <v>131.8355</v>
      </c>
      <c r="M214" s="144">
        <f t="shared" si="99"/>
        <v>1813.76476</v>
      </c>
      <c r="N214" s="144">
        <f t="shared" si="99"/>
        <v>2263.3601600000002</v>
      </c>
      <c r="O214" s="144">
        <f t="shared" si="99"/>
        <v>4402.5276599999997</v>
      </c>
      <c r="P214" s="146"/>
      <c r="Q214" s="147" t="s">
        <v>87</v>
      </c>
      <c r="R214" s="151"/>
    </row>
    <row r="215" spans="1:18" s="65" customFormat="1" ht="11.25" x14ac:dyDescent="0.2">
      <c r="A215" s="145">
        <f t="shared" ref="A215:O215" si="100">SUM(A212:A214)</f>
        <v>0</v>
      </c>
      <c r="B215" s="144">
        <f t="shared" si="100"/>
        <v>601.07349999999997</v>
      </c>
      <c r="C215" s="166">
        <f t="shared" si="100"/>
        <v>1946.1647660000001</v>
      </c>
      <c r="D215" s="144">
        <f t="shared" si="100"/>
        <v>2491.5302000000001</v>
      </c>
      <c r="E215" s="144">
        <f t="shared" si="100"/>
        <v>5038.7684659999995</v>
      </c>
      <c r="F215" s="145">
        <f t="shared" si="100"/>
        <v>675.51832633333299</v>
      </c>
      <c r="G215" s="144">
        <f t="shared" si="100"/>
        <v>27.014999999999997</v>
      </c>
      <c r="H215" s="166">
        <f t="shared" si="100"/>
        <v>4020.080954</v>
      </c>
      <c r="I215" s="166">
        <f t="shared" si="100"/>
        <v>4688.6805329999997</v>
      </c>
      <c r="J215" s="144">
        <f t="shared" si="100"/>
        <v>9411.2948133333339</v>
      </c>
      <c r="K215" s="145">
        <f t="shared" si="100"/>
        <v>675.51832633333299</v>
      </c>
      <c r="L215" s="144">
        <f t="shared" si="100"/>
        <v>628.08849999999995</v>
      </c>
      <c r="M215" s="144">
        <f t="shared" si="100"/>
        <v>5966.2457199999999</v>
      </c>
      <c r="N215" s="144">
        <f t="shared" si="100"/>
        <v>7180.2107329999999</v>
      </c>
      <c r="O215" s="144">
        <f t="shared" si="100"/>
        <v>14450.063279333333</v>
      </c>
      <c r="P215" s="146"/>
      <c r="Q215" s="147" t="s">
        <v>55</v>
      </c>
      <c r="R215" s="151"/>
    </row>
    <row r="216" spans="1:18" s="65" customFormat="1" ht="11.25" x14ac:dyDescent="0.2">
      <c r="A216" s="145">
        <v>0</v>
      </c>
      <c r="B216" s="144">
        <v>211.542</v>
      </c>
      <c r="C216" s="166">
        <v>663.49636199999998</v>
      </c>
      <c r="D216" s="144">
        <v>810.82600000000002</v>
      </c>
      <c r="E216" s="144">
        <f>SUM(A216:D216)</f>
        <v>1685.864362</v>
      </c>
      <c r="F216" s="145">
        <v>188.48647</v>
      </c>
      <c r="G216" s="144">
        <v>15.478</v>
      </c>
      <c r="H216" s="166">
        <v>1181.812833</v>
      </c>
      <c r="I216" s="166">
        <v>1634.6250500000001</v>
      </c>
      <c r="J216" s="144">
        <f>SUM(F216:I216)</f>
        <v>3020.4023529999999</v>
      </c>
      <c r="K216" s="145">
        <f t="shared" ref="K216:O218" si="101">A216+F216</f>
        <v>188.48647</v>
      </c>
      <c r="L216" s="144">
        <f t="shared" si="101"/>
        <v>227.02</v>
      </c>
      <c r="M216" s="144">
        <f t="shared" si="101"/>
        <v>1845.3091949999998</v>
      </c>
      <c r="N216" s="144">
        <f t="shared" si="101"/>
        <v>2445.4510500000001</v>
      </c>
      <c r="O216" s="144">
        <f t="shared" si="101"/>
        <v>4706.2667149999997</v>
      </c>
      <c r="P216" s="146"/>
      <c r="Q216" s="147" t="s">
        <v>89</v>
      </c>
      <c r="R216" s="151"/>
    </row>
    <row r="217" spans="1:18" s="65" customFormat="1" ht="11.25" x14ac:dyDescent="0.2">
      <c r="A217" s="145">
        <v>0</v>
      </c>
      <c r="B217" s="144">
        <v>220.05799999999999</v>
      </c>
      <c r="C217" s="166">
        <v>729.47062400000004</v>
      </c>
      <c r="D217" s="144">
        <v>764.5847</v>
      </c>
      <c r="E217" s="144">
        <f>SUM(A217:D217)</f>
        <v>1714.1133239999999</v>
      </c>
      <c r="F217" s="145">
        <v>319.34086400000001</v>
      </c>
      <c r="G217" s="144">
        <v>16.238</v>
      </c>
      <c r="H217" s="166">
        <v>1321.8275229999999</v>
      </c>
      <c r="I217" s="166">
        <v>1564.485846</v>
      </c>
      <c r="J217" s="144">
        <f>SUM(F217:I217)</f>
        <v>3221.892233</v>
      </c>
      <c r="K217" s="145">
        <f t="shared" si="101"/>
        <v>319.34086400000001</v>
      </c>
      <c r="L217" s="144">
        <f t="shared" si="101"/>
        <v>236.29599999999999</v>
      </c>
      <c r="M217" s="144">
        <f t="shared" si="101"/>
        <v>2051.298147</v>
      </c>
      <c r="N217" s="144">
        <f t="shared" si="101"/>
        <v>2329.0705459999999</v>
      </c>
      <c r="O217" s="144">
        <f t="shared" si="101"/>
        <v>4936.0055570000004</v>
      </c>
      <c r="P217" s="146"/>
      <c r="Q217" s="147" t="s">
        <v>90</v>
      </c>
      <c r="R217" s="151"/>
    </row>
    <row r="218" spans="1:18" s="65" customFormat="1" ht="11.25" x14ac:dyDescent="0.2">
      <c r="A218" s="145">
        <v>0</v>
      </c>
      <c r="B218" s="144">
        <v>246.083</v>
      </c>
      <c r="C218" s="166">
        <v>671.802279</v>
      </c>
      <c r="D218" s="166">
        <v>754.03610000000003</v>
      </c>
      <c r="E218" s="144">
        <f>SUM(A218:D218)</f>
        <v>1671.9213789999999</v>
      </c>
      <c r="F218" s="178">
        <v>193.38177999999999</v>
      </c>
      <c r="G218" s="144">
        <v>13.622</v>
      </c>
      <c r="H218" s="166">
        <v>1212.9703199999999</v>
      </c>
      <c r="I218" s="166">
        <v>1704.505586</v>
      </c>
      <c r="J218" s="144">
        <f>SUM(F218:I218)</f>
        <v>3124.4796859999997</v>
      </c>
      <c r="K218" s="145">
        <f t="shared" si="101"/>
        <v>193.38177999999999</v>
      </c>
      <c r="L218" s="144">
        <f t="shared" si="101"/>
        <v>259.70499999999998</v>
      </c>
      <c r="M218" s="166">
        <f t="shared" si="101"/>
        <v>1884.7725989999999</v>
      </c>
      <c r="N218" s="166">
        <f t="shared" si="101"/>
        <v>2458.541686</v>
      </c>
      <c r="O218" s="144">
        <f t="shared" si="101"/>
        <v>4796.401065</v>
      </c>
      <c r="P218" s="146"/>
      <c r="Q218" s="147" t="s">
        <v>91</v>
      </c>
      <c r="R218" s="151"/>
    </row>
    <row r="219" spans="1:18" s="65" customFormat="1" ht="11.25" x14ac:dyDescent="0.2">
      <c r="A219" s="145">
        <f t="shared" ref="A219:L219" si="102">SUM(A216:A218)</f>
        <v>0</v>
      </c>
      <c r="B219" s="144">
        <f t="shared" si="102"/>
        <v>677.68299999999999</v>
      </c>
      <c r="C219" s="166">
        <f t="shared" si="102"/>
        <v>2064.7692649999999</v>
      </c>
      <c r="D219" s="144">
        <f t="shared" si="102"/>
        <v>2329.4467999999997</v>
      </c>
      <c r="E219" s="144">
        <f t="shared" si="102"/>
        <v>5071.8990649999996</v>
      </c>
      <c r="F219" s="145">
        <f t="shared" si="102"/>
        <v>701.209114</v>
      </c>
      <c r="G219" s="144">
        <f t="shared" si="102"/>
        <v>45.338000000000001</v>
      </c>
      <c r="H219" s="166">
        <f>SUM(H216:H218)</f>
        <v>3716.6106759999998</v>
      </c>
      <c r="I219" s="166">
        <f t="shared" si="102"/>
        <v>4903.6164820000004</v>
      </c>
      <c r="J219" s="144">
        <f t="shared" si="102"/>
        <v>9366.7742719999987</v>
      </c>
      <c r="K219" s="145">
        <f>SUM(K216:K218)</f>
        <v>701.209114</v>
      </c>
      <c r="L219" s="144">
        <f t="shared" si="102"/>
        <v>723.02099999999996</v>
      </c>
      <c r="M219" s="144">
        <f>SUM(M216:M218)</f>
        <v>5781.3799409999992</v>
      </c>
      <c r="N219" s="144">
        <f>SUM(N216:N218)</f>
        <v>7233.063282000001</v>
      </c>
      <c r="O219" s="144">
        <f>SUM(O216:O218)</f>
        <v>14438.673337</v>
      </c>
      <c r="P219" s="146"/>
      <c r="Q219" s="147" t="s">
        <v>56</v>
      </c>
      <c r="R219" s="151"/>
    </row>
    <row r="220" spans="1:18" s="65" customFormat="1" ht="11.25" x14ac:dyDescent="0.2">
      <c r="A220" s="130"/>
      <c r="B220" s="127"/>
      <c r="C220" s="158"/>
      <c r="D220" s="127"/>
      <c r="E220" s="127"/>
      <c r="F220" s="130"/>
      <c r="G220" s="127"/>
      <c r="H220" s="158"/>
      <c r="I220" s="158"/>
      <c r="J220" s="127"/>
      <c r="K220" s="130"/>
      <c r="L220" s="127"/>
      <c r="M220" s="127"/>
      <c r="N220" s="127"/>
      <c r="O220" s="127"/>
      <c r="P220" s="131"/>
      <c r="Q220" s="132"/>
      <c r="R220" s="135"/>
    </row>
    <row r="221" spans="1:18" s="65" customFormat="1" ht="11.25" x14ac:dyDescent="0.2">
      <c r="A221" s="130">
        <v>0</v>
      </c>
      <c r="B221" s="127">
        <v>218.48400000000001</v>
      </c>
      <c r="C221" s="158">
        <v>594.96939599999996</v>
      </c>
      <c r="D221" s="127">
        <v>971.46159999999998</v>
      </c>
      <c r="E221" s="127">
        <f>SUM(A221:D221)</f>
        <v>1784.914996</v>
      </c>
      <c r="F221" s="130">
        <v>295.73099999999999</v>
      </c>
      <c r="G221" s="127">
        <v>16.858000000000001</v>
      </c>
      <c r="H221" s="158">
        <v>1408.2256500000001</v>
      </c>
      <c r="I221" s="158">
        <v>1460.996713</v>
      </c>
      <c r="J221" s="127">
        <f>SUM(F221:I221)</f>
        <v>3181.8113629999998</v>
      </c>
      <c r="K221" s="130">
        <f>A221+F221</f>
        <v>295.73099999999999</v>
      </c>
      <c r="L221" s="127">
        <f t="shared" ref="K221:O223" si="103">B221+G221</f>
        <v>235.34200000000001</v>
      </c>
      <c r="M221" s="127">
        <f t="shared" si="103"/>
        <v>2003.195046</v>
      </c>
      <c r="N221" s="127">
        <f t="shared" si="103"/>
        <v>2432.4583130000001</v>
      </c>
      <c r="O221" s="127">
        <f t="shared" si="103"/>
        <v>4966.7263590000002</v>
      </c>
      <c r="P221" s="131"/>
      <c r="Q221" s="132" t="s">
        <v>78</v>
      </c>
      <c r="R221" s="177">
        <v>2018</v>
      </c>
    </row>
    <row r="222" spans="1:18" s="65" customFormat="1" ht="11.25" x14ac:dyDescent="0.2">
      <c r="A222" s="130">
        <v>0</v>
      </c>
      <c r="B222" s="127">
        <v>124.40900000000001</v>
      </c>
      <c r="C222" s="158">
        <v>648.89732500000002</v>
      </c>
      <c r="D222" s="127">
        <v>965.22630000000004</v>
      </c>
      <c r="E222" s="127">
        <f>SUM(A222:D222)</f>
        <v>1738.5326250000001</v>
      </c>
      <c r="F222" s="130">
        <v>219.601</v>
      </c>
      <c r="G222" s="127">
        <v>19.588999999999999</v>
      </c>
      <c r="H222" s="158">
        <v>1204.1897220000001</v>
      </c>
      <c r="I222" s="158">
        <v>1652.71542</v>
      </c>
      <c r="J222" s="127">
        <f>SUM(F222:I222)</f>
        <v>3096.0951420000001</v>
      </c>
      <c r="K222" s="130">
        <f t="shared" si="103"/>
        <v>219.601</v>
      </c>
      <c r="L222" s="127">
        <f t="shared" si="103"/>
        <v>143.99799999999999</v>
      </c>
      <c r="M222" s="127">
        <f t="shared" si="103"/>
        <v>1853.087047</v>
      </c>
      <c r="N222" s="127">
        <f t="shared" si="103"/>
        <v>2617.9417199999998</v>
      </c>
      <c r="O222" s="127">
        <f t="shared" si="103"/>
        <v>4834.6277669999999</v>
      </c>
      <c r="P222" s="131"/>
      <c r="Q222" s="132" t="s">
        <v>79</v>
      </c>
      <c r="R222" s="177"/>
    </row>
    <row r="223" spans="1:18" s="65" customFormat="1" ht="11.25" x14ac:dyDescent="0.2">
      <c r="A223" s="130">
        <v>0</v>
      </c>
      <c r="B223" s="127">
        <v>79.177999999999997</v>
      </c>
      <c r="C223" s="158">
        <v>636.53606400000001</v>
      </c>
      <c r="D223" s="158">
        <v>1010.299</v>
      </c>
      <c r="E223" s="127">
        <f>SUM(A223:D223)</f>
        <v>1726.013064</v>
      </c>
      <c r="F223" s="130">
        <v>276.49200000000002</v>
      </c>
      <c r="G223" s="127">
        <v>12.987</v>
      </c>
      <c r="H223" s="158">
        <v>1262.92525</v>
      </c>
      <c r="I223" s="158">
        <v>1520.1872900000001</v>
      </c>
      <c r="J223" s="127">
        <f>SUM(F223:I223)</f>
        <v>3072.5915400000004</v>
      </c>
      <c r="K223" s="130">
        <f t="shared" si="103"/>
        <v>276.49200000000002</v>
      </c>
      <c r="L223" s="127">
        <f t="shared" si="103"/>
        <v>92.164999999999992</v>
      </c>
      <c r="M223" s="127">
        <f t="shared" si="103"/>
        <v>1899.4613140000001</v>
      </c>
      <c r="N223" s="127">
        <f t="shared" si="103"/>
        <v>2530.4862899999998</v>
      </c>
      <c r="O223" s="127">
        <f t="shared" si="103"/>
        <v>4798.6046040000001</v>
      </c>
      <c r="P223" s="131"/>
      <c r="Q223" s="132" t="s">
        <v>80</v>
      </c>
      <c r="R223" s="177"/>
    </row>
    <row r="224" spans="1:18" s="65" customFormat="1" ht="11.25" x14ac:dyDescent="0.2">
      <c r="A224" s="145">
        <f t="shared" ref="A224:O224" si="104">SUM(A221:A223)</f>
        <v>0</v>
      </c>
      <c r="B224" s="144">
        <f t="shared" si="104"/>
        <v>422.07100000000003</v>
      </c>
      <c r="C224" s="166">
        <f t="shared" si="104"/>
        <v>1880.4027849999998</v>
      </c>
      <c r="D224" s="144">
        <f t="shared" si="104"/>
        <v>2946.9868999999999</v>
      </c>
      <c r="E224" s="144">
        <f t="shared" si="104"/>
        <v>5249.460685</v>
      </c>
      <c r="F224" s="145">
        <f t="shared" si="104"/>
        <v>791.82400000000007</v>
      </c>
      <c r="G224" s="144">
        <f t="shared" si="104"/>
        <v>49.434000000000005</v>
      </c>
      <c r="H224" s="166">
        <f t="shared" si="104"/>
        <v>3875.3406220000006</v>
      </c>
      <c r="I224" s="166">
        <f t="shared" si="104"/>
        <v>4633.8994229999998</v>
      </c>
      <c r="J224" s="144">
        <f t="shared" si="104"/>
        <v>9350.4980450000003</v>
      </c>
      <c r="K224" s="145">
        <f t="shared" si="104"/>
        <v>791.82400000000007</v>
      </c>
      <c r="L224" s="144">
        <f t="shared" si="104"/>
        <v>471.505</v>
      </c>
      <c r="M224" s="144">
        <f t="shared" si="104"/>
        <v>5755.7434069999999</v>
      </c>
      <c r="N224" s="144">
        <f>SUM(N221:N223)</f>
        <v>7580.8863229999997</v>
      </c>
      <c r="O224" s="144">
        <f t="shared" si="104"/>
        <v>14599.95873</v>
      </c>
      <c r="P224" s="146"/>
      <c r="Q224" s="147" t="s">
        <v>53</v>
      </c>
      <c r="R224" s="175">
        <v>2018</v>
      </c>
    </row>
    <row r="225" spans="1:18" s="65" customFormat="1" ht="11.25" x14ac:dyDescent="0.2">
      <c r="A225" s="145">
        <v>0</v>
      </c>
      <c r="B225" s="144">
        <v>147.971</v>
      </c>
      <c r="C225" s="166">
        <v>601.02550799999995</v>
      </c>
      <c r="D225" s="144">
        <v>1005.9646</v>
      </c>
      <c r="E225" s="144">
        <f>SUM(A225:D225)</f>
        <v>1754.961108</v>
      </c>
      <c r="F225" s="145">
        <v>299.12799999999999</v>
      </c>
      <c r="G225" s="144">
        <v>15.824999999999999</v>
      </c>
      <c r="H225" s="166">
        <v>1324.863779</v>
      </c>
      <c r="I225" s="166">
        <v>1824.25216</v>
      </c>
      <c r="J225" s="144">
        <f>SUM(F225:I225)</f>
        <v>3464.0689389999998</v>
      </c>
      <c r="K225" s="145">
        <f>A225+F225</f>
        <v>299.12799999999999</v>
      </c>
      <c r="L225" s="144">
        <f>B225+G225</f>
        <v>163.79599999999999</v>
      </c>
      <c r="M225" s="144">
        <f>C225+H225</f>
        <v>1925.889287</v>
      </c>
      <c r="N225" s="144">
        <f>D225+I225</f>
        <v>2830.2167600000002</v>
      </c>
      <c r="O225" s="144">
        <f>E225+J225</f>
        <v>5219.0300470000002</v>
      </c>
      <c r="P225" s="146"/>
      <c r="Q225" s="147" t="s">
        <v>68</v>
      </c>
      <c r="R225" s="175"/>
    </row>
    <row r="226" spans="1:18" s="65" customFormat="1" ht="11.25" x14ac:dyDescent="0.2">
      <c r="A226" s="145">
        <v>1.534</v>
      </c>
      <c r="B226" s="144">
        <v>108.434</v>
      </c>
      <c r="C226" s="166">
        <v>581.94009900000003</v>
      </c>
      <c r="D226" s="144">
        <v>966.12379999999996</v>
      </c>
      <c r="E226" s="144">
        <f>SUM(A226:D226)</f>
        <v>1658.0318990000001</v>
      </c>
      <c r="F226" s="145">
        <v>312.29900000000004</v>
      </c>
      <c r="G226" s="144">
        <v>22.148</v>
      </c>
      <c r="H226" s="166">
        <v>1400.64597</v>
      </c>
      <c r="I226" s="166">
        <v>1684.282201</v>
      </c>
      <c r="J226" s="144">
        <f>SUM(F226:I226)</f>
        <v>3419.3751710000001</v>
      </c>
      <c r="K226" s="145">
        <f>A226+F226</f>
        <v>313.83300000000003</v>
      </c>
      <c r="L226" s="144">
        <f t="shared" ref="L226:O227" si="105">B226+G226</f>
        <v>130.58199999999999</v>
      </c>
      <c r="M226" s="144">
        <f t="shared" si="105"/>
        <v>1982.586069</v>
      </c>
      <c r="N226" s="144">
        <f t="shared" si="105"/>
        <v>2650.4060009999998</v>
      </c>
      <c r="O226" s="144">
        <f t="shared" si="105"/>
        <v>5077.4070700000002</v>
      </c>
      <c r="P226" s="146"/>
      <c r="Q226" s="147" t="s">
        <v>82</v>
      </c>
      <c r="R226" s="175"/>
    </row>
    <row r="227" spans="1:18" s="65" customFormat="1" ht="11.25" x14ac:dyDescent="0.2">
      <c r="A227" s="145">
        <v>0</v>
      </c>
      <c r="B227" s="144">
        <v>205.029</v>
      </c>
      <c r="C227" s="166">
        <v>615.56810299999995</v>
      </c>
      <c r="D227" s="144">
        <v>824.11199999999997</v>
      </c>
      <c r="E227" s="144">
        <f>SUM(A227:D227)</f>
        <v>1644.7091029999999</v>
      </c>
      <c r="F227" s="145">
        <v>244.108</v>
      </c>
      <c r="G227" s="144">
        <v>3.1579999999999999</v>
      </c>
      <c r="H227" s="166">
        <v>1355.5179599999999</v>
      </c>
      <c r="I227" s="166">
        <v>1651.3213310000001</v>
      </c>
      <c r="J227" s="144">
        <f>SUM(F227:I227)</f>
        <v>3254.1052909999999</v>
      </c>
      <c r="K227" s="145">
        <f>A227+F227</f>
        <v>244.108</v>
      </c>
      <c r="L227" s="144">
        <f t="shared" si="105"/>
        <v>208.18699999999998</v>
      </c>
      <c r="M227" s="144">
        <f t="shared" si="105"/>
        <v>1971.0860629999997</v>
      </c>
      <c r="N227" s="144">
        <f t="shared" si="105"/>
        <v>2475.4333310000002</v>
      </c>
      <c r="O227" s="144">
        <f t="shared" si="105"/>
        <v>4898.814394</v>
      </c>
      <c r="P227" s="146"/>
      <c r="Q227" s="147" t="s">
        <v>83</v>
      </c>
      <c r="R227" s="175"/>
    </row>
    <row r="228" spans="1:18" s="65" customFormat="1" ht="11.25" x14ac:dyDescent="0.2">
      <c r="A228" s="145">
        <f>SUM(A225:A227)</f>
        <v>1.534</v>
      </c>
      <c r="B228" s="144">
        <f t="shared" ref="B228:M228" si="106">SUM(B225:B227)</f>
        <v>461.43399999999997</v>
      </c>
      <c r="C228" s="166">
        <f t="shared" si="106"/>
        <v>1798.5337100000002</v>
      </c>
      <c r="D228" s="144">
        <f t="shared" si="106"/>
        <v>2796.2004000000002</v>
      </c>
      <c r="E228" s="144">
        <f t="shared" si="106"/>
        <v>5057.7021100000002</v>
      </c>
      <c r="F228" s="145">
        <f t="shared" si="106"/>
        <v>855.53500000000008</v>
      </c>
      <c r="G228" s="144">
        <f t="shared" si="106"/>
        <v>41.131</v>
      </c>
      <c r="H228" s="166">
        <f t="shared" si="106"/>
        <v>4081.027709</v>
      </c>
      <c r="I228" s="166">
        <f t="shared" si="106"/>
        <v>5159.8556920000001</v>
      </c>
      <c r="J228" s="144">
        <f t="shared" si="106"/>
        <v>10137.549401</v>
      </c>
      <c r="K228" s="145">
        <f t="shared" si="106"/>
        <v>857.06899999999996</v>
      </c>
      <c r="L228" s="144">
        <f t="shared" si="106"/>
        <v>502.56499999999994</v>
      </c>
      <c r="M228" s="144">
        <f t="shared" si="106"/>
        <v>5879.5614189999997</v>
      </c>
      <c r="N228" s="144">
        <f>SUM(N225:N227)</f>
        <v>7956.0560920000007</v>
      </c>
      <c r="O228" s="144">
        <f>SUM(O225:O227)</f>
        <v>15195.251511000002</v>
      </c>
      <c r="P228" s="146"/>
      <c r="Q228" s="147" t="s">
        <v>54</v>
      </c>
      <c r="R228" s="175"/>
    </row>
    <row r="229" spans="1:18" s="65" customFormat="1" ht="11.25" x14ac:dyDescent="0.2">
      <c r="A229" s="145">
        <v>0</v>
      </c>
      <c r="B229" s="144">
        <v>77.965999999999994</v>
      </c>
      <c r="C229" s="166">
        <v>848.06997699999999</v>
      </c>
      <c r="D229" s="144">
        <v>672.09280000000001</v>
      </c>
      <c r="E229" s="144">
        <f>SUM(A229:D229)</f>
        <v>1598.1287769999999</v>
      </c>
      <c r="F229" s="145">
        <v>365.36099999999999</v>
      </c>
      <c r="G229" s="144">
        <v>20.158999999999999</v>
      </c>
      <c r="H229" s="166">
        <v>1356.1143999999999</v>
      </c>
      <c r="I229" s="166">
        <v>1574.37727</v>
      </c>
      <c r="J229" s="144">
        <f>SUM(F229:I229)</f>
        <v>3316.0116699999999</v>
      </c>
      <c r="K229" s="145">
        <f t="shared" ref="K229:O231" si="107">A229+F229</f>
        <v>365.36099999999999</v>
      </c>
      <c r="L229" s="144">
        <f t="shared" si="107"/>
        <v>98.125</v>
      </c>
      <c r="M229" s="144">
        <f t="shared" si="107"/>
        <v>2204.184377</v>
      </c>
      <c r="N229" s="144">
        <f t="shared" si="107"/>
        <v>2246.4700699999999</v>
      </c>
      <c r="O229" s="144">
        <f t="shared" si="107"/>
        <v>4914.1404469999998</v>
      </c>
      <c r="P229" s="146"/>
      <c r="Q229" s="147" t="s">
        <v>85</v>
      </c>
      <c r="R229" s="175"/>
    </row>
    <row r="230" spans="1:18" s="65" customFormat="1" ht="11.25" x14ac:dyDescent="0.2">
      <c r="A230" s="145">
        <v>0.60299999999999998</v>
      </c>
      <c r="B230" s="144">
        <v>204.07</v>
      </c>
      <c r="C230" s="166">
        <v>686.53353800000002</v>
      </c>
      <c r="D230" s="144">
        <v>618.58720000000005</v>
      </c>
      <c r="E230" s="144">
        <f>SUM(A230:D230)</f>
        <v>1509.7937380000001</v>
      </c>
      <c r="F230" s="145">
        <v>268.37299999999999</v>
      </c>
      <c r="G230" s="144">
        <v>10.055999999999999</v>
      </c>
      <c r="H230" s="166">
        <v>1503.4046579999999</v>
      </c>
      <c r="I230" s="166">
        <v>1636.1590100000001</v>
      </c>
      <c r="J230" s="144">
        <f>SUM(F230:I230)</f>
        <v>3417.9926679999999</v>
      </c>
      <c r="K230" s="145">
        <f t="shared" si="107"/>
        <v>268.976</v>
      </c>
      <c r="L230" s="144">
        <f t="shared" si="107"/>
        <v>214.126</v>
      </c>
      <c r="M230" s="144">
        <f t="shared" si="107"/>
        <v>2189.9381960000001</v>
      </c>
      <c r="N230" s="144">
        <f t="shared" si="107"/>
        <v>2254.7462100000002</v>
      </c>
      <c r="O230" s="144">
        <f t="shared" si="107"/>
        <v>4927.7864060000002</v>
      </c>
      <c r="P230" s="146"/>
      <c r="Q230" s="147" t="s">
        <v>86</v>
      </c>
      <c r="R230" s="175"/>
    </row>
    <row r="231" spans="1:18" s="65" customFormat="1" ht="11.25" x14ac:dyDescent="0.2">
      <c r="A231" s="145">
        <v>0</v>
      </c>
      <c r="B231" s="144">
        <v>168.39599999999999</v>
      </c>
      <c r="C231" s="166">
        <v>453.81137999999999</v>
      </c>
      <c r="D231" s="144">
        <v>766.40210000000002</v>
      </c>
      <c r="E231" s="144">
        <f>SUM(A231:D231)</f>
        <v>1388.6094800000001</v>
      </c>
      <c r="F231" s="145">
        <v>243.404</v>
      </c>
      <c r="G231" s="144">
        <v>12.635</v>
      </c>
      <c r="H231" s="166">
        <v>1070.9782499999999</v>
      </c>
      <c r="I231" s="166">
        <v>1516.52196</v>
      </c>
      <c r="J231" s="144">
        <f>SUM(F231:I231)</f>
        <v>2843.5392099999999</v>
      </c>
      <c r="K231" s="145">
        <f t="shared" si="107"/>
        <v>243.404</v>
      </c>
      <c r="L231" s="144">
        <f t="shared" si="107"/>
        <v>181.03099999999998</v>
      </c>
      <c r="M231" s="144">
        <f t="shared" si="107"/>
        <v>1524.7896299999998</v>
      </c>
      <c r="N231" s="144">
        <f t="shared" si="107"/>
        <v>2282.9240600000003</v>
      </c>
      <c r="O231" s="144">
        <f t="shared" si="107"/>
        <v>4232.14869</v>
      </c>
      <c r="P231" s="146"/>
      <c r="Q231" s="147" t="s">
        <v>87</v>
      </c>
      <c r="R231" s="175"/>
    </row>
    <row r="232" spans="1:18" s="65" customFormat="1" ht="11.25" x14ac:dyDescent="0.2">
      <c r="A232" s="145">
        <f t="shared" ref="A232:N232" si="108">SUM(A229:A231)</f>
        <v>0.60299999999999998</v>
      </c>
      <c r="B232" s="144">
        <f t="shared" si="108"/>
        <v>450.43200000000002</v>
      </c>
      <c r="C232" s="166">
        <f t="shared" si="108"/>
        <v>1988.4148949999999</v>
      </c>
      <c r="D232" s="144">
        <f t="shared" si="108"/>
        <v>2057.0821000000001</v>
      </c>
      <c r="E232" s="144">
        <f t="shared" si="108"/>
        <v>4496.5319950000003</v>
      </c>
      <c r="F232" s="145">
        <f>SUM(F229:F231)</f>
        <v>877.13799999999992</v>
      </c>
      <c r="G232" s="144">
        <f t="shared" si="108"/>
        <v>42.849999999999994</v>
      </c>
      <c r="H232" s="166">
        <f t="shared" si="108"/>
        <v>3930.497308</v>
      </c>
      <c r="I232" s="166">
        <f t="shared" si="108"/>
        <v>4727.0582400000003</v>
      </c>
      <c r="J232" s="144">
        <f t="shared" si="108"/>
        <v>9577.5435479999996</v>
      </c>
      <c r="K232" s="145">
        <f t="shared" si="108"/>
        <v>877.74099999999999</v>
      </c>
      <c r="L232" s="144">
        <f t="shared" si="108"/>
        <v>493.28199999999993</v>
      </c>
      <c r="M232" s="144">
        <f t="shared" si="108"/>
        <v>5918.9122029999999</v>
      </c>
      <c r="N232" s="144">
        <f t="shared" si="108"/>
        <v>6784.1403400000008</v>
      </c>
      <c r="O232" s="144">
        <f>SUM(O229:O231)</f>
        <v>14074.075543000001</v>
      </c>
      <c r="P232" s="146"/>
      <c r="Q232" s="147" t="s">
        <v>55</v>
      </c>
      <c r="R232" s="175"/>
    </row>
    <row r="233" spans="1:18" s="65" customFormat="1" ht="11.25" x14ac:dyDescent="0.2">
      <c r="A233" s="145">
        <v>0</v>
      </c>
      <c r="B233" s="144">
        <v>201.41900000000001</v>
      </c>
      <c r="C233" s="166">
        <v>596.68189299999995</v>
      </c>
      <c r="D233" s="144">
        <v>988.80340000000001</v>
      </c>
      <c r="E233" s="144">
        <f>SUM(A233:D233)</f>
        <v>1786.9042930000001</v>
      </c>
      <c r="F233" s="145">
        <v>314.45800000000003</v>
      </c>
      <c r="G233" s="144">
        <v>14.62</v>
      </c>
      <c r="H233" s="166">
        <v>1428.6205970000001</v>
      </c>
      <c r="I233" s="166">
        <v>1453.522244</v>
      </c>
      <c r="J233" s="144">
        <f>SUM(F233:I233)</f>
        <v>3211.2208410000003</v>
      </c>
      <c r="K233" s="145">
        <f t="shared" ref="K233:O235" si="109">A233+F233</f>
        <v>314.45800000000003</v>
      </c>
      <c r="L233" s="144">
        <f t="shared" si="109"/>
        <v>216.03900000000002</v>
      </c>
      <c r="M233" s="144">
        <f t="shared" si="109"/>
        <v>2025.30249</v>
      </c>
      <c r="N233" s="144">
        <f t="shared" si="109"/>
        <v>2442.325644</v>
      </c>
      <c r="O233" s="144">
        <f t="shared" si="109"/>
        <v>4998.1251339999999</v>
      </c>
      <c r="P233" s="146"/>
      <c r="Q233" s="147" t="s">
        <v>89</v>
      </c>
      <c r="R233" s="175"/>
    </row>
    <row r="234" spans="1:18" s="65" customFormat="1" ht="11.25" x14ac:dyDescent="0.2">
      <c r="A234" s="145">
        <v>0</v>
      </c>
      <c r="B234" s="144">
        <v>262.952</v>
      </c>
      <c r="C234" s="166">
        <v>800.60818300000005</v>
      </c>
      <c r="D234" s="144">
        <v>854.80520000000001</v>
      </c>
      <c r="E234" s="144">
        <f>SUM(A234:D234)</f>
        <v>1918.3653830000001</v>
      </c>
      <c r="F234" s="145">
        <v>300.92399999999998</v>
      </c>
      <c r="G234" s="144">
        <v>14.263</v>
      </c>
      <c r="H234" s="166">
        <v>1254.7891400000001</v>
      </c>
      <c r="I234" s="166">
        <v>1514.9688799999999</v>
      </c>
      <c r="J234" s="144">
        <f>SUM(F234:I234)</f>
        <v>3084.9450200000001</v>
      </c>
      <c r="K234" s="145">
        <f t="shared" si="109"/>
        <v>300.92399999999998</v>
      </c>
      <c r="L234" s="144">
        <f t="shared" si="109"/>
        <v>277.21499999999997</v>
      </c>
      <c r="M234" s="144">
        <f t="shared" si="109"/>
        <v>2055.3973230000001</v>
      </c>
      <c r="N234" s="144">
        <f t="shared" si="109"/>
        <v>2369.7740800000001</v>
      </c>
      <c r="O234" s="144">
        <f t="shared" si="109"/>
        <v>5003.3104030000004</v>
      </c>
      <c r="P234" s="146"/>
      <c r="Q234" s="147" t="s">
        <v>90</v>
      </c>
      <c r="R234" s="175"/>
    </row>
    <row r="235" spans="1:18" s="65" customFormat="1" ht="11.25" x14ac:dyDescent="0.2">
      <c r="A235" s="145">
        <v>0</v>
      </c>
      <c r="B235" s="144">
        <v>315.95800000000003</v>
      </c>
      <c r="C235" s="166">
        <v>637.93574000000001</v>
      </c>
      <c r="D235" s="144">
        <v>770.40030000000002</v>
      </c>
      <c r="E235" s="144">
        <f>SUM(A235:D235)</f>
        <v>1724.29404</v>
      </c>
      <c r="F235" s="145">
        <v>276.80599999999998</v>
      </c>
      <c r="G235" s="144">
        <v>13.500999999999999</v>
      </c>
      <c r="H235" s="166">
        <v>1202.1945310000001</v>
      </c>
      <c r="I235" s="166">
        <v>1627.44956</v>
      </c>
      <c r="J235" s="144">
        <f>SUM(F235:I235)</f>
        <v>3119.9510909999999</v>
      </c>
      <c r="K235" s="145">
        <f t="shared" si="109"/>
        <v>276.80599999999998</v>
      </c>
      <c r="L235" s="144">
        <f t="shared" si="109"/>
        <v>329.459</v>
      </c>
      <c r="M235" s="144">
        <f t="shared" si="109"/>
        <v>1840.130271</v>
      </c>
      <c r="N235" s="144">
        <f t="shared" si="109"/>
        <v>2397.8498600000003</v>
      </c>
      <c r="O235" s="144">
        <f t="shared" si="109"/>
        <v>4844.2451309999997</v>
      </c>
      <c r="P235" s="146"/>
      <c r="Q235" s="147" t="s">
        <v>91</v>
      </c>
      <c r="R235" s="175"/>
    </row>
    <row r="236" spans="1:18" s="65" customFormat="1" ht="11.25" x14ac:dyDescent="0.2">
      <c r="A236" s="145">
        <f t="shared" ref="A236:N236" si="110">SUM(A233:A235)</f>
        <v>0</v>
      </c>
      <c r="B236" s="144">
        <f t="shared" si="110"/>
        <v>780.32899999999995</v>
      </c>
      <c r="C236" s="166">
        <f t="shared" si="110"/>
        <v>2035.2258160000001</v>
      </c>
      <c r="D236" s="144">
        <f t="shared" si="110"/>
        <v>2614.0088999999998</v>
      </c>
      <c r="E236" s="144">
        <f t="shared" si="110"/>
        <v>5429.5637159999997</v>
      </c>
      <c r="F236" s="145">
        <f t="shared" si="110"/>
        <v>892.1880000000001</v>
      </c>
      <c r="G236" s="144">
        <f t="shared" si="110"/>
        <v>42.384</v>
      </c>
      <c r="H236" s="166">
        <f t="shared" si="110"/>
        <v>3885.604268</v>
      </c>
      <c r="I236" s="166">
        <f t="shared" si="110"/>
        <v>4595.9406840000001</v>
      </c>
      <c r="J236" s="144">
        <f t="shared" si="110"/>
        <v>9416.1169520000003</v>
      </c>
      <c r="K236" s="145">
        <f t="shared" si="110"/>
        <v>892.1880000000001</v>
      </c>
      <c r="L236" s="144">
        <f t="shared" si="110"/>
        <v>822.71299999999997</v>
      </c>
      <c r="M236" s="144">
        <f t="shared" si="110"/>
        <v>5920.8300840000002</v>
      </c>
      <c r="N236" s="144">
        <f t="shared" si="110"/>
        <v>7209.949584</v>
      </c>
      <c r="O236" s="144">
        <f>SUM(O233:O235)</f>
        <v>14845.680668000001</v>
      </c>
      <c r="P236" s="146"/>
      <c r="Q236" s="147" t="s">
        <v>56</v>
      </c>
      <c r="R236" s="175"/>
    </row>
    <row r="237" spans="1:18" s="65" customFormat="1" ht="11.25" x14ac:dyDescent="0.2">
      <c r="A237" s="130"/>
      <c r="B237" s="127"/>
      <c r="C237" s="158"/>
      <c r="D237" s="127"/>
      <c r="E237" s="127"/>
      <c r="F237" s="130"/>
      <c r="G237" s="127"/>
      <c r="H237" s="158"/>
      <c r="I237" s="158"/>
      <c r="J237" s="127"/>
      <c r="K237" s="130"/>
      <c r="L237" s="127"/>
      <c r="M237" s="127"/>
      <c r="N237" s="127"/>
      <c r="O237" s="127"/>
      <c r="P237" s="131"/>
      <c r="Q237" s="132"/>
      <c r="R237" s="177"/>
    </row>
    <row r="238" spans="1:18" s="65" customFormat="1" ht="11.25" x14ac:dyDescent="0.2">
      <c r="A238" s="130">
        <v>0</v>
      </c>
      <c r="B238" s="127">
        <v>133.77199999999999</v>
      </c>
      <c r="C238" s="158">
        <v>677.83357100000001</v>
      </c>
      <c r="D238" s="127">
        <v>921.95450000000005</v>
      </c>
      <c r="E238" s="127">
        <f>SUM(A238:D238)</f>
        <v>1733.5600710000001</v>
      </c>
      <c r="F238" s="186">
        <v>266.041</v>
      </c>
      <c r="G238" s="127">
        <v>20.172999999999998</v>
      </c>
      <c r="H238" s="158">
        <v>1279.6830199999999</v>
      </c>
      <c r="I238" s="158">
        <v>1548.0531800000001</v>
      </c>
      <c r="J238" s="127">
        <f>SUM(F238:I238)</f>
        <v>3113.9502000000002</v>
      </c>
      <c r="K238" s="130">
        <f t="shared" ref="K238:O240" si="111">A238+F238</f>
        <v>266.041</v>
      </c>
      <c r="L238" s="127">
        <f t="shared" si="111"/>
        <v>153.94499999999999</v>
      </c>
      <c r="M238" s="127">
        <f t="shared" si="111"/>
        <v>1957.5165910000001</v>
      </c>
      <c r="N238" s="127">
        <f t="shared" si="111"/>
        <v>2470.0076800000002</v>
      </c>
      <c r="O238" s="127">
        <f t="shared" si="111"/>
        <v>4847.5102710000001</v>
      </c>
      <c r="P238" s="131"/>
      <c r="Q238" s="132" t="s">
        <v>78</v>
      </c>
      <c r="R238" s="177">
        <v>2019</v>
      </c>
    </row>
    <row r="239" spans="1:18" s="65" customFormat="1" ht="11.25" x14ac:dyDescent="0.2">
      <c r="A239" s="130">
        <v>0</v>
      </c>
      <c r="B239" s="127">
        <v>157.79400000000001</v>
      </c>
      <c r="C239" s="158">
        <v>646.135715</v>
      </c>
      <c r="D239" s="127">
        <v>833.31669999999997</v>
      </c>
      <c r="E239" s="127">
        <f>SUM(A239:D239)</f>
        <v>1637.2464150000001</v>
      </c>
      <c r="F239" s="130">
        <v>232.400732</v>
      </c>
      <c r="G239" s="127">
        <v>16.795999999999999</v>
      </c>
      <c r="H239" s="158">
        <v>1212.739354</v>
      </c>
      <c r="I239" s="158">
        <v>1492.26026</v>
      </c>
      <c r="J239" s="127">
        <f>SUM(F239:I239)</f>
        <v>2954.1963460000002</v>
      </c>
      <c r="K239" s="130">
        <f t="shared" si="111"/>
        <v>232.400732</v>
      </c>
      <c r="L239" s="127">
        <f t="shared" si="111"/>
        <v>174.59</v>
      </c>
      <c r="M239" s="127">
        <f t="shared" si="111"/>
        <v>1858.8750690000002</v>
      </c>
      <c r="N239" s="127">
        <f t="shared" si="111"/>
        <v>2325.5769599999999</v>
      </c>
      <c r="O239" s="127">
        <f t="shared" si="111"/>
        <v>4591.4427610000002</v>
      </c>
      <c r="P239" s="131"/>
      <c r="Q239" s="132" t="s">
        <v>79</v>
      </c>
      <c r="R239" s="177"/>
    </row>
    <row r="240" spans="1:18" s="65" customFormat="1" ht="11.25" x14ac:dyDescent="0.2">
      <c r="A240" s="130">
        <v>0</v>
      </c>
      <c r="B240" s="127">
        <v>180.48400000000001</v>
      </c>
      <c r="C240" s="158">
        <v>682.01470200000006</v>
      </c>
      <c r="D240" s="127">
        <v>966.83199999999999</v>
      </c>
      <c r="E240" s="127">
        <f>SUM(A240:D240)</f>
        <v>1829.3307020000002</v>
      </c>
      <c r="F240" s="130">
        <v>289.42347799999999</v>
      </c>
      <c r="G240" s="127">
        <v>15.331</v>
      </c>
      <c r="H240" s="158">
        <v>1214.973078</v>
      </c>
      <c r="I240" s="158">
        <v>1850.1572699999999</v>
      </c>
      <c r="J240" s="127">
        <f>SUM(F240:I240)</f>
        <v>3369.884826</v>
      </c>
      <c r="K240" s="130">
        <f t="shared" si="111"/>
        <v>289.42347799999999</v>
      </c>
      <c r="L240" s="127">
        <f t="shared" si="111"/>
        <v>195.815</v>
      </c>
      <c r="M240" s="127">
        <f t="shared" si="111"/>
        <v>1896.9877799999999</v>
      </c>
      <c r="N240" s="127">
        <f t="shared" si="111"/>
        <v>2816.98927</v>
      </c>
      <c r="O240" s="127">
        <f t="shared" si="111"/>
        <v>5199.2155280000006</v>
      </c>
      <c r="P240" s="131"/>
      <c r="Q240" s="132" t="s">
        <v>80</v>
      </c>
      <c r="R240" s="177"/>
    </row>
    <row r="241" spans="1:18" s="65" customFormat="1" ht="11.25" x14ac:dyDescent="0.2">
      <c r="A241" s="145">
        <f t="shared" ref="A241:J241" si="112">SUM(A238:A240)</f>
        <v>0</v>
      </c>
      <c r="B241" s="144">
        <f t="shared" si="112"/>
        <v>472.05000000000007</v>
      </c>
      <c r="C241" s="166">
        <f t="shared" si="112"/>
        <v>2005.983988</v>
      </c>
      <c r="D241" s="144">
        <f t="shared" si="112"/>
        <v>2722.1032</v>
      </c>
      <c r="E241" s="144">
        <f t="shared" si="112"/>
        <v>5200.1371880000006</v>
      </c>
      <c r="F241" s="145">
        <f t="shared" si="112"/>
        <v>787.86520999999993</v>
      </c>
      <c r="G241" s="144">
        <f t="shared" si="112"/>
        <v>52.3</v>
      </c>
      <c r="H241" s="166">
        <f t="shared" si="112"/>
        <v>3707.3954519999998</v>
      </c>
      <c r="I241" s="166">
        <f t="shared" si="112"/>
        <v>4890.4707099999996</v>
      </c>
      <c r="J241" s="144">
        <f t="shared" si="112"/>
        <v>9438.0313719999995</v>
      </c>
      <c r="K241" s="145">
        <f>SUM(K238:K240)</f>
        <v>787.86520999999993</v>
      </c>
      <c r="L241" s="144">
        <f>SUM(L238:L240)</f>
        <v>524.34999999999991</v>
      </c>
      <c r="M241" s="144">
        <f>SUM(M238:M240)</f>
        <v>5713.3794400000006</v>
      </c>
      <c r="N241" s="144">
        <f>SUM(N238:N240)</f>
        <v>7612.5739100000001</v>
      </c>
      <c r="O241" s="144">
        <f>SUM(O238:O240)</f>
        <v>14638.168560000002</v>
      </c>
      <c r="P241" s="146"/>
      <c r="Q241" s="147" t="s">
        <v>53</v>
      </c>
      <c r="R241" s="175">
        <v>2019</v>
      </c>
    </row>
    <row r="242" spans="1:18" s="65" customFormat="1" ht="11.25" x14ac:dyDescent="0.2">
      <c r="A242" s="145">
        <v>0</v>
      </c>
      <c r="B242" s="144">
        <v>223.25700000000001</v>
      </c>
      <c r="C242" s="166">
        <v>721.05800799999997</v>
      </c>
      <c r="D242" s="144">
        <v>886.54629999999997</v>
      </c>
      <c r="E242" s="144">
        <f>SUM(A242:D242)</f>
        <v>1830.861308</v>
      </c>
      <c r="F242" s="145">
        <v>209.46208999999999</v>
      </c>
      <c r="G242" s="144">
        <v>11.475</v>
      </c>
      <c r="H242" s="166">
        <v>1279.4091000000001</v>
      </c>
      <c r="I242" s="166">
        <v>1639.51412</v>
      </c>
      <c r="J242" s="144">
        <f>SUM(F242:I242)</f>
        <v>3139.86031</v>
      </c>
      <c r="K242" s="145">
        <f t="shared" ref="K242:O244" si="113">A242+F242</f>
        <v>209.46208999999999</v>
      </c>
      <c r="L242" s="144">
        <f t="shared" si="113"/>
        <v>234.732</v>
      </c>
      <c r="M242" s="144">
        <f t="shared" si="113"/>
        <v>2000.4671080000001</v>
      </c>
      <c r="N242" s="144">
        <f t="shared" si="113"/>
        <v>2526.0604199999998</v>
      </c>
      <c r="O242" s="144">
        <f t="shared" si="113"/>
        <v>4970.7216179999996</v>
      </c>
      <c r="P242" s="146"/>
      <c r="Q242" s="147" t="s">
        <v>68</v>
      </c>
      <c r="R242" s="175"/>
    </row>
    <row r="243" spans="1:18" s="65" customFormat="1" ht="11.25" x14ac:dyDescent="0.2">
      <c r="A243" s="145">
        <v>0</v>
      </c>
      <c r="B243" s="144">
        <v>121.574</v>
      </c>
      <c r="C243" s="166">
        <v>652.10842000000002</v>
      </c>
      <c r="D243" s="144">
        <v>871.2</v>
      </c>
      <c r="E243" s="144">
        <f>SUM(A243:D243)</f>
        <v>1644.8824199999999</v>
      </c>
      <c r="F243" s="145">
        <v>255.44280000000001</v>
      </c>
      <c r="G243" s="144">
        <v>10.115</v>
      </c>
      <c r="H243" s="166">
        <v>1402.379475</v>
      </c>
      <c r="I243" s="166">
        <v>1555.57123</v>
      </c>
      <c r="J243" s="144">
        <f>SUM(F243:I243)</f>
        <v>3223.5085049999998</v>
      </c>
      <c r="K243" s="145">
        <f t="shared" si="113"/>
        <v>255.44280000000001</v>
      </c>
      <c r="L243" s="144">
        <f t="shared" si="113"/>
        <v>131.68899999999999</v>
      </c>
      <c r="M243" s="144">
        <f t="shared" si="113"/>
        <v>2054.4878950000002</v>
      </c>
      <c r="N243" s="144">
        <f t="shared" si="113"/>
        <v>2426.7712300000003</v>
      </c>
      <c r="O243" s="144">
        <f t="shared" si="113"/>
        <v>4868.3909249999997</v>
      </c>
      <c r="P243" s="146"/>
      <c r="Q243" s="147" t="s">
        <v>82</v>
      </c>
      <c r="R243" s="175"/>
    </row>
    <row r="244" spans="1:18" s="65" customFormat="1" ht="11.25" x14ac:dyDescent="0.2">
      <c r="A244" s="145">
        <v>0</v>
      </c>
      <c r="B244" s="144">
        <v>215.709</v>
      </c>
      <c r="C244" s="166">
        <v>751.26667099999997</v>
      </c>
      <c r="D244" s="144">
        <v>828.4357</v>
      </c>
      <c r="E244" s="144">
        <f>SUM(A244:D244)</f>
        <v>1795.4113709999999</v>
      </c>
      <c r="F244" s="145">
        <v>263.07011299999999</v>
      </c>
      <c r="G244" s="144">
        <v>14.9</v>
      </c>
      <c r="H244" s="166">
        <v>1207.4673</v>
      </c>
      <c r="I244" s="166">
        <v>1654.2161900000001</v>
      </c>
      <c r="J244" s="144">
        <f>SUM(F244:I244)</f>
        <v>3139.6536030000002</v>
      </c>
      <c r="K244" s="145">
        <f t="shared" si="113"/>
        <v>263.07011299999999</v>
      </c>
      <c r="L244" s="144">
        <f t="shared" si="113"/>
        <v>230.60900000000001</v>
      </c>
      <c r="M244" s="144">
        <f t="shared" si="113"/>
        <v>1958.7339710000001</v>
      </c>
      <c r="N244" s="144">
        <f t="shared" si="113"/>
        <v>2482.6518900000001</v>
      </c>
      <c r="O244" s="144">
        <f t="shared" si="113"/>
        <v>4935.0649739999999</v>
      </c>
      <c r="P244" s="146"/>
      <c r="Q244" s="147" t="s">
        <v>83</v>
      </c>
      <c r="R244" s="175"/>
    </row>
    <row r="245" spans="1:18" s="65" customFormat="1" ht="11.25" x14ac:dyDescent="0.2">
      <c r="A245" s="145">
        <f t="shared" ref="A245:O245" si="114">SUM(A242:A244)</f>
        <v>0</v>
      </c>
      <c r="B245" s="144">
        <f t="shared" si="114"/>
        <v>560.54</v>
      </c>
      <c r="C245" s="166">
        <f t="shared" si="114"/>
        <v>2124.4330989999999</v>
      </c>
      <c r="D245" s="144">
        <f t="shared" si="114"/>
        <v>2586.1819999999998</v>
      </c>
      <c r="E245" s="144">
        <f>SUM(E242:E244)</f>
        <v>5271.1550989999996</v>
      </c>
      <c r="F245" s="145">
        <f t="shared" si="114"/>
        <v>727.97500300000002</v>
      </c>
      <c r="G245" s="144">
        <f t="shared" si="114"/>
        <v>36.49</v>
      </c>
      <c r="H245" s="166">
        <f t="shared" si="114"/>
        <v>3889.2558749999998</v>
      </c>
      <c r="I245" s="166">
        <f>SUM(I242:I244)</f>
        <v>4849.3015400000004</v>
      </c>
      <c r="J245" s="144">
        <f t="shared" si="114"/>
        <v>9503.0224180000005</v>
      </c>
      <c r="K245" s="145">
        <f t="shared" si="114"/>
        <v>727.97500300000002</v>
      </c>
      <c r="L245" s="144">
        <f t="shared" si="114"/>
        <v>597.03</v>
      </c>
      <c r="M245" s="144">
        <f t="shared" si="114"/>
        <v>6013.6889740000006</v>
      </c>
      <c r="N245" s="144">
        <f t="shared" si="114"/>
        <v>7435.4835400000002</v>
      </c>
      <c r="O245" s="144">
        <f t="shared" si="114"/>
        <v>14774.177517</v>
      </c>
      <c r="P245" s="146"/>
      <c r="Q245" s="147" t="s">
        <v>54</v>
      </c>
      <c r="R245" s="175"/>
    </row>
    <row r="246" spans="1:18" s="65" customFormat="1" ht="11.25" x14ac:dyDescent="0.2">
      <c r="A246" s="145">
        <v>0</v>
      </c>
      <c r="B246" s="144">
        <v>124.637</v>
      </c>
      <c r="C246" s="166">
        <v>702.63876400000004</v>
      </c>
      <c r="D246" s="144">
        <v>843.0856</v>
      </c>
      <c r="E246" s="144">
        <f>SUM(A246:D246)</f>
        <v>1670.3613639999999</v>
      </c>
      <c r="F246" s="145">
        <v>312.17</v>
      </c>
      <c r="G246" s="144">
        <v>17.477</v>
      </c>
      <c r="H246" s="166">
        <v>1495.2550719999999</v>
      </c>
      <c r="I246" s="166">
        <v>1616.57322</v>
      </c>
      <c r="J246" s="144">
        <f>SUM(F246:I246)</f>
        <v>3441.4752920000001</v>
      </c>
      <c r="K246" s="145">
        <f t="shared" ref="K246:L248" si="115">A246+F246</f>
        <v>312.17</v>
      </c>
      <c r="L246" s="144">
        <f t="shared" si="115"/>
        <v>142.114</v>
      </c>
      <c r="M246" s="144">
        <f t="shared" ref="M246:O248" si="116">C246+H246</f>
        <v>2197.8938360000002</v>
      </c>
      <c r="N246" s="144">
        <f t="shared" si="116"/>
        <v>2459.6588200000001</v>
      </c>
      <c r="O246" s="144">
        <f t="shared" si="116"/>
        <v>5111.8366559999995</v>
      </c>
      <c r="P246" s="146"/>
      <c r="Q246" s="147" t="s">
        <v>85</v>
      </c>
      <c r="R246" s="175"/>
    </row>
    <row r="247" spans="1:18" s="65" customFormat="1" ht="11.25" x14ac:dyDescent="0.2">
      <c r="A247" s="145">
        <v>0</v>
      </c>
      <c r="B247" s="144">
        <v>227.58199999999999</v>
      </c>
      <c r="C247" s="166">
        <v>710.71235200000001</v>
      </c>
      <c r="D247" s="144">
        <v>721.94</v>
      </c>
      <c r="E247" s="144">
        <f>SUM(A247:D247)</f>
        <v>1660.2343519999999</v>
      </c>
      <c r="F247" s="145">
        <v>186.989</v>
      </c>
      <c r="G247" s="144">
        <v>13.259</v>
      </c>
      <c r="H247" s="166">
        <v>1471.124399</v>
      </c>
      <c r="I247" s="166">
        <v>1492.7285300000001</v>
      </c>
      <c r="J247" s="144">
        <f>SUM(F247:I247)</f>
        <v>3164.1009290000002</v>
      </c>
      <c r="K247" s="145">
        <f t="shared" si="115"/>
        <v>186.989</v>
      </c>
      <c r="L247" s="144">
        <f t="shared" si="115"/>
        <v>240.84100000000001</v>
      </c>
      <c r="M247" s="144">
        <f t="shared" si="116"/>
        <v>2181.8367509999998</v>
      </c>
      <c r="N247" s="144">
        <f t="shared" si="116"/>
        <v>2214.6685299999999</v>
      </c>
      <c r="O247" s="144">
        <f t="shared" si="116"/>
        <v>4824.3352809999997</v>
      </c>
      <c r="P247" s="146"/>
      <c r="Q247" s="147" t="s">
        <v>86</v>
      </c>
      <c r="R247" s="175"/>
    </row>
    <row r="248" spans="1:18" s="65" customFormat="1" ht="11.25" x14ac:dyDescent="0.2">
      <c r="A248" s="145">
        <v>0</v>
      </c>
      <c r="B248" s="144">
        <v>69.565100000000001</v>
      </c>
      <c r="C248" s="166">
        <v>570.85416999999995</v>
      </c>
      <c r="D248" s="144">
        <v>732.64419999999996</v>
      </c>
      <c r="E248" s="144">
        <f>SUM(A248:D248)</f>
        <v>1373.0634700000001</v>
      </c>
      <c r="F248" s="145">
        <v>305.50281000000001</v>
      </c>
      <c r="G248" s="144">
        <v>9.1630000000000003</v>
      </c>
      <c r="H248" s="166">
        <v>1321.8846000000001</v>
      </c>
      <c r="I248" s="166">
        <v>1460.02603</v>
      </c>
      <c r="J248" s="144">
        <f>SUM(F248:I248)</f>
        <v>3096.5764399999998</v>
      </c>
      <c r="K248" s="145">
        <f t="shared" si="115"/>
        <v>305.50281000000001</v>
      </c>
      <c r="L248" s="144">
        <f t="shared" si="115"/>
        <v>78.728099999999998</v>
      </c>
      <c r="M248" s="144">
        <f t="shared" si="116"/>
        <v>1892.7387699999999</v>
      </c>
      <c r="N248" s="144">
        <f t="shared" si="116"/>
        <v>2192.6702299999997</v>
      </c>
      <c r="O248" s="144">
        <f t="shared" si="116"/>
        <v>4469.6399099999999</v>
      </c>
      <c r="P248" s="146"/>
      <c r="Q248" s="147" t="s">
        <v>87</v>
      </c>
      <c r="R248" s="175"/>
    </row>
    <row r="249" spans="1:18" s="65" customFormat="1" ht="11.25" x14ac:dyDescent="0.2">
      <c r="A249" s="145">
        <f t="shared" ref="A249:O249" si="117">SUM(A246:A248)</f>
        <v>0</v>
      </c>
      <c r="B249" s="144">
        <f t="shared" si="117"/>
        <v>421.78409999999997</v>
      </c>
      <c r="C249" s="166">
        <f t="shared" si="117"/>
        <v>1984.2052859999999</v>
      </c>
      <c r="D249" s="144">
        <f t="shared" si="117"/>
        <v>2297.6697999999997</v>
      </c>
      <c r="E249" s="144">
        <f t="shared" si="117"/>
        <v>4703.6591859999999</v>
      </c>
      <c r="F249" s="145">
        <f t="shared" si="117"/>
        <v>804.66181000000006</v>
      </c>
      <c r="G249" s="144">
        <f t="shared" si="117"/>
        <v>39.899000000000001</v>
      </c>
      <c r="H249" s="166">
        <f t="shared" si="117"/>
        <v>4288.2640710000005</v>
      </c>
      <c r="I249" s="166">
        <f t="shared" si="117"/>
        <v>4569.3277799999996</v>
      </c>
      <c r="J249" s="144">
        <f t="shared" si="117"/>
        <v>9702.1526610000001</v>
      </c>
      <c r="K249" s="145">
        <f t="shared" si="117"/>
        <v>804.66181000000006</v>
      </c>
      <c r="L249" s="144">
        <f t="shared" si="117"/>
        <v>461.68310000000002</v>
      </c>
      <c r="M249" s="144">
        <f t="shared" si="117"/>
        <v>6272.4693569999999</v>
      </c>
      <c r="N249" s="144">
        <f t="shared" si="117"/>
        <v>6866.9975799999993</v>
      </c>
      <c r="O249" s="144">
        <f t="shared" si="117"/>
        <v>14405.811846999999</v>
      </c>
      <c r="P249" s="146"/>
      <c r="Q249" s="147" t="s">
        <v>55</v>
      </c>
      <c r="R249" s="175"/>
    </row>
    <row r="250" spans="1:18" s="65" customFormat="1" ht="11.25" x14ac:dyDescent="0.2">
      <c r="A250" s="145">
        <v>0</v>
      </c>
      <c r="B250" s="144">
        <v>58.051000000000002</v>
      </c>
      <c r="C250" s="166">
        <v>535.59020899999996</v>
      </c>
      <c r="D250" s="144">
        <v>1063.7025000000001</v>
      </c>
      <c r="E250" s="144">
        <f>SUM(A250:D250)</f>
        <v>1657.3437090000002</v>
      </c>
      <c r="F250" s="145">
        <v>230.434</v>
      </c>
      <c r="G250" s="144">
        <v>21.192</v>
      </c>
      <c r="H250" s="166">
        <v>1257.103071</v>
      </c>
      <c r="I250" s="166">
        <v>1798.66572</v>
      </c>
      <c r="J250" s="144">
        <f>SUM(F250:I250)</f>
        <v>3307.3947909999997</v>
      </c>
      <c r="K250" s="145">
        <f t="shared" ref="K250:O252" si="118">A250+F250</f>
        <v>230.434</v>
      </c>
      <c r="L250" s="144">
        <f t="shared" si="118"/>
        <v>79.242999999999995</v>
      </c>
      <c r="M250" s="144">
        <f t="shared" si="118"/>
        <v>1792.69328</v>
      </c>
      <c r="N250" s="144">
        <f t="shared" si="118"/>
        <v>2862.3682200000003</v>
      </c>
      <c r="O250" s="144">
        <f t="shared" si="118"/>
        <v>4964.7384999999995</v>
      </c>
      <c r="P250" s="146"/>
      <c r="Q250" s="147" t="s">
        <v>89</v>
      </c>
      <c r="R250" s="175"/>
    </row>
    <row r="251" spans="1:18" s="65" customFormat="1" ht="11.25" x14ac:dyDescent="0.2">
      <c r="A251" s="145">
        <v>0</v>
      </c>
      <c r="B251" s="144">
        <v>98.84</v>
      </c>
      <c r="C251" s="166">
        <v>583.08929899999998</v>
      </c>
      <c r="D251" s="144">
        <v>676.40779999999995</v>
      </c>
      <c r="E251" s="144">
        <f>SUM(A251:D251)</f>
        <v>1358.3370989999999</v>
      </c>
      <c r="F251" s="145">
        <v>238.20099999999999</v>
      </c>
      <c r="G251" s="144">
        <v>19.989000000000001</v>
      </c>
      <c r="H251" s="166">
        <v>1399.293453</v>
      </c>
      <c r="I251" s="166">
        <v>1461.65879</v>
      </c>
      <c r="J251" s="144">
        <f>SUM(F251:I251)</f>
        <v>3119.1422430000002</v>
      </c>
      <c r="K251" s="145">
        <f t="shared" si="118"/>
        <v>238.20099999999999</v>
      </c>
      <c r="L251" s="144">
        <f t="shared" si="118"/>
        <v>118.82900000000001</v>
      </c>
      <c r="M251" s="144">
        <f t="shared" si="118"/>
        <v>1982.382752</v>
      </c>
      <c r="N251" s="144">
        <f t="shared" si="118"/>
        <v>2138.0665899999999</v>
      </c>
      <c r="O251" s="144">
        <f t="shared" si="118"/>
        <v>4477.4793420000005</v>
      </c>
      <c r="P251" s="146"/>
      <c r="Q251" s="147" t="s">
        <v>90</v>
      </c>
      <c r="R251" s="175"/>
    </row>
    <row r="252" spans="1:18" s="65" customFormat="1" ht="11.25" x14ac:dyDescent="0.2">
      <c r="A252" s="145">
        <v>0</v>
      </c>
      <c r="B252" s="144">
        <v>139.70500000000001</v>
      </c>
      <c r="C252" s="166">
        <v>517.97652300000004</v>
      </c>
      <c r="D252" s="144">
        <v>761.77350000000001</v>
      </c>
      <c r="E252" s="144">
        <f>SUM(A252:D252)</f>
        <v>1419.455023</v>
      </c>
      <c r="F252" s="145">
        <v>285.2</v>
      </c>
      <c r="G252" s="144">
        <v>23.876999999999999</v>
      </c>
      <c r="H252" s="166">
        <v>1297.33</v>
      </c>
      <c r="I252" s="144">
        <v>1407.0029199999999</v>
      </c>
      <c r="J252" s="144">
        <f>SUM(F252:I252)</f>
        <v>3013.4099200000001</v>
      </c>
      <c r="K252" s="145">
        <f t="shared" si="118"/>
        <v>285.2</v>
      </c>
      <c r="L252" s="144">
        <f t="shared" si="118"/>
        <v>163.58200000000002</v>
      </c>
      <c r="M252" s="144">
        <f t="shared" si="118"/>
        <v>1815.306523</v>
      </c>
      <c r="N252" s="144">
        <f t="shared" si="118"/>
        <v>2168.7764200000001</v>
      </c>
      <c r="O252" s="144">
        <f t="shared" si="118"/>
        <v>4432.8649430000005</v>
      </c>
      <c r="P252" s="146"/>
      <c r="Q252" s="147" t="s">
        <v>91</v>
      </c>
      <c r="R252" s="175"/>
    </row>
    <row r="253" spans="1:18" s="65" customFormat="1" ht="11.25" x14ac:dyDescent="0.2">
      <c r="A253" s="145">
        <f t="shared" ref="A253:O253" si="119">SUM(A250:A252)</f>
        <v>0</v>
      </c>
      <c r="B253" s="144">
        <f t="shared" si="119"/>
        <v>296.596</v>
      </c>
      <c r="C253" s="166">
        <f t="shared" si="119"/>
        <v>1636.656031</v>
      </c>
      <c r="D253" s="144">
        <f t="shared" si="119"/>
        <v>2501.8838000000001</v>
      </c>
      <c r="E253" s="144">
        <f t="shared" si="119"/>
        <v>4435.1358309999996</v>
      </c>
      <c r="F253" s="145">
        <f t="shared" si="119"/>
        <v>753.83500000000004</v>
      </c>
      <c r="G253" s="144">
        <f t="shared" si="119"/>
        <v>65.057999999999993</v>
      </c>
      <c r="H253" s="166">
        <f t="shared" si="119"/>
        <v>3953.7265239999997</v>
      </c>
      <c r="I253" s="166">
        <f t="shared" si="119"/>
        <v>4667.3274299999994</v>
      </c>
      <c r="J253" s="144">
        <f t="shared" si="119"/>
        <v>9439.9469539999991</v>
      </c>
      <c r="K253" s="145">
        <f t="shared" si="119"/>
        <v>753.83500000000004</v>
      </c>
      <c r="L253" s="144">
        <f t="shared" si="119"/>
        <v>361.654</v>
      </c>
      <c r="M253" s="144">
        <f t="shared" si="119"/>
        <v>5590.3825550000001</v>
      </c>
      <c r="N253" s="144">
        <f t="shared" si="119"/>
        <v>7169.2112300000008</v>
      </c>
      <c r="O253" s="144">
        <f t="shared" si="119"/>
        <v>13875.082785000001</v>
      </c>
      <c r="P253" s="146"/>
      <c r="Q253" s="147" t="s">
        <v>56</v>
      </c>
      <c r="R253" s="175"/>
    </row>
    <row r="254" spans="1:18" s="65" customFormat="1" ht="11.25" x14ac:dyDescent="0.2">
      <c r="A254" s="130"/>
      <c r="B254" s="127"/>
      <c r="C254" s="158"/>
      <c r="D254" s="127"/>
      <c r="E254" s="127"/>
      <c r="F254" s="130"/>
      <c r="G254" s="127"/>
      <c r="H254" s="158"/>
      <c r="I254" s="158"/>
      <c r="J254" s="127"/>
      <c r="K254" s="130"/>
      <c r="L254" s="127"/>
      <c r="M254" s="127"/>
      <c r="N254" s="127"/>
      <c r="O254" s="127"/>
      <c r="P254" s="131"/>
      <c r="Q254" s="132"/>
      <c r="R254" s="177"/>
    </row>
    <row r="255" spans="1:18" s="65" customFormat="1" ht="11.25" x14ac:dyDescent="0.2">
      <c r="A255" s="130">
        <v>0</v>
      </c>
      <c r="B255" s="127">
        <v>66.466999999999999</v>
      </c>
      <c r="C255" s="127">
        <v>554.04039999999998</v>
      </c>
      <c r="D255" s="127">
        <v>826.42510000000004</v>
      </c>
      <c r="E255" s="127">
        <f>SUM(A255:D255)</f>
        <v>1446.9324999999999</v>
      </c>
      <c r="F255" s="130">
        <v>293.58800000000002</v>
      </c>
      <c r="G255" s="127">
        <v>17.271999999999998</v>
      </c>
      <c r="H255" s="158">
        <v>1281.2017000000001</v>
      </c>
      <c r="I255" s="158">
        <v>1713.7627379999999</v>
      </c>
      <c r="J255" s="127">
        <f>SUM(F255:I255)</f>
        <v>3305.8244380000001</v>
      </c>
      <c r="K255" s="130">
        <f t="shared" ref="K255:O257" si="120">A255+F255</f>
        <v>293.58800000000002</v>
      </c>
      <c r="L255" s="127">
        <f t="shared" si="120"/>
        <v>83.739000000000004</v>
      </c>
      <c r="M255" s="127">
        <f t="shared" si="120"/>
        <v>1835.2420999999999</v>
      </c>
      <c r="N255" s="127">
        <f t="shared" si="120"/>
        <v>2540.1878379999998</v>
      </c>
      <c r="O255" s="127">
        <f t="shared" si="120"/>
        <v>4752.7569380000004</v>
      </c>
      <c r="P255" s="131"/>
      <c r="Q255" s="132" t="s">
        <v>78</v>
      </c>
      <c r="R255" s="177">
        <v>2020</v>
      </c>
    </row>
    <row r="256" spans="1:18" s="65" customFormat="1" ht="11.25" x14ac:dyDescent="0.2">
      <c r="A256" s="130">
        <v>0</v>
      </c>
      <c r="B256" s="127">
        <v>94.29</v>
      </c>
      <c r="C256" s="127">
        <v>702.89146400000004</v>
      </c>
      <c r="D256" s="127">
        <v>859.48979999999995</v>
      </c>
      <c r="E256" s="127">
        <f>SUM(A256:D256)</f>
        <v>1656.6712640000001</v>
      </c>
      <c r="F256" s="130">
        <v>306.392</v>
      </c>
      <c r="G256" s="127">
        <v>3.415</v>
      </c>
      <c r="H256" s="158">
        <v>1230.5466140000001</v>
      </c>
      <c r="I256" s="158">
        <v>1492.7874879999999</v>
      </c>
      <c r="J256" s="127">
        <f>SUM(F256:I256)</f>
        <v>3033.141102</v>
      </c>
      <c r="K256" s="130">
        <f t="shared" si="120"/>
        <v>306.392</v>
      </c>
      <c r="L256" s="127">
        <f t="shared" si="120"/>
        <v>97.705000000000013</v>
      </c>
      <c r="M256" s="127">
        <f t="shared" si="120"/>
        <v>1933.4380780000001</v>
      </c>
      <c r="N256" s="127">
        <f t="shared" si="120"/>
        <v>2352.2772879999998</v>
      </c>
      <c r="O256" s="127">
        <f t="shared" si="120"/>
        <v>4689.8123660000001</v>
      </c>
      <c r="P256" s="131"/>
      <c r="Q256" s="132" t="s">
        <v>79</v>
      </c>
      <c r="R256" s="177"/>
    </row>
    <row r="257" spans="1:18" s="65" customFormat="1" ht="11.25" x14ac:dyDescent="0.2">
      <c r="A257" s="130">
        <v>0</v>
      </c>
      <c r="B257" s="127">
        <v>175.50399999999999</v>
      </c>
      <c r="C257" s="127">
        <v>674.980817</v>
      </c>
      <c r="D257" s="127">
        <v>892.77459999999996</v>
      </c>
      <c r="E257" s="127">
        <f>SUM(A257:D257)</f>
        <v>1743.259417</v>
      </c>
      <c r="F257" s="130">
        <v>411.89699999999999</v>
      </c>
      <c r="G257" s="127">
        <v>13.304</v>
      </c>
      <c r="H257" s="158">
        <v>1181.8113000000001</v>
      </c>
      <c r="I257" s="158">
        <v>1704.3809699999999</v>
      </c>
      <c r="J257" s="127">
        <f>SUM(F257:I257)</f>
        <v>3311.39327</v>
      </c>
      <c r="K257" s="130">
        <f t="shared" si="120"/>
        <v>411.89699999999999</v>
      </c>
      <c r="L257" s="127">
        <f t="shared" si="120"/>
        <v>188.80799999999999</v>
      </c>
      <c r="M257" s="127">
        <f t="shared" si="120"/>
        <v>1856.792117</v>
      </c>
      <c r="N257" s="127">
        <f t="shared" si="120"/>
        <v>2597.1555699999999</v>
      </c>
      <c r="O257" s="127">
        <f t="shared" si="120"/>
        <v>5054.6526869999998</v>
      </c>
      <c r="P257" s="131"/>
      <c r="Q257" s="132" t="s">
        <v>80</v>
      </c>
      <c r="R257" s="177"/>
    </row>
    <row r="258" spans="1:18" s="65" customFormat="1" ht="11.25" x14ac:dyDescent="0.2">
      <c r="A258" s="145">
        <f t="shared" ref="A258:N258" si="121">SUM(A255:A257)</f>
        <v>0</v>
      </c>
      <c r="B258" s="144">
        <f t="shared" si="121"/>
        <v>336.26099999999997</v>
      </c>
      <c r="C258" s="144">
        <f t="shared" si="121"/>
        <v>1931.9126810000002</v>
      </c>
      <c r="D258" s="144">
        <f t="shared" si="121"/>
        <v>2578.6895</v>
      </c>
      <c r="E258" s="144">
        <f t="shared" si="121"/>
        <v>4846.8631809999997</v>
      </c>
      <c r="F258" s="145">
        <f t="shared" si="121"/>
        <v>1011.877</v>
      </c>
      <c r="G258" s="144">
        <f t="shared" si="121"/>
        <v>33.991</v>
      </c>
      <c r="H258" s="166">
        <f t="shared" si="121"/>
        <v>3693.5596140000007</v>
      </c>
      <c r="I258" s="166">
        <f t="shared" si="121"/>
        <v>4910.9311959999995</v>
      </c>
      <c r="J258" s="144">
        <f t="shared" si="121"/>
        <v>9650.3588099999997</v>
      </c>
      <c r="K258" s="145">
        <f>SUM(K255:K257)</f>
        <v>1011.877</v>
      </c>
      <c r="L258" s="144">
        <f t="shared" si="121"/>
        <v>370.25200000000001</v>
      </c>
      <c r="M258" s="144">
        <f>SUM(M255:M257)</f>
        <v>5625.4722949999996</v>
      </c>
      <c r="N258" s="144">
        <f t="shared" si="121"/>
        <v>7489.620695999999</v>
      </c>
      <c r="O258" s="144">
        <f>SUM(O255:O257)</f>
        <v>14497.221991</v>
      </c>
      <c r="P258" s="146"/>
      <c r="Q258" s="147" t="s">
        <v>53</v>
      </c>
      <c r="R258" s="175">
        <v>2020</v>
      </c>
    </row>
    <row r="259" spans="1:18" s="65" customFormat="1" ht="11.25" x14ac:dyDescent="0.2">
      <c r="A259" s="145">
        <v>0</v>
      </c>
      <c r="B259" s="144">
        <v>182.642</v>
      </c>
      <c r="C259" s="144">
        <v>526.8587</v>
      </c>
      <c r="D259" s="144">
        <v>891.89509999999996</v>
      </c>
      <c r="E259" s="144">
        <f>SUM(A259:D259)</f>
        <v>1601.3958</v>
      </c>
      <c r="F259" s="145">
        <v>291.76499999999999</v>
      </c>
      <c r="G259" s="144">
        <v>15.843</v>
      </c>
      <c r="H259" s="166">
        <v>1323.4078050000001</v>
      </c>
      <c r="I259" s="166">
        <v>1402.0310899999999</v>
      </c>
      <c r="J259" s="144">
        <f>SUM(F259:I259)</f>
        <v>3033.0468949999999</v>
      </c>
      <c r="K259" s="145">
        <f t="shared" ref="K259:O261" si="122">A259+F259</f>
        <v>291.76499999999999</v>
      </c>
      <c r="L259" s="144">
        <f t="shared" si="122"/>
        <v>198.48499999999999</v>
      </c>
      <c r="M259" s="144">
        <f t="shared" si="122"/>
        <v>1850.2665050000001</v>
      </c>
      <c r="N259" s="144">
        <f t="shared" si="122"/>
        <v>2293.9261900000001</v>
      </c>
      <c r="O259" s="144">
        <f t="shared" si="122"/>
        <v>4634.4426949999997</v>
      </c>
      <c r="P259" s="146"/>
      <c r="Q259" s="147" t="s">
        <v>68</v>
      </c>
      <c r="R259" s="175"/>
    </row>
    <row r="260" spans="1:18" s="65" customFormat="1" ht="11.25" x14ac:dyDescent="0.2">
      <c r="A260" s="145">
        <v>0</v>
      </c>
      <c r="B260" s="144">
        <v>162.58199999999999</v>
      </c>
      <c r="C260" s="144">
        <v>757.96191399999998</v>
      </c>
      <c r="D260" s="144">
        <v>806.86689999999999</v>
      </c>
      <c r="E260" s="144">
        <f>SUM(A260:D260)</f>
        <v>1727.4108139999998</v>
      </c>
      <c r="F260" s="145">
        <v>358.72383300000001</v>
      </c>
      <c r="G260" s="144">
        <v>10.5</v>
      </c>
      <c r="H260" s="166">
        <v>1239.1087</v>
      </c>
      <c r="I260" s="166">
        <v>1511.1165639999999</v>
      </c>
      <c r="J260" s="144">
        <f>SUM(F260:I260)</f>
        <v>3119.4490969999997</v>
      </c>
      <c r="K260" s="145">
        <f t="shared" si="122"/>
        <v>358.72383300000001</v>
      </c>
      <c r="L260" s="144">
        <f t="shared" si="122"/>
        <v>173.08199999999999</v>
      </c>
      <c r="M260" s="144">
        <f t="shared" si="122"/>
        <v>1997.070614</v>
      </c>
      <c r="N260" s="144">
        <f t="shared" si="122"/>
        <v>2317.9834639999999</v>
      </c>
      <c r="O260" s="144">
        <f t="shared" si="122"/>
        <v>4846.8599109999996</v>
      </c>
      <c r="P260" s="146"/>
      <c r="Q260" s="147" t="s">
        <v>82</v>
      </c>
      <c r="R260" s="175"/>
    </row>
    <row r="261" spans="1:18" s="65" customFormat="1" ht="11.25" x14ac:dyDescent="0.2">
      <c r="A261" s="145">
        <v>0</v>
      </c>
      <c r="B261" s="144">
        <v>245.173</v>
      </c>
      <c r="C261" s="144">
        <v>666.58731599999999</v>
      </c>
      <c r="D261" s="144">
        <v>602.12810000000002</v>
      </c>
      <c r="E261" s="144">
        <f>SUM(A261:D261)</f>
        <v>1513.888416</v>
      </c>
      <c r="F261" s="145">
        <v>382.05799999999999</v>
      </c>
      <c r="G261" s="144">
        <v>9.0239999999999991</v>
      </c>
      <c r="H261" s="166">
        <v>1378.1964</v>
      </c>
      <c r="I261" s="166">
        <v>1365.1158499999999</v>
      </c>
      <c r="J261" s="144">
        <f>SUM(F261:I261)</f>
        <v>3134.3942500000003</v>
      </c>
      <c r="K261" s="145">
        <f t="shared" si="122"/>
        <v>382.05799999999999</v>
      </c>
      <c r="L261" s="144">
        <f t="shared" si="122"/>
        <v>254.197</v>
      </c>
      <c r="M261" s="144">
        <f t="shared" si="122"/>
        <v>2044.7837159999999</v>
      </c>
      <c r="N261" s="144">
        <f t="shared" si="122"/>
        <v>1967.24395</v>
      </c>
      <c r="O261" s="144">
        <f t="shared" si="122"/>
        <v>4648.2826660000001</v>
      </c>
      <c r="P261" s="146"/>
      <c r="Q261" s="147" t="s">
        <v>83</v>
      </c>
      <c r="R261" s="175"/>
    </row>
    <row r="262" spans="1:18" s="65" customFormat="1" ht="11.25" x14ac:dyDescent="0.2">
      <c r="A262" s="145">
        <f t="shared" ref="A262:O262" si="123">SUM(A259:A261)</f>
        <v>0</v>
      </c>
      <c r="B262" s="144">
        <f t="shared" si="123"/>
        <v>590.39699999999993</v>
      </c>
      <c r="C262" s="144">
        <f t="shared" si="123"/>
        <v>1951.4079299999999</v>
      </c>
      <c r="D262" s="144">
        <f t="shared" si="123"/>
        <v>2300.8901000000001</v>
      </c>
      <c r="E262" s="144">
        <f t="shared" si="123"/>
        <v>4842.6950299999999</v>
      </c>
      <c r="F262" s="145">
        <f t="shared" si="123"/>
        <v>1032.5468329999999</v>
      </c>
      <c r="G262" s="144">
        <f t="shared" si="123"/>
        <v>35.366999999999997</v>
      </c>
      <c r="H262" s="166">
        <f t="shared" si="123"/>
        <v>3940.7129050000003</v>
      </c>
      <c r="I262" s="166">
        <f t="shared" si="123"/>
        <v>4278.2635039999996</v>
      </c>
      <c r="J262" s="144">
        <f t="shared" si="123"/>
        <v>9286.8902420000013</v>
      </c>
      <c r="K262" s="145">
        <f t="shared" si="123"/>
        <v>1032.5468329999999</v>
      </c>
      <c r="L262" s="144">
        <f t="shared" si="123"/>
        <v>625.76400000000001</v>
      </c>
      <c r="M262" s="144">
        <f t="shared" si="123"/>
        <v>5892.1208349999997</v>
      </c>
      <c r="N262" s="144">
        <f t="shared" si="123"/>
        <v>6579.1536040000001</v>
      </c>
      <c r="O262" s="144">
        <f t="shared" si="123"/>
        <v>14129.585272</v>
      </c>
      <c r="P262" s="146"/>
      <c r="Q262" s="147" t="s">
        <v>54</v>
      </c>
      <c r="R262" s="175"/>
    </row>
    <row r="263" spans="1:18" s="65" customFormat="1" ht="11.25" x14ac:dyDescent="0.2">
      <c r="A263" s="145">
        <v>0</v>
      </c>
      <c r="B263" s="144">
        <v>154.92500000000001</v>
      </c>
      <c r="C263" s="144">
        <v>661.15812800000003</v>
      </c>
      <c r="D263" s="144">
        <v>660.07590000000005</v>
      </c>
      <c r="E263" s="144">
        <f>SUM(A263:D263)</f>
        <v>1476.159028</v>
      </c>
      <c r="F263" s="145">
        <v>346.411</v>
      </c>
      <c r="G263" s="144">
        <v>7.8179999999999996</v>
      </c>
      <c r="H263" s="166">
        <v>1420.1552999999999</v>
      </c>
      <c r="I263" s="166">
        <v>1322.0130799999999</v>
      </c>
      <c r="J263" s="144">
        <f>SUM(F263:I263)</f>
        <v>3096.3973799999999</v>
      </c>
      <c r="K263" s="145">
        <f t="shared" ref="K263:O265" si="124">A263+F263</f>
        <v>346.411</v>
      </c>
      <c r="L263" s="144">
        <f t="shared" si="124"/>
        <v>162.74300000000002</v>
      </c>
      <c r="M263" s="144">
        <f t="shared" si="124"/>
        <v>2081.3134279999999</v>
      </c>
      <c r="N263" s="144">
        <f t="shared" si="124"/>
        <v>1982.08898</v>
      </c>
      <c r="O263" s="144">
        <f t="shared" si="124"/>
        <v>4572.5564080000004</v>
      </c>
      <c r="P263" s="146"/>
      <c r="Q263" s="147" t="s">
        <v>85</v>
      </c>
      <c r="R263" s="175"/>
    </row>
    <row r="264" spans="1:18" s="65" customFormat="1" ht="11.25" x14ac:dyDescent="0.2">
      <c r="A264" s="145">
        <v>0</v>
      </c>
      <c r="B264" s="144">
        <v>215.16300000000001</v>
      </c>
      <c r="C264" s="144">
        <v>656.72209899999996</v>
      </c>
      <c r="D264" s="144">
        <v>770.17330000000004</v>
      </c>
      <c r="E264" s="144">
        <f>SUM(A264:D264)</f>
        <v>1642.058399</v>
      </c>
      <c r="F264" s="145">
        <v>458.03699999999998</v>
      </c>
      <c r="G264" s="144">
        <v>10.92</v>
      </c>
      <c r="H264" s="166">
        <v>1443.1404</v>
      </c>
      <c r="I264" s="166">
        <v>1536.95174</v>
      </c>
      <c r="J264" s="144">
        <f>SUM(F264:I264)</f>
        <v>3449.0491400000001</v>
      </c>
      <c r="K264" s="145">
        <f t="shared" si="124"/>
        <v>458.03699999999998</v>
      </c>
      <c r="L264" s="144">
        <f t="shared" si="124"/>
        <v>226.083</v>
      </c>
      <c r="M264" s="144">
        <f t="shared" si="124"/>
        <v>2099.8624989999998</v>
      </c>
      <c r="N264" s="144">
        <f t="shared" si="124"/>
        <v>2307.1250399999999</v>
      </c>
      <c r="O264" s="144">
        <f t="shared" si="124"/>
        <v>5091.1075390000005</v>
      </c>
      <c r="P264" s="146"/>
      <c r="Q264" s="147" t="s">
        <v>86</v>
      </c>
      <c r="R264" s="175"/>
    </row>
    <row r="265" spans="1:18" s="65" customFormat="1" ht="11.25" x14ac:dyDescent="0.2">
      <c r="A265" s="145">
        <v>0</v>
      </c>
      <c r="B265" s="144">
        <v>163.816</v>
      </c>
      <c r="C265" s="144">
        <v>614.79989999999998</v>
      </c>
      <c r="D265" s="144">
        <v>656.40769999999998</v>
      </c>
      <c r="E265" s="144">
        <f>SUM(A265:D265)</f>
        <v>1435.0236</v>
      </c>
      <c r="F265" s="145">
        <v>336.11900000000003</v>
      </c>
      <c r="G265" s="144">
        <v>4.8710000000000004</v>
      </c>
      <c r="H265" s="166">
        <v>1331.5418999999999</v>
      </c>
      <c r="I265" s="166">
        <v>1410.0119199999999</v>
      </c>
      <c r="J265" s="144">
        <f>SUM(F265:I265)</f>
        <v>3082.5438199999999</v>
      </c>
      <c r="K265" s="145">
        <f t="shared" si="124"/>
        <v>336.11900000000003</v>
      </c>
      <c r="L265" s="144">
        <f t="shared" si="124"/>
        <v>168.68700000000001</v>
      </c>
      <c r="M265" s="144">
        <f t="shared" si="124"/>
        <v>1946.3417999999999</v>
      </c>
      <c r="N265" s="144">
        <f t="shared" si="124"/>
        <v>2066.4196199999997</v>
      </c>
      <c r="O265" s="144">
        <f t="shared" si="124"/>
        <v>4517.5674199999994</v>
      </c>
      <c r="P265" s="146"/>
      <c r="Q265" s="147" t="s">
        <v>87</v>
      </c>
      <c r="R265" s="175"/>
    </row>
    <row r="266" spans="1:18" s="65" customFormat="1" ht="11.25" x14ac:dyDescent="0.2">
      <c r="A266" s="145">
        <f t="shared" ref="A266:O266" si="125">SUM(A263:A265)</f>
        <v>0</v>
      </c>
      <c r="B266" s="144">
        <f t="shared" si="125"/>
        <v>533.904</v>
      </c>
      <c r="C266" s="144">
        <f t="shared" si="125"/>
        <v>1932.6801270000001</v>
      </c>
      <c r="D266" s="144">
        <f t="shared" si="125"/>
        <v>2086.6569</v>
      </c>
      <c r="E266" s="144">
        <f t="shared" si="125"/>
        <v>4553.241027</v>
      </c>
      <c r="F266" s="145">
        <f t="shared" si="125"/>
        <v>1140.567</v>
      </c>
      <c r="G266" s="144">
        <f t="shared" si="125"/>
        <v>23.609000000000002</v>
      </c>
      <c r="H266" s="166">
        <f t="shared" si="125"/>
        <v>4194.8375999999998</v>
      </c>
      <c r="I266" s="166">
        <f t="shared" si="125"/>
        <v>4268.9767400000001</v>
      </c>
      <c r="J266" s="144">
        <f t="shared" si="125"/>
        <v>9627.9903400000003</v>
      </c>
      <c r="K266" s="145">
        <f t="shared" si="125"/>
        <v>1140.567</v>
      </c>
      <c r="L266" s="144">
        <f t="shared" si="125"/>
        <v>557.51300000000003</v>
      </c>
      <c r="M266" s="144">
        <f t="shared" si="125"/>
        <v>6127.5177270000004</v>
      </c>
      <c r="N266" s="144">
        <f t="shared" si="125"/>
        <v>6355.6336399999991</v>
      </c>
      <c r="O266" s="144">
        <f t="shared" si="125"/>
        <v>14181.231367</v>
      </c>
      <c r="P266" s="146"/>
      <c r="Q266" s="147" t="s">
        <v>55</v>
      </c>
      <c r="R266" s="175"/>
    </row>
    <row r="267" spans="1:18" s="65" customFormat="1" ht="11.25" x14ac:dyDescent="0.2">
      <c r="A267" s="145">
        <v>0</v>
      </c>
      <c r="B267" s="144">
        <v>204.917</v>
      </c>
      <c r="C267" s="144">
        <v>688.82938899999999</v>
      </c>
      <c r="D267" s="144">
        <v>774.98540000000003</v>
      </c>
      <c r="E267" s="144">
        <f>SUM(A267:D267)</f>
        <v>1668.7317889999999</v>
      </c>
      <c r="F267" s="145">
        <v>385.14</v>
      </c>
      <c r="G267" s="144">
        <v>13.234999999999999</v>
      </c>
      <c r="H267" s="166">
        <v>1417.9183</v>
      </c>
      <c r="I267" s="166">
        <v>1491.7130999999999</v>
      </c>
      <c r="J267" s="144">
        <f>SUM(F267:I267)</f>
        <v>3308.0064000000002</v>
      </c>
      <c r="K267" s="145">
        <f t="shared" ref="K267:O269" si="126">A267+F267</f>
        <v>385.14</v>
      </c>
      <c r="L267" s="144">
        <f t="shared" si="126"/>
        <v>218.15199999999999</v>
      </c>
      <c r="M267" s="144">
        <f t="shared" si="126"/>
        <v>2106.7476889999998</v>
      </c>
      <c r="N267" s="144">
        <f t="shared" si="126"/>
        <v>2266.6985</v>
      </c>
      <c r="O267" s="144">
        <f t="shared" si="126"/>
        <v>4976.7381889999997</v>
      </c>
      <c r="P267" s="146"/>
      <c r="Q267" s="147" t="s">
        <v>89</v>
      </c>
      <c r="R267" s="175"/>
    </row>
    <row r="268" spans="1:18" s="65" customFormat="1" ht="11.25" x14ac:dyDescent="0.2">
      <c r="A268" s="145">
        <v>0</v>
      </c>
      <c r="B268" s="144">
        <v>185.29</v>
      </c>
      <c r="C268" s="144">
        <v>652.07000000000005</v>
      </c>
      <c r="D268" s="144">
        <v>732.38469999999995</v>
      </c>
      <c r="E268" s="144">
        <f>SUM(A268:D268)</f>
        <v>1569.7447</v>
      </c>
      <c r="F268" s="145">
        <v>470.5</v>
      </c>
      <c r="G268" s="144">
        <v>15.939</v>
      </c>
      <c r="H268" s="166">
        <v>1437.9177999999999</v>
      </c>
      <c r="I268" s="166">
        <v>1295.8710490000001</v>
      </c>
      <c r="J268" s="144">
        <f>SUM(F268:I268)</f>
        <v>3220.2278489999999</v>
      </c>
      <c r="K268" s="145">
        <f t="shared" si="126"/>
        <v>470.5</v>
      </c>
      <c r="L268" s="144">
        <f t="shared" si="126"/>
        <v>201.22899999999998</v>
      </c>
      <c r="M268" s="144">
        <f t="shared" si="126"/>
        <v>2089.9877999999999</v>
      </c>
      <c r="N268" s="144">
        <f t="shared" si="126"/>
        <v>2028.2557489999999</v>
      </c>
      <c r="O268" s="144">
        <f t="shared" si="126"/>
        <v>4789.9725490000001</v>
      </c>
      <c r="P268" s="146"/>
      <c r="Q268" s="147" t="s">
        <v>90</v>
      </c>
      <c r="R268" s="175"/>
    </row>
    <row r="269" spans="1:18" s="65" customFormat="1" ht="11.25" x14ac:dyDescent="0.2">
      <c r="A269" s="145">
        <v>0</v>
      </c>
      <c r="B269" s="144">
        <v>224.63399999999999</v>
      </c>
      <c r="C269" s="144">
        <v>751.70993799999997</v>
      </c>
      <c r="D269" s="144">
        <v>665.78610000000003</v>
      </c>
      <c r="E269" s="144">
        <f>SUM(A269:D269)</f>
        <v>1642.130038</v>
      </c>
      <c r="F269" s="145">
        <v>415.92165699999998</v>
      </c>
      <c r="G269" s="144">
        <v>27.027000000000001</v>
      </c>
      <c r="H269" s="166">
        <v>1380.0900999999999</v>
      </c>
      <c r="I269" s="166">
        <v>1412.80539</v>
      </c>
      <c r="J269" s="144">
        <f>SUM(F269:I269)</f>
        <v>3235.8441469999998</v>
      </c>
      <c r="K269" s="145">
        <f t="shared" si="126"/>
        <v>415.92165699999998</v>
      </c>
      <c r="L269" s="144">
        <f t="shared" si="126"/>
        <v>251.661</v>
      </c>
      <c r="M269" s="144">
        <f t="shared" si="126"/>
        <v>2131.8000379999999</v>
      </c>
      <c r="N269" s="144">
        <f t="shared" si="126"/>
        <v>2078.5914899999998</v>
      </c>
      <c r="O269" s="144">
        <f t="shared" si="126"/>
        <v>4877.974185</v>
      </c>
      <c r="P269" s="146"/>
      <c r="Q269" s="147" t="s">
        <v>91</v>
      </c>
      <c r="R269" s="175"/>
    </row>
    <row r="270" spans="1:18" s="65" customFormat="1" ht="11.25" x14ac:dyDescent="0.2">
      <c r="A270" s="145">
        <f t="shared" ref="A270:N270" si="127">SUM(A267:A269)</f>
        <v>0</v>
      </c>
      <c r="B270" s="144">
        <f t="shared" si="127"/>
        <v>614.84100000000001</v>
      </c>
      <c r="C270" s="144">
        <f t="shared" si="127"/>
        <v>2092.6093270000001</v>
      </c>
      <c r="D270" s="144">
        <f t="shared" si="127"/>
        <v>2173.1562000000004</v>
      </c>
      <c r="E270" s="144">
        <f t="shared" si="127"/>
        <v>4880.6065269999999</v>
      </c>
      <c r="F270" s="145">
        <f t="shared" si="127"/>
        <v>1271.561657</v>
      </c>
      <c r="G270" s="144">
        <f t="shared" si="127"/>
        <v>56.201000000000001</v>
      </c>
      <c r="H270" s="166">
        <f t="shared" si="127"/>
        <v>4235.9261999999999</v>
      </c>
      <c r="I270" s="166">
        <f t="shared" si="127"/>
        <v>4200.3895389999998</v>
      </c>
      <c r="J270" s="144">
        <f t="shared" si="127"/>
        <v>9764.0783960000008</v>
      </c>
      <c r="K270" s="145">
        <f t="shared" si="127"/>
        <v>1271.561657</v>
      </c>
      <c r="L270" s="144">
        <f t="shared" si="127"/>
        <v>671.04199999999992</v>
      </c>
      <c r="M270" s="144">
        <f t="shared" si="127"/>
        <v>6328.535527</v>
      </c>
      <c r="N270" s="144">
        <f t="shared" si="127"/>
        <v>6373.5457390000001</v>
      </c>
      <c r="O270" s="144">
        <f>SUM(O267:O269)</f>
        <v>14644.684923000001</v>
      </c>
      <c r="P270" s="146"/>
      <c r="Q270" s="147" t="s">
        <v>56</v>
      </c>
      <c r="R270" s="175"/>
    </row>
    <row r="271" spans="1:18" s="65" customFormat="1" ht="11.25" x14ac:dyDescent="0.2">
      <c r="A271" s="130"/>
      <c r="B271" s="127"/>
      <c r="C271" s="127"/>
      <c r="D271" s="127"/>
      <c r="E271" s="127"/>
      <c r="F271" s="130"/>
      <c r="G271" s="127"/>
      <c r="H271" s="158"/>
      <c r="I271" s="158"/>
      <c r="J271" s="127"/>
      <c r="K271" s="130"/>
      <c r="L271" s="127"/>
      <c r="M271" s="127"/>
      <c r="N271" s="127"/>
      <c r="O271" s="127"/>
      <c r="P271" s="131"/>
      <c r="Q271" s="132"/>
      <c r="R271" s="177"/>
    </row>
    <row r="272" spans="1:18" s="65" customFormat="1" ht="11.25" x14ac:dyDescent="0.2">
      <c r="A272" s="130">
        <v>0</v>
      </c>
      <c r="B272" s="127">
        <v>54.597999999999999</v>
      </c>
      <c r="C272" s="127">
        <v>669.59710900000005</v>
      </c>
      <c r="D272" s="127">
        <v>856.27671799999996</v>
      </c>
      <c r="E272" s="127">
        <f>SUM(A272:D272)</f>
        <v>1580.4718269999998</v>
      </c>
      <c r="F272" s="130">
        <v>375.79700000000003</v>
      </c>
      <c r="G272" s="127">
        <v>10.635999999999999</v>
      </c>
      <c r="H272" s="158">
        <v>1327.4001000000001</v>
      </c>
      <c r="I272" s="158">
        <v>1493.2424410000001</v>
      </c>
      <c r="J272" s="127">
        <f>SUM(F272:I272)</f>
        <v>3207.0755410000002</v>
      </c>
      <c r="K272" s="130">
        <f t="shared" ref="K272:O274" si="128">A272+F272</f>
        <v>375.79700000000003</v>
      </c>
      <c r="L272" s="127">
        <f t="shared" si="128"/>
        <v>65.233999999999995</v>
      </c>
      <c r="M272" s="127">
        <f t="shared" si="128"/>
        <v>1996.9972090000001</v>
      </c>
      <c r="N272" s="127">
        <f t="shared" si="128"/>
        <v>2349.5191589999999</v>
      </c>
      <c r="O272" s="127">
        <f t="shared" si="128"/>
        <v>4787.5473679999996</v>
      </c>
      <c r="P272" s="131"/>
      <c r="Q272" s="132" t="s">
        <v>78</v>
      </c>
      <c r="R272" s="177">
        <v>2021</v>
      </c>
    </row>
    <row r="273" spans="1:24" s="65" customFormat="1" ht="11.25" x14ac:dyDescent="0.2">
      <c r="A273" s="130">
        <v>0</v>
      </c>
      <c r="B273" s="127">
        <v>132.971</v>
      </c>
      <c r="C273" s="127">
        <v>736.00660000000005</v>
      </c>
      <c r="D273" s="127">
        <v>748.73453400000005</v>
      </c>
      <c r="E273" s="127">
        <f>SUM(A273:D273)</f>
        <v>1617.7121340000001</v>
      </c>
      <c r="F273" s="130">
        <v>402.266389</v>
      </c>
      <c r="G273" s="127">
        <v>12.019</v>
      </c>
      <c r="H273" s="158">
        <v>1231.7163</v>
      </c>
      <c r="I273" s="158">
        <v>1416.748513</v>
      </c>
      <c r="J273" s="127">
        <f>SUM(F273:I273)</f>
        <v>3062.7502020000002</v>
      </c>
      <c r="K273" s="130">
        <f t="shared" si="128"/>
        <v>402.266389</v>
      </c>
      <c r="L273" s="127">
        <f t="shared" si="128"/>
        <v>144.99</v>
      </c>
      <c r="M273" s="127">
        <f t="shared" si="128"/>
        <v>1967.7229000000002</v>
      </c>
      <c r="N273" s="127">
        <f t="shared" si="128"/>
        <v>2165.4830470000002</v>
      </c>
      <c r="O273" s="127">
        <f t="shared" si="128"/>
        <v>4680.4623360000005</v>
      </c>
      <c r="P273" s="131"/>
      <c r="Q273" s="132" t="s">
        <v>79</v>
      </c>
      <c r="R273" s="177"/>
    </row>
    <row r="274" spans="1:24" s="65" customFormat="1" ht="11.25" x14ac:dyDescent="0.2">
      <c r="A274" s="130">
        <v>0</v>
      </c>
      <c r="B274" s="127">
        <v>185.43299999999999</v>
      </c>
      <c r="C274" s="127">
        <v>696.01551600000005</v>
      </c>
      <c r="D274" s="127">
        <v>822.46988299999998</v>
      </c>
      <c r="E274" s="127">
        <f>SUM(A274:D274)</f>
        <v>1703.9183990000001</v>
      </c>
      <c r="F274" s="130">
        <v>367.04199999999997</v>
      </c>
      <c r="G274" s="127">
        <v>8.4</v>
      </c>
      <c r="H274" s="158">
        <v>1377.7555</v>
      </c>
      <c r="I274" s="158">
        <v>1419.2231670000001</v>
      </c>
      <c r="J274" s="127">
        <f>SUM(F274:I274)</f>
        <v>3172.4206670000003</v>
      </c>
      <c r="K274" s="130">
        <f t="shared" si="128"/>
        <v>367.04199999999997</v>
      </c>
      <c r="L274" s="127">
        <f t="shared" si="128"/>
        <v>193.833</v>
      </c>
      <c r="M274" s="127">
        <f t="shared" si="128"/>
        <v>2073.7710160000001</v>
      </c>
      <c r="N274" s="127">
        <f t="shared" si="128"/>
        <v>2241.6930499999999</v>
      </c>
      <c r="O274" s="127">
        <f t="shared" si="128"/>
        <v>4876.3390660000005</v>
      </c>
      <c r="P274" s="131"/>
      <c r="Q274" s="132" t="s">
        <v>80</v>
      </c>
      <c r="R274" s="177"/>
    </row>
    <row r="275" spans="1:24" s="65" customFormat="1" ht="11.25" x14ac:dyDescent="0.2">
      <c r="A275" s="130">
        <f t="shared" ref="A275:O275" si="129">SUM(A272:A274)</f>
        <v>0</v>
      </c>
      <c r="B275" s="127">
        <f t="shared" si="129"/>
        <v>373.00200000000001</v>
      </c>
      <c r="C275" s="127">
        <f t="shared" si="129"/>
        <v>2101.6192249999999</v>
      </c>
      <c r="D275" s="127">
        <f t="shared" si="129"/>
        <v>2427.481135</v>
      </c>
      <c r="E275" s="127">
        <f t="shared" si="129"/>
        <v>4902.1023599999999</v>
      </c>
      <c r="F275" s="130">
        <f t="shared" si="129"/>
        <v>1145.1053890000001</v>
      </c>
      <c r="G275" s="127">
        <f t="shared" si="129"/>
        <v>31.055</v>
      </c>
      <c r="H275" s="158">
        <f t="shared" si="129"/>
        <v>3936.8719000000001</v>
      </c>
      <c r="I275" s="158">
        <f>SUM(I272:I274)</f>
        <v>4329.214121</v>
      </c>
      <c r="J275" s="127">
        <f t="shared" si="129"/>
        <v>9442.2464099999997</v>
      </c>
      <c r="K275" s="130">
        <f t="shared" si="129"/>
        <v>1145.1053890000001</v>
      </c>
      <c r="L275" s="127">
        <f t="shared" si="129"/>
        <v>404.05700000000002</v>
      </c>
      <c r="M275" s="127">
        <f t="shared" si="129"/>
        <v>6038.4911250000005</v>
      </c>
      <c r="N275" s="127">
        <f t="shared" si="129"/>
        <v>6756.695256</v>
      </c>
      <c r="O275" s="127">
        <f t="shared" si="129"/>
        <v>14344.348770000001</v>
      </c>
      <c r="P275" s="131"/>
      <c r="Q275" s="132" t="s">
        <v>53</v>
      </c>
      <c r="R275" s="177">
        <v>2021</v>
      </c>
    </row>
    <row r="276" spans="1:24" s="65" customFormat="1" ht="11.25" x14ac:dyDescent="0.2">
      <c r="A276" s="130">
        <v>0</v>
      </c>
      <c r="B276" s="127">
        <v>62.481000000000002</v>
      </c>
      <c r="C276" s="127">
        <v>591.38175200000001</v>
      </c>
      <c r="D276" s="127">
        <v>807.70312000000001</v>
      </c>
      <c r="E276" s="127">
        <f>SUM(A276:D276)</f>
        <v>1461.5658720000001</v>
      </c>
      <c r="F276" s="130">
        <v>390.73500000000001</v>
      </c>
      <c r="G276" s="127">
        <v>20.516999999999999</v>
      </c>
      <c r="H276" s="158">
        <v>1303.7322999999999</v>
      </c>
      <c r="I276" s="158">
        <v>1667.0730209999999</v>
      </c>
      <c r="J276" s="127">
        <f>SUM(F276:I276)</f>
        <v>3382.0573209999998</v>
      </c>
      <c r="K276" s="130">
        <f t="shared" ref="K276:O278" si="130">A276+F276</f>
        <v>390.73500000000001</v>
      </c>
      <c r="L276" s="127">
        <f t="shared" si="130"/>
        <v>82.998000000000005</v>
      </c>
      <c r="M276" s="127">
        <f t="shared" si="130"/>
        <v>1895.1140519999999</v>
      </c>
      <c r="N276" s="127">
        <f t="shared" si="130"/>
        <v>2474.7761409999998</v>
      </c>
      <c r="O276" s="127">
        <f t="shared" si="130"/>
        <v>4843.6231929999994</v>
      </c>
      <c r="P276" s="131"/>
      <c r="Q276" s="132" t="s">
        <v>68</v>
      </c>
      <c r="R276" s="177"/>
    </row>
    <row r="277" spans="1:24" s="65" customFormat="1" ht="11.25" x14ac:dyDescent="0.2">
      <c r="A277" s="130">
        <v>0</v>
      </c>
      <c r="B277" s="127">
        <v>197.08199999999999</v>
      </c>
      <c r="C277" s="127">
        <v>719.74704499999996</v>
      </c>
      <c r="D277" s="127">
        <v>795.76293099999998</v>
      </c>
      <c r="E277" s="127">
        <f>SUM(A277:D277)</f>
        <v>1712.5919759999999</v>
      </c>
      <c r="F277" s="130">
        <v>400.54700000000003</v>
      </c>
      <c r="G277" s="127">
        <v>16.545000000000002</v>
      </c>
      <c r="H277" s="158">
        <v>1242.8221000000001</v>
      </c>
      <c r="I277" s="158">
        <v>1542.491121</v>
      </c>
      <c r="J277" s="127">
        <f>SUM(F277:I277)</f>
        <v>3202.405221</v>
      </c>
      <c r="K277" s="130">
        <f t="shared" si="130"/>
        <v>400.54700000000003</v>
      </c>
      <c r="L277" s="127">
        <f t="shared" si="130"/>
        <v>213.62700000000001</v>
      </c>
      <c r="M277" s="127">
        <f t="shared" si="130"/>
        <v>1962.5691449999999</v>
      </c>
      <c r="N277" s="127">
        <f t="shared" si="130"/>
        <v>2338.2540520000002</v>
      </c>
      <c r="O277" s="127">
        <f t="shared" si="130"/>
        <v>4914.9971969999997</v>
      </c>
      <c r="P277" s="131"/>
      <c r="Q277" s="132" t="s">
        <v>82</v>
      </c>
      <c r="R277" s="177"/>
    </row>
    <row r="278" spans="1:24" s="65" customFormat="1" ht="11.25" x14ac:dyDescent="0.2">
      <c r="A278" s="130">
        <v>0</v>
      </c>
      <c r="B278" s="127">
        <v>193.89</v>
      </c>
      <c r="C278" s="127">
        <v>690.65469299999995</v>
      </c>
      <c r="D278" s="127">
        <v>742.44345199999998</v>
      </c>
      <c r="E278" s="127">
        <f>SUM(A278:D278)</f>
        <v>1626.9881449999998</v>
      </c>
      <c r="F278" s="130">
        <v>448.82100000000003</v>
      </c>
      <c r="G278" s="127">
        <v>17.452000000000002</v>
      </c>
      <c r="H278" s="158">
        <v>1412.7429999999999</v>
      </c>
      <c r="I278" s="158">
        <v>1675.2482729999999</v>
      </c>
      <c r="J278" s="127">
        <f>SUM(F278:I278)</f>
        <v>3554.2642729999998</v>
      </c>
      <c r="K278" s="130">
        <f t="shared" si="130"/>
        <v>448.82100000000003</v>
      </c>
      <c r="L278" s="127">
        <f t="shared" si="130"/>
        <v>211.34199999999998</v>
      </c>
      <c r="M278" s="127">
        <f t="shared" si="130"/>
        <v>2103.3976929999999</v>
      </c>
      <c r="N278" s="127">
        <f t="shared" si="130"/>
        <v>2417.6917249999997</v>
      </c>
      <c r="O278" s="127">
        <f t="shared" si="130"/>
        <v>5181.252418</v>
      </c>
      <c r="P278" s="131"/>
      <c r="Q278" s="132" t="s">
        <v>83</v>
      </c>
      <c r="R278" s="177"/>
    </row>
    <row r="279" spans="1:24" s="65" customFormat="1" ht="11.25" x14ac:dyDescent="0.2">
      <c r="A279" s="130">
        <f t="shared" ref="A279:O279" si="131">SUM(A276:A278)</f>
        <v>0</v>
      </c>
      <c r="B279" s="127">
        <f t="shared" si="131"/>
        <v>453.45299999999997</v>
      </c>
      <c r="C279" s="127">
        <f t="shared" si="131"/>
        <v>2001.7834899999998</v>
      </c>
      <c r="D279" s="127">
        <f t="shared" si="131"/>
        <v>2345.9095029999999</v>
      </c>
      <c r="E279" s="127">
        <f t="shared" si="131"/>
        <v>4801.1459930000001</v>
      </c>
      <c r="F279" s="130">
        <f t="shared" si="131"/>
        <v>1240.1030000000001</v>
      </c>
      <c r="G279" s="127">
        <f t="shared" si="131"/>
        <v>54.513999999999996</v>
      </c>
      <c r="H279" s="158">
        <f t="shared" si="131"/>
        <v>3959.2973999999999</v>
      </c>
      <c r="I279" s="158">
        <f>SUM(I276:I278)</f>
        <v>4884.8124150000003</v>
      </c>
      <c r="J279" s="127">
        <f t="shared" si="131"/>
        <v>10138.726814999998</v>
      </c>
      <c r="K279" s="130">
        <f t="shared" si="131"/>
        <v>1240.1030000000001</v>
      </c>
      <c r="L279" s="127">
        <f t="shared" si="131"/>
        <v>507.96699999999998</v>
      </c>
      <c r="M279" s="127">
        <f t="shared" si="131"/>
        <v>5961.0808899999993</v>
      </c>
      <c r="N279" s="127">
        <f t="shared" si="131"/>
        <v>7230.7219180000002</v>
      </c>
      <c r="O279" s="127">
        <f t="shared" si="131"/>
        <v>14939.872808</v>
      </c>
      <c r="P279" s="131"/>
      <c r="Q279" s="132" t="s">
        <v>54</v>
      </c>
      <c r="R279" s="177"/>
    </row>
    <row r="280" spans="1:24" s="65" customFormat="1" ht="11.25" x14ac:dyDescent="0.2">
      <c r="A280" s="130">
        <v>0</v>
      </c>
      <c r="B280" s="127">
        <v>81.933999999999997</v>
      </c>
      <c r="C280" s="127">
        <v>577.373963</v>
      </c>
      <c r="D280" s="127">
        <v>730.70012399999996</v>
      </c>
      <c r="E280" s="127">
        <f>SUM(A280:D280)</f>
        <v>1390.0080869999999</v>
      </c>
      <c r="F280" s="130">
        <v>400.68400000000003</v>
      </c>
      <c r="G280" s="127">
        <v>16.007000000000001</v>
      </c>
      <c r="H280" s="158">
        <v>1396.9630050000001</v>
      </c>
      <c r="I280" s="158">
        <v>1530.4276010000001</v>
      </c>
      <c r="J280" s="127">
        <f>SUM(F280:I280)</f>
        <v>3344.0816060000002</v>
      </c>
      <c r="K280" s="130">
        <f>A280+F280</f>
        <v>400.68400000000003</v>
      </c>
      <c r="L280" s="127">
        <f>B280+G280</f>
        <v>97.941000000000003</v>
      </c>
      <c r="M280" s="127">
        <f>C280+H280</f>
        <v>1974.3369680000001</v>
      </c>
      <c r="N280" s="127">
        <f>D280+I280</f>
        <v>2261.1277250000003</v>
      </c>
      <c r="O280" s="127">
        <f>E280+J280</f>
        <v>4734.0896929999999</v>
      </c>
      <c r="P280" s="131"/>
      <c r="Q280" s="132" t="s">
        <v>85</v>
      </c>
      <c r="R280" s="177"/>
    </row>
    <row r="281" spans="1:24" s="65" customFormat="1" ht="11.25" x14ac:dyDescent="0.2">
      <c r="A281" s="142"/>
      <c r="B281" s="141"/>
      <c r="C281" s="141"/>
      <c r="D281" s="141"/>
      <c r="E281" s="141"/>
      <c r="F281" s="142"/>
      <c r="G281" s="141"/>
      <c r="H281" s="141"/>
      <c r="I281" s="141"/>
      <c r="J281" s="141"/>
      <c r="K281" s="142"/>
      <c r="L281" s="141"/>
      <c r="M281" s="141"/>
      <c r="N281" s="141"/>
      <c r="O281" s="141"/>
      <c r="P281" s="111"/>
      <c r="Q281" s="112"/>
      <c r="R281" s="110"/>
    </row>
    <row r="282" spans="1:24" x14ac:dyDescent="0.2">
      <c r="A282" s="155"/>
      <c r="B282" s="156"/>
      <c r="C282" s="158"/>
      <c r="F282" s="156"/>
      <c r="G282" s="156"/>
      <c r="H282" s="97" t="s">
        <v>140</v>
      </c>
      <c r="K282" s="127"/>
      <c r="L282" s="127"/>
      <c r="M282" s="127"/>
      <c r="N282" s="127"/>
      <c r="R282" s="109" t="s">
        <v>177</v>
      </c>
      <c r="W282" s="144"/>
      <c r="X282" s="144"/>
    </row>
    <row r="283" spans="1:24" ht="15.75" x14ac:dyDescent="0.25">
      <c r="A283" s="169"/>
      <c r="B283" s="90"/>
      <c r="C283" s="170"/>
      <c r="D283" s="170"/>
      <c r="E283" s="169"/>
      <c r="F283" s="169"/>
      <c r="G283" s="169"/>
      <c r="H283" s="170"/>
      <c r="I283" s="170"/>
      <c r="J283" s="90"/>
      <c r="K283" s="170"/>
      <c r="L283" s="170"/>
      <c r="M283" s="170"/>
      <c r="N283" s="170"/>
      <c r="O283" s="170"/>
      <c r="Q283" s="172"/>
      <c r="R283" s="174"/>
      <c r="S283" s="167"/>
      <c r="V283" s="173"/>
      <c r="W283" s="144"/>
      <c r="X283" s="144"/>
    </row>
    <row r="284" spans="1:24" x14ac:dyDescent="0.2">
      <c r="A284" s="170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70"/>
      <c r="M284" s="127"/>
      <c r="N284" s="127"/>
      <c r="O284" s="127"/>
      <c r="Q284" s="168"/>
      <c r="R284" s="188"/>
      <c r="S284" s="167"/>
      <c r="W284" s="144"/>
      <c r="X284" s="144"/>
    </row>
    <row r="285" spans="1:24" x14ac:dyDescent="0.2">
      <c r="A285" s="171"/>
      <c r="E285" s="127"/>
      <c r="J285" s="127"/>
      <c r="K285" s="127"/>
      <c r="L285" s="127"/>
      <c r="M285" s="127"/>
      <c r="N285" s="158"/>
      <c r="O285" s="127"/>
      <c r="W285" s="144"/>
      <c r="X285" s="144"/>
    </row>
    <row r="286" spans="1:24" x14ac:dyDescent="0.2">
      <c r="M286" s="127"/>
      <c r="N286" s="158"/>
      <c r="O286" s="179"/>
      <c r="W286" s="144"/>
      <c r="X286" s="144"/>
    </row>
    <row r="287" spans="1:24" x14ac:dyDescent="0.2">
      <c r="M287" s="158"/>
      <c r="N287" s="158"/>
      <c r="W287" s="144"/>
      <c r="X287" s="144"/>
    </row>
    <row r="288" spans="1:24" x14ac:dyDescent="0.2">
      <c r="W288" s="144"/>
      <c r="X288" s="144"/>
    </row>
    <row r="289" spans="23:24" x14ac:dyDescent="0.2">
      <c r="W289" s="144"/>
      <c r="X289" s="144"/>
    </row>
  </sheetData>
  <phoneticPr fontId="41" type="noConversion"/>
  <printOptions horizontalCentered="1" gridLinesSet="0"/>
  <pageMargins left="0.6692913385826772" right="0.47244094488188981" top="0.17" bottom="0.11811023622047245" header="0.15748031496062992" footer="0.15748031496062992"/>
  <pageSetup paperSize="9" scale="18" orientation="landscape" r:id="rId1"/>
  <headerFooter alignWithMargins="0"/>
  <ignoredErrors>
    <ignoredError sqref="G19:J19 N36:O41 L42:O42 E42 M19 I36:I41 L35:M40 G35:H41 J46:J49 E46:E48 O21 J51:J53 J59:J61 J55:J57 J63:J66 M22:O22 J68:K70 C19:E19 J42 J35:J40 J72:K74 J76:K78 E78 J21:J25 K79:K80 J81:K83 G22:H22 C36:E41 F23:F24 K23:L23 N23:O23 J85:J91 J93:J95 K85:K89 E21:E25 L24:O24 G24:I24 J99:J100 J102:J104 J106:J108 J110:J112 J114:J117 F25:G25 J119:J121 J124:J125 J127:J129 J131:J134 A26 E26:F26 C26 K24:K25 O35 J136:J138 J141:J142 J145:J146 J26:N26 E27:G27 I27:M27 O25:O27 E28:F28 J28:K28 E29:K29 J30:K30 D30:H30 E31:K31 E32:F32 J32:K33 E33:F33 J34:K34 E34:F34 O19" unlockedFormula="1"/>
    <ignoredError sqref="L19 J54 J58 J62 J79:J80 J75:K75 J71:K71 J92 J96 J97:J98 J105 J109 J113 J122:J123 J126 J130 J139:J140 J143:J144 J147 K22" formula="1" unlockedFormula="1"/>
    <ignoredError sqref="Q51:Q53 Q55:Q57 Q59:Q61 Q63:Q65 Q68:Q70 Q72:Q74 Q76:Q78 Q80:Q82 Q85:Q91 Q93:Q95 Q97:Q99 Q102:Q104 Q106:Q108 Q110:Q112 Q114:Q116 Q119:Q121 Q123:Q125 Q127:Q129 Q131:Q133 Q136:Q138 Q140:Q142 Q144:Q146 Q148:Q150 Q153:Q155 Q157:Q159 Q161:Q163 Q165:Q167 Q170:Q172 Q174:Q176 Q178:Q180 Q182:Q184 Q187:Q189 Q191:Q193 Q195:Q197 Q199:Q201 Q204:Q206 Q208:Q210 Q212:Q214 Q216:Q218 Q221:Q223 Q225:Q227 Q229:Q231 Q233:Q235 Q238:Q240 Q242:Q244 Q246:Q248 Q250:Q252 Q255 Q256:Q257 Q259:Q261 Q263:Q265 Q267:Q269 Q272:Q274 Q276:Q278 Q280" numberStoredAsText="1"/>
    <ignoredError sqref="L52 M52:O52 L54:O54 E54 G58:I58 L58:O58 G62:I62 L62:O62 E58 L71:O71 E75 L75:O75 B62:E62 E71 E79 E88 F93 E92:I92 K92:N92 I93 E96 K105:O105 E105 E109 K109:O109 H109:I109 E114 E113 K113:L113 H113 M113:O113 E122 K122:L122 E127:F127 E126:F126 K126:O126 K127:O127 E130 K130:O130 I126 M122:O122 E139 M139 K139:L139 N139:O139 E144 E143:I143 K143:L143 K144:M144 O143 K147:O147 E147 M143:N143 J156 E156 K156:N156 E160 J160 K160:O160 E164:G164 E173:G173 J173 E177 E181 J181 J177 G177:H177 E190:G190 J190:O190 E194:G194 J194:O194 K173:O173 O156 E198 J198 K198:O198 I164:O164 J207 E207 E211:M211 E215:O215 N211:O211 E224:N224 O224 E228:J228 K228:O228 E232 G232:O232 E241:J241 J245:O245 E245 E249:O249 K241:O241 E258:M258 N258:O258 E262:O262 E266:O266 E275:H275 J275:O275 E279:O279" formula="1"/>
    <ignoredError sqref="F79 A7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1"/>
  <dimension ref="A2:AD70"/>
  <sheetViews>
    <sheetView rightToLeft="1" zoomScale="75" workbookViewId="0">
      <selection activeCell="J42" sqref="J42"/>
    </sheetView>
  </sheetViews>
  <sheetFormatPr defaultColWidth="9.140625" defaultRowHeight="12.75" x14ac:dyDescent="0.2"/>
  <cols>
    <col min="1" max="1" width="3.140625" style="1" customWidth="1"/>
    <col min="2" max="2" width="5.7109375" style="1" customWidth="1"/>
    <col min="3" max="3" width="10.85546875" style="1" hidden="1" customWidth="1"/>
    <col min="4" max="4" width="15.7109375" style="1" customWidth="1"/>
    <col min="5" max="5" width="11.5703125" style="1" hidden="1" customWidth="1"/>
    <col min="6" max="6" width="11" style="1" hidden="1" customWidth="1"/>
    <col min="7" max="7" width="11.5703125" style="1" hidden="1" customWidth="1"/>
    <col min="8" max="8" width="11.28515625" style="1" hidden="1" customWidth="1"/>
    <col min="9" max="9" width="10.28515625" style="1" hidden="1" customWidth="1"/>
    <col min="10" max="10" width="15.5703125" style="1" customWidth="1"/>
    <col min="11" max="11" width="11.42578125" style="1" hidden="1" customWidth="1"/>
    <col min="12" max="12" width="10.85546875" style="1" hidden="1" customWidth="1"/>
    <col min="13" max="13" width="11.28515625" style="1" hidden="1" customWidth="1"/>
    <col min="14" max="14" width="12" style="1" hidden="1" customWidth="1"/>
    <col min="15" max="15" width="10.85546875" style="1" hidden="1" customWidth="1"/>
    <col min="16" max="16" width="15.7109375" style="1" customWidth="1"/>
    <col min="17" max="17" width="10.28515625" style="1" hidden="1" customWidth="1"/>
    <col min="18" max="18" width="10.42578125" style="1" hidden="1" customWidth="1"/>
    <col min="19" max="19" width="10.140625" style="1" hidden="1" customWidth="1"/>
    <col min="20" max="20" width="10.5703125" style="1" hidden="1" customWidth="1"/>
    <col min="21" max="21" width="0" style="1" hidden="1" customWidth="1"/>
    <col min="22" max="22" width="11.5703125" style="1" bestFit="1" customWidth="1"/>
    <col min="23" max="23" width="9.140625" style="1"/>
    <col min="24" max="24" width="6.28515625" style="1" bestFit="1" customWidth="1"/>
    <col min="25" max="26" width="16" style="1" bestFit="1" customWidth="1"/>
    <col min="27" max="27" width="16" style="1" customWidth="1"/>
    <col min="28" max="28" width="10.42578125" style="1" bestFit="1" customWidth="1"/>
    <col min="29" max="29" width="9.140625" style="1"/>
    <col min="30" max="30" width="10.42578125" style="1" bestFit="1" customWidth="1"/>
    <col min="31" max="16384" width="9.140625" style="1"/>
  </cols>
  <sheetData>
    <row r="2" spans="1:30" x14ac:dyDescent="0.2">
      <c r="F2" s="2"/>
      <c r="J2" s="2"/>
      <c r="K2" s="2"/>
      <c r="L2" s="2"/>
      <c r="M2" s="2"/>
      <c r="N2" s="2"/>
      <c r="O2" s="2"/>
      <c r="P2" s="2"/>
      <c r="R2" s="2"/>
      <c r="S2" s="2"/>
      <c r="T2" s="2"/>
      <c r="U2" s="2"/>
    </row>
    <row r="3" spans="1:30" x14ac:dyDescent="0.2">
      <c r="D3" s="2"/>
      <c r="F3" s="2"/>
      <c r="G3" s="2"/>
      <c r="H3" s="2"/>
      <c r="I3" s="2"/>
      <c r="Q3" s="2"/>
    </row>
    <row r="4" spans="1:30" ht="23.25" x14ac:dyDescent="0.35">
      <c r="D4" s="3"/>
      <c r="E4" s="2"/>
      <c r="F4" s="2"/>
      <c r="J4" s="393" t="s">
        <v>0</v>
      </c>
      <c r="K4" s="393"/>
      <c r="L4" s="393"/>
      <c r="M4" s="393"/>
      <c r="N4" s="393"/>
      <c r="O4" s="393"/>
      <c r="P4" s="393"/>
      <c r="Q4" s="393"/>
      <c r="R4" s="4"/>
      <c r="S4" s="4"/>
      <c r="T4" s="4"/>
    </row>
    <row r="5" spans="1:30" ht="13.5" thickBot="1" x14ac:dyDescent="0.25"/>
    <row r="6" spans="1:30" ht="24" thickBot="1" x14ac:dyDescent="0.4">
      <c r="C6" s="5" t="s">
        <v>1</v>
      </c>
      <c r="D6" s="394" t="s">
        <v>31</v>
      </c>
      <c r="E6" s="395"/>
      <c r="F6" s="395"/>
      <c r="G6" s="395"/>
      <c r="H6" s="395"/>
      <c r="I6" s="396"/>
      <c r="J6" s="397" t="s">
        <v>32</v>
      </c>
      <c r="K6" s="397"/>
      <c r="L6" s="397"/>
      <c r="M6" s="398"/>
      <c r="N6" s="398"/>
      <c r="O6" s="399"/>
      <c r="P6" s="400" t="s">
        <v>33</v>
      </c>
      <c r="Q6" s="397"/>
      <c r="R6" s="397"/>
      <c r="S6" s="398"/>
      <c r="T6" s="398"/>
      <c r="U6" s="399"/>
      <c r="V6" s="5" t="s">
        <v>30</v>
      </c>
      <c r="Y6" s="36" t="s">
        <v>2</v>
      </c>
      <c r="Z6" s="37" t="s">
        <v>3</v>
      </c>
      <c r="AA6" s="38" t="s">
        <v>4</v>
      </c>
      <c r="AB6" s="5" t="s">
        <v>30</v>
      </c>
    </row>
    <row r="7" spans="1:30" ht="39.75" customHeight="1" thickBot="1" x14ac:dyDescent="0.3"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391" t="s">
        <v>10</v>
      </c>
      <c r="H7" s="392"/>
      <c r="I7" s="6" t="s">
        <v>11</v>
      </c>
      <c r="J7" s="8" t="s">
        <v>7</v>
      </c>
      <c r="K7" s="6" t="s">
        <v>8</v>
      </c>
      <c r="L7" s="7" t="s">
        <v>9</v>
      </c>
      <c r="M7" s="391" t="s">
        <v>10</v>
      </c>
      <c r="N7" s="392"/>
      <c r="O7" s="6" t="s">
        <v>11</v>
      </c>
      <c r="P7" s="6" t="s">
        <v>7</v>
      </c>
      <c r="Q7" s="6" t="s">
        <v>8</v>
      </c>
      <c r="R7" s="7" t="s">
        <v>9</v>
      </c>
      <c r="S7" s="391" t="s">
        <v>12</v>
      </c>
      <c r="T7" s="392"/>
      <c r="U7" s="6" t="s">
        <v>11</v>
      </c>
      <c r="X7" s="6" t="s">
        <v>5</v>
      </c>
      <c r="Y7" s="6" t="s">
        <v>7</v>
      </c>
      <c r="Z7" s="8" t="s">
        <v>7</v>
      </c>
      <c r="AA7" s="6" t="s">
        <v>7</v>
      </c>
    </row>
    <row r="8" spans="1:30" ht="19.5" customHeight="1" thickBot="1" x14ac:dyDescent="0.35">
      <c r="B8" s="401">
        <v>2005</v>
      </c>
      <c r="C8" s="9" t="s">
        <v>13</v>
      </c>
      <c r="D8" s="16">
        <f>Y8/1000</f>
        <v>5079.6392999999998</v>
      </c>
      <c r="E8" s="16"/>
      <c r="F8" s="16"/>
      <c r="G8" s="16"/>
      <c r="H8" s="16"/>
      <c r="I8" s="16"/>
      <c r="J8" s="16">
        <f>Z8/1000</f>
        <v>3358.4488999999999</v>
      </c>
      <c r="K8" s="16"/>
      <c r="L8" s="16"/>
      <c r="M8" s="16"/>
      <c r="N8" s="16"/>
      <c r="O8" s="16"/>
      <c r="P8" s="16">
        <f t="shared" ref="P8:P20" si="0">AA8/1000</f>
        <v>634.70799999999997</v>
      </c>
      <c r="Q8" s="13"/>
      <c r="R8" s="13"/>
      <c r="S8" s="14"/>
      <c r="T8" s="14"/>
      <c r="U8" s="14"/>
      <c r="V8" s="13">
        <f>D8+J8+P8</f>
        <v>9072.7962000000007</v>
      </c>
      <c r="X8" s="401">
        <v>2005</v>
      </c>
      <c r="Y8" s="16">
        <v>5079639.3</v>
      </c>
      <c r="Z8" s="16">
        <v>3358448.9</v>
      </c>
      <c r="AA8" s="16">
        <v>634708</v>
      </c>
      <c r="AB8" s="13">
        <f>SUM(Y8:AA8)</f>
        <v>9072796.1999999993</v>
      </c>
      <c r="AD8" s="2"/>
    </row>
    <row r="9" spans="1:30" ht="19.5" thickBot="1" x14ac:dyDescent="0.35">
      <c r="B9" s="402"/>
      <c r="C9" s="9" t="s">
        <v>14</v>
      </c>
      <c r="D9" s="16">
        <f>Y9/1000</f>
        <v>5398.7501999999995</v>
      </c>
      <c r="E9" s="16"/>
      <c r="F9" s="16"/>
      <c r="G9" s="16"/>
      <c r="H9" s="16"/>
      <c r="I9" s="16"/>
      <c r="J9" s="16">
        <f>Z9/1000</f>
        <v>3498.0922</v>
      </c>
      <c r="K9" s="16"/>
      <c r="L9" s="16"/>
      <c r="M9" s="16"/>
      <c r="N9" s="16"/>
      <c r="O9" s="16"/>
      <c r="P9" s="16">
        <f t="shared" si="0"/>
        <v>728.01580000000001</v>
      </c>
      <c r="Q9" s="13">
        <v>56344.4</v>
      </c>
      <c r="R9" s="13">
        <v>549025</v>
      </c>
      <c r="S9" s="14">
        <v>76786</v>
      </c>
      <c r="T9" s="14">
        <v>5864</v>
      </c>
      <c r="U9" s="14">
        <v>104722</v>
      </c>
      <c r="V9" s="13">
        <f>D9+J9+P9</f>
        <v>9624.8581999999988</v>
      </c>
      <c r="X9" s="402"/>
      <c r="Y9" s="16">
        <v>5398750.1999999993</v>
      </c>
      <c r="Z9" s="16">
        <v>3498092.2</v>
      </c>
      <c r="AA9" s="16">
        <v>728015.8</v>
      </c>
      <c r="AB9" s="13">
        <f>Y9+Z9+AA9</f>
        <v>9624858.1999999993</v>
      </c>
      <c r="AD9" s="2"/>
    </row>
    <row r="10" spans="1:30" ht="19.5" thickBot="1" x14ac:dyDescent="0.35">
      <c r="B10" s="402"/>
      <c r="C10" s="9" t="s">
        <v>15</v>
      </c>
      <c r="D10" s="16">
        <f t="shared" ref="D10:D20" si="1">Y10/1000</f>
        <v>5645.1269000000002</v>
      </c>
      <c r="E10" s="13">
        <v>3089236</v>
      </c>
      <c r="F10" s="13">
        <v>2562357.2999999998</v>
      </c>
      <c r="G10" s="13">
        <v>3195645</v>
      </c>
      <c r="H10" s="13">
        <v>292895</v>
      </c>
      <c r="I10" s="15">
        <v>52355</v>
      </c>
      <c r="J10" s="16">
        <f t="shared" ref="J10:J20" si="2">Z10/1000</f>
        <v>3807.277</v>
      </c>
      <c r="K10" s="13">
        <v>2220071.5</v>
      </c>
      <c r="L10" s="13">
        <v>1587205.5</v>
      </c>
      <c r="M10" s="13">
        <v>1408081.8</v>
      </c>
      <c r="N10" s="13">
        <v>154204</v>
      </c>
      <c r="O10" s="15">
        <v>19473</v>
      </c>
      <c r="P10" s="16">
        <f t="shared" si="0"/>
        <v>477.06700000000001</v>
      </c>
      <c r="Q10" s="13">
        <v>65983</v>
      </c>
      <c r="R10" s="13">
        <v>458367</v>
      </c>
      <c r="S10" s="14">
        <v>84959</v>
      </c>
      <c r="T10" s="14">
        <v>6657</v>
      </c>
      <c r="U10" s="14">
        <v>136720</v>
      </c>
      <c r="V10" s="13">
        <f>D10+J10+P10</f>
        <v>9929.4709000000003</v>
      </c>
      <c r="X10" s="402"/>
      <c r="Y10" s="16">
        <v>5645126.9000000004</v>
      </c>
      <c r="Z10" s="16">
        <v>3807277</v>
      </c>
      <c r="AA10" s="16">
        <v>477067</v>
      </c>
      <c r="AB10" s="13">
        <f>Y10+Z10+AA10</f>
        <v>9929470.9000000004</v>
      </c>
    </row>
    <row r="11" spans="1:30" ht="20.25" customHeight="1" thickBot="1" x14ac:dyDescent="0.35">
      <c r="B11" s="402"/>
      <c r="C11" s="17" t="s">
        <v>16</v>
      </c>
      <c r="D11" s="10">
        <f t="shared" si="1"/>
        <v>4867.1174000000001</v>
      </c>
      <c r="E11" s="11">
        <v>2822765.5</v>
      </c>
      <c r="F11" s="11">
        <v>2044351.9</v>
      </c>
      <c r="G11" s="11">
        <v>2709864</v>
      </c>
      <c r="H11" s="11">
        <v>252258</v>
      </c>
      <c r="I11" s="12">
        <v>0</v>
      </c>
      <c r="J11" s="10">
        <f t="shared" si="2"/>
        <v>3564.1179999999999</v>
      </c>
      <c r="K11" s="11">
        <v>2105005.5</v>
      </c>
      <c r="L11" s="11">
        <v>1459112</v>
      </c>
      <c r="M11" s="11">
        <v>1393744</v>
      </c>
      <c r="N11" s="11">
        <v>154871</v>
      </c>
      <c r="O11" s="12">
        <v>0</v>
      </c>
      <c r="P11" s="10">
        <f t="shared" si="0"/>
        <v>653.99400000000003</v>
      </c>
      <c r="Q11" s="18">
        <v>57349</v>
      </c>
      <c r="R11" s="18">
        <v>387112</v>
      </c>
      <c r="S11" s="19">
        <v>62084</v>
      </c>
      <c r="T11" s="19">
        <v>5094</v>
      </c>
      <c r="U11" s="19">
        <v>75701</v>
      </c>
      <c r="V11" s="13">
        <f>D11+J11+P11</f>
        <v>9085.2294000000002</v>
      </c>
      <c r="X11" s="402"/>
      <c r="Y11" s="10">
        <v>4867117.4000000004</v>
      </c>
      <c r="Z11" s="10">
        <v>3564118</v>
      </c>
      <c r="AA11" s="10">
        <v>653994</v>
      </c>
      <c r="AB11" s="13">
        <f>Y11+Z11+AA11</f>
        <v>9085229.4000000004</v>
      </c>
    </row>
    <row r="12" spans="1:30" ht="19.5" hidden="1" customHeight="1" thickBot="1" x14ac:dyDescent="0.35">
      <c r="B12" s="405"/>
      <c r="C12" s="21" t="s">
        <v>17</v>
      </c>
      <c r="D12" s="22">
        <f t="shared" si="1"/>
        <v>0</v>
      </c>
      <c r="E12" s="23"/>
      <c r="F12" s="23"/>
      <c r="G12" s="23"/>
      <c r="H12" s="23"/>
      <c r="I12" s="24"/>
      <c r="J12" s="22">
        <f t="shared" si="2"/>
        <v>0</v>
      </c>
      <c r="K12" s="23"/>
      <c r="L12" s="23"/>
      <c r="M12" s="23"/>
      <c r="N12" s="23"/>
      <c r="O12" s="24"/>
      <c r="P12" s="22">
        <f t="shared" si="0"/>
        <v>0</v>
      </c>
      <c r="Q12" s="25">
        <f>SUM(Q8:Q11)</f>
        <v>179676.4</v>
      </c>
      <c r="R12" s="25">
        <f>SUM(R8:R11)</f>
        <v>1394504</v>
      </c>
      <c r="S12" s="25">
        <f>SUM(S8:S11)</f>
        <v>223829</v>
      </c>
      <c r="T12" s="25">
        <f>SUM(T8:T11)</f>
        <v>17615</v>
      </c>
      <c r="U12" s="33">
        <f>SUM(U8:U11)</f>
        <v>317143</v>
      </c>
      <c r="V12" s="13"/>
      <c r="X12" s="405"/>
      <c r="Y12" s="22"/>
      <c r="Z12" s="22"/>
      <c r="AA12" s="22"/>
      <c r="AB12" s="13"/>
    </row>
    <row r="13" spans="1:30" ht="19.5" customHeight="1" thickBot="1" x14ac:dyDescent="0.35">
      <c r="B13" s="401">
        <v>2004</v>
      </c>
      <c r="C13" s="27" t="s">
        <v>13</v>
      </c>
      <c r="D13" s="28">
        <f t="shared" si="1"/>
        <v>5205.1331</v>
      </c>
      <c r="E13" s="18">
        <v>3100253.9</v>
      </c>
      <c r="F13" s="18">
        <v>2104879.2000000002</v>
      </c>
      <c r="G13" s="18">
        <v>3005190</v>
      </c>
      <c r="H13" s="18">
        <v>276476</v>
      </c>
      <c r="I13" s="20">
        <v>37712</v>
      </c>
      <c r="J13" s="28">
        <f t="shared" si="2"/>
        <v>3783.0149999999999</v>
      </c>
      <c r="K13" s="18">
        <v>2338847.2999999998</v>
      </c>
      <c r="L13" s="18">
        <v>1444167.7</v>
      </c>
      <c r="M13" s="18">
        <v>1423029.5</v>
      </c>
      <c r="N13" s="18">
        <v>156437</v>
      </c>
      <c r="O13" s="20">
        <v>18</v>
      </c>
      <c r="P13" s="28">
        <f t="shared" si="0"/>
        <v>600.27190000000007</v>
      </c>
      <c r="Q13" s="11">
        <v>65813</v>
      </c>
      <c r="R13" s="11">
        <v>362023</v>
      </c>
      <c r="S13" s="11">
        <v>91110</v>
      </c>
      <c r="T13" s="11">
        <v>7097</v>
      </c>
      <c r="U13" s="34">
        <v>13798</v>
      </c>
      <c r="V13" s="13">
        <f>D13+J13+P13</f>
        <v>9588.42</v>
      </c>
      <c r="X13" s="401">
        <v>2004</v>
      </c>
      <c r="Y13" s="28">
        <v>5205133.0999999996</v>
      </c>
      <c r="Z13" s="28">
        <v>3783015</v>
      </c>
      <c r="AA13" s="28">
        <v>600271.9</v>
      </c>
      <c r="AB13" s="13">
        <f>Y13+Z13+AA13</f>
        <v>9588420</v>
      </c>
    </row>
    <row r="14" spans="1:30" ht="19.5" thickBot="1" x14ac:dyDescent="0.35">
      <c r="A14" s="29"/>
      <c r="B14" s="402"/>
      <c r="C14" s="9" t="s">
        <v>14</v>
      </c>
      <c r="D14" s="16">
        <f t="shared" si="1"/>
        <v>4851.0235999999995</v>
      </c>
      <c r="E14" s="13">
        <v>3126090.7</v>
      </c>
      <c r="F14" s="13">
        <v>1724932.9</v>
      </c>
      <c r="G14" s="13">
        <v>2329003.1</v>
      </c>
      <c r="H14" s="13">
        <v>210021</v>
      </c>
      <c r="I14" s="15">
        <v>77749</v>
      </c>
      <c r="J14" s="16">
        <f t="shared" si="2"/>
        <v>3478.8404</v>
      </c>
      <c r="K14" s="13">
        <v>2025951.1</v>
      </c>
      <c r="L14" s="13">
        <v>1452889.3</v>
      </c>
      <c r="M14" s="13">
        <v>1163886</v>
      </c>
      <c r="N14" s="13">
        <v>113302</v>
      </c>
      <c r="O14" s="15">
        <v>24</v>
      </c>
      <c r="P14" s="16">
        <f t="shared" si="0"/>
        <v>525.56200000000001</v>
      </c>
      <c r="Q14" s="13">
        <v>77361</v>
      </c>
      <c r="R14" s="13">
        <v>479371</v>
      </c>
      <c r="S14" s="13">
        <v>80193</v>
      </c>
      <c r="T14" s="13">
        <v>6481</v>
      </c>
      <c r="U14" s="14">
        <v>0</v>
      </c>
      <c r="V14" s="13">
        <f>D14+J14+P14</f>
        <v>8855.4259999999995</v>
      </c>
      <c r="X14" s="402"/>
      <c r="Y14" s="16">
        <v>4851023.5999999996</v>
      </c>
      <c r="Z14" s="16">
        <v>3478840.4</v>
      </c>
      <c r="AA14" s="16">
        <v>525562</v>
      </c>
      <c r="AB14" s="13">
        <f>Y14+Z14+AA14</f>
        <v>8855426</v>
      </c>
    </row>
    <row r="15" spans="1:30" ht="19.5" thickBot="1" x14ac:dyDescent="0.35">
      <c r="B15" s="402"/>
      <c r="C15" s="9" t="s">
        <v>15</v>
      </c>
      <c r="D15" s="16">
        <f t="shared" si="1"/>
        <v>5481.1415999999999</v>
      </c>
      <c r="E15" s="13">
        <v>3275479.5</v>
      </c>
      <c r="F15" s="13">
        <v>2205662.1</v>
      </c>
      <c r="G15" s="13">
        <v>3079847.7</v>
      </c>
      <c r="H15" s="13">
        <v>285339</v>
      </c>
      <c r="I15" s="15">
        <v>40835</v>
      </c>
      <c r="J15" s="16">
        <f t="shared" si="2"/>
        <v>3707.2907</v>
      </c>
      <c r="K15" s="13">
        <v>2177769.4</v>
      </c>
      <c r="L15" s="13">
        <v>1529521.3</v>
      </c>
      <c r="M15" s="13">
        <v>1311836.7</v>
      </c>
      <c r="N15" s="13">
        <v>142827</v>
      </c>
      <c r="O15" s="15">
        <v>62</v>
      </c>
      <c r="P15" s="16">
        <f t="shared" si="0"/>
        <v>556.73199999999997</v>
      </c>
      <c r="Q15" s="13">
        <v>99355</v>
      </c>
      <c r="R15" s="13">
        <v>426207</v>
      </c>
      <c r="S15" s="13">
        <v>131165</v>
      </c>
      <c r="T15" s="13">
        <v>10035</v>
      </c>
      <c r="U15" s="14">
        <v>0</v>
      </c>
      <c r="V15" s="13">
        <f>D15+J15+P15</f>
        <v>9745.1643000000004</v>
      </c>
      <c r="X15" s="402"/>
      <c r="Y15" s="16">
        <v>5481141.5999999996</v>
      </c>
      <c r="Z15" s="16">
        <v>3707290.7</v>
      </c>
      <c r="AA15" s="16">
        <v>556732</v>
      </c>
      <c r="AB15" s="13">
        <f>Y15+Z15+AA15</f>
        <v>9745164.3000000007</v>
      </c>
    </row>
    <row r="16" spans="1:30" ht="19.5" thickBot="1" x14ac:dyDescent="0.35">
      <c r="B16" s="402"/>
      <c r="C16" s="17" t="s">
        <v>16</v>
      </c>
      <c r="D16" s="10">
        <f t="shared" si="1"/>
        <v>5000.8362999999999</v>
      </c>
      <c r="E16" s="11">
        <v>2836116.4</v>
      </c>
      <c r="F16" s="11">
        <v>2164719.9</v>
      </c>
      <c r="G16" s="11">
        <v>2738348.1</v>
      </c>
      <c r="H16" s="11">
        <v>259484</v>
      </c>
      <c r="I16" s="12">
        <v>3308</v>
      </c>
      <c r="J16" s="10">
        <f t="shared" si="2"/>
        <v>3480.3854000000001</v>
      </c>
      <c r="K16" s="11">
        <v>2185108.2999999998</v>
      </c>
      <c r="L16" s="11">
        <v>1295277.1000000001</v>
      </c>
      <c r="M16" s="11">
        <v>1257391.2</v>
      </c>
      <c r="N16" s="11">
        <v>132434</v>
      </c>
      <c r="O16" s="12">
        <v>38</v>
      </c>
      <c r="P16" s="10">
        <f t="shared" si="0"/>
        <v>427.83600000000001</v>
      </c>
      <c r="Q16" s="18">
        <v>83487</v>
      </c>
      <c r="R16" s="18">
        <v>516784.9</v>
      </c>
      <c r="S16" s="18">
        <v>84200</v>
      </c>
      <c r="T16" s="18">
        <v>6238</v>
      </c>
      <c r="U16" s="19">
        <v>22</v>
      </c>
      <c r="V16" s="13">
        <f>D16+J16+P16</f>
        <v>8909.0576999999994</v>
      </c>
      <c r="X16" s="402"/>
      <c r="Y16" s="10">
        <v>5000836.3</v>
      </c>
      <c r="Z16" s="10">
        <v>3480385.4</v>
      </c>
      <c r="AA16" s="10">
        <v>427836</v>
      </c>
      <c r="AB16" s="13">
        <f>Y16+Z16+AA16</f>
        <v>8909057.6999999993</v>
      </c>
    </row>
    <row r="17" spans="2:28" ht="19.5" hidden="1" customHeight="1" thickBot="1" x14ac:dyDescent="0.35">
      <c r="B17" s="405"/>
      <c r="C17" s="21" t="s">
        <v>17</v>
      </c>
      <c r="D17" s="30">
        <f t="shared" si="1"/>
        <v>0</v>
      </c>
      <c r="E17" s="30"/>
      <c r="F17" s="30"/>
      <c r="G17" s="30"/>
      <c r="H17" s="30"/>
      <c r="I17" s="26"/>
      <c r="J17" s="30">
        <f t="shared" si="2"/>
        <v>0</v>
      </c>
      <c r="K17" s="30"/>
      <c r="L17" s="30"/>
      <c r="M17" s="30"/>
      <c r="N17" s="30"/>
      <c r="O17" s="26"/>
      <c r="P17" s="30">
        <f t="shared" si="0"/>
        <v>0</v>
      </c>
      <c r="Q17" s="30">
        <f>SUM(Q13:Q16)</f>
        <v>326016</v>
      </c>
      <c r="R17" s="30">
        <f>SUM(R13:R16)</f>
        <v>1784385.9</v>
      </c>
      <c r="S17" s="30">
        <f>SUM(S13:S16)</f>
        <v>386668</v>
      </c>
      <c r="T17" s="30">
        <f>SUM(T13:T16)</f>
        <v>29851</v>
      </c>
      <c r="U17" s="33">
        <f>SUM(U13:U16)</f>
        <v>13820</v>
      </c>
      <c r="V17" s="13">
        <f>SUM(D17:U17)</f>
        <v>2540740.9</v>
      </c>
      <c r="X17" s="405"/>
      <c r="Y17" s="30"/>
      <c r="Z17" s="30"/>
      <c r="AA17" s="30"/>
      <c r="AB17" s="13">
        <f>SUM(Y17:AA17)</f>
        <v>0</v>
      </c>
    </row>
    <row r="18" spans="2:28" ht="19.5" customHeight="1" thickBot="1" x14ac:dyDescent="0.35">
      <c r="B18" s="401">
        <v>2003</v>
      </c>
      <c r="C18" s="27" t="s">
        <v>13</v>
      </c>
      <c r="D18" s="28">
        <f t="shared" si="1"/>
        <v>4683.5923000000003</v>
      </c>
      <c r="E18" s="18">
        <v>2818946.1</v>
      </c>
      <c r="F18" s="18">
        <v>1864646.2</v>
      </c>
      <c r="G18" s="19">
        <v>2407368.1</v>
      </c>
      <c r="H18" s="19">
        <v>225328</v>
      </c>
      <c r="I18" s="20">
        <v>38993</v>
      </c>
      <c r="J18" s="28">
        <f t="shared" si="2"/>
        <v>3278.9078999999997</v>
      </c>
      <c r="K18" s="18">
        <v>2111714.9</v>
      </c>
      <c r="L18" s="18">
        <v>1167193</v>
      </c>
      <c r="M18" s="19">
        <v>1173272</v>
      </c>
      <c r="N18" s="19">
        <v>123809</v>
      </c>
      <c r="O18" s="20">
        <v>72</v>
      </c>
      <c r="P18" s="28">
        <f t="shared" si="0"/>
        <v>444.46100000000001</v>
      </c>
      <c r="Q18" s="11">
        <v>53226</v>
      </c>
      <c r="R18" s="11">
        <v>600768</v>
      </c>
      <c r="S18" s="11">
        <v>59023</v>
      </c>
      <c r="T18" s="11">
        <v>4013</v>
      </c>
      <c r="U18" s="34">
        <v>0</v>
      </c>
      <c r="V18" s="13">
        <f>D18+J18+P18</f>
        <v>8406.9611999999997</v>
      </c>
      <c r="X18" s="401">
        <v>2003</v>
      </c>
      <c r="Y18" s="28">
        <v>4683592.3</v>
      </c>
      <c r="Z18" s="28">
        <v>3278907.9</v>
      </c>
      <c r="AA18" s="28">
        <v>444461</v>
      </c>
      <c r="AB18" s="13">
        <f>Y18+Z18+AA18</f>
        <v>8406961.1999999993</v>
      </c>
    </row>
    <row r="19" spans="2:28" ht="19.5" thickBot="1" x14ac:dyDescent="0.35">
      <c r="B19" s="402"/>
      <c r="C19" s="9" t="s">
        <v>14</v>
      </c>
      <c r="D19" s="16">
        <f t="shared" si="1"/>
        <v>5003.9269999999997</v>
      </c>
      <c r="E19" s="13">
        <v>2868868.9</v>
      </c>
      <c r="F19" s="13">
        <v>2135058.1</v>
      </c>
      <c r="G19" s="14">
        <v>3042312.2</v>
      </c>
      <c r="H19" s="14">
        <v>286849</v>
      </c>
      <c r="I19" s="15">
        <v>53132</v>
      </c>
      <c r="J19" s="16">
        <f t="shared" si="2"/>
        <v>3787.2473</v>
      </c>
      <c r="K19" s="13">
        <v>2376759.7999999998</v>
      </c>
      <c r="L19" s="13">
        <v>1410487.5</v>
      </c>
      <c r="M19" s="14">
        <v>1268728.7</v>
      </c>
      <c r="N19" s="14">
        <v>138940</v>
      </c>
      <c r="O19" s="15">
        <v>90</v>
      </c>
      <c r="P19" s="31">
        <f t="shared" si="0"/>
        <v>524.35</v>
      </c>
      <c r="Q19" s="13">
        <v>82595</v>
      </c>
      <c r="R19" s="13">
        <v>394472</v>
      </c>
      <c r="S19" s="13">
        <v>79452</v>
      </c>
      <c r="T19" s="13">
        <v>5201</v>
      </c>
      <c r="U19" s="14">
        <v>0</v>
      </c>
      <c r="V19" s="13">
        <f>D19+J19+P19</f>
        <v>9315.5242999999991</v>
      </c>
      <c r="X19" s="402"/>
      <c r="Y19" s="16">
        <v>5003927</v>
      </c>
      <c r="Z19" s="16">
        <v>3787247.3</v>
      </c>
      <c r="AA19" s="31">
        <v>524350</v>
      </c>
      <c r="AB19" s="13">
        <f>Y19+Z19+AA19</f>
        <v>9315524.3000000007</v>
      </c>
    </row>
    <row r="20" spans="2:28" ht="19.5" thickBot="1" x14ac:dyDescent="0.35">
      <c r="B20" s="402"/>
      <c r="C20" s="9" t="s">
        <v>15</v>
      </c>
      <c r="D20" s="16">
        <f t="shared" si="1"/>
        <v>4909.7534999999998</v>
      </c>
      <c r="E20" s="13">
        <v>2653823.1</v>
      </c>
      <c r="F20" s="13">
        <v>2255930.4</v>
      </c>
      <c r="G20" s="14">
        <v>2834288</v>
      </c>
      <c r="H20" s="14">
        <v>265536</v>
      </c>
      <c r="I20" s="15">
        <v>22740</v>
      </c>
      <c r="J20" s="16">
        <f t="shared" si="2"/>
        <v>3546.5729999999999</v>
      </c>
      <c r="K20" s="13">
        <v>2129332</v>
      </c>
      <c r="L20" s="13">
        <v>1417241</v>
      </c>
      <c r="M20" s="14">
        <v>1224634</v>
      </c>
      <c r="N20" s="14">
        <v>129144</v>
      </c>
      <c r="O20" s="15">
        <v>44</v>
      </c>
      <c r="P20" s="31">
        <f t="shared" si="0"/>
        <v>605.36940000000004</v>
      </c>
      <c r="Q20" s="13"/>
      <c r="R20" s="13"/>
      <c r="S20" s="13"/>
      <c r="T20" s="13"/>
      <c r="U20" s="14"/>
      <c r="V20" s="13">
        <f>D20+J20+P20</f>
        <v>9061.6958999999988</v>
      </c>
      <c r="X20" s="402"/>
      <c r="Y20" s="16">
        <v>4909753.5</v>
      </c>
      <c r="Z20" s="16">
        <v>3546573</v>
      </c>
      <c r="AA20" s="31">
        <v>605369.4</v>
      </c>
      <c r="AB20" s="13">
        <f>Y20+Z20+AA20</f>
        <v>9061695.9000000004</v>
      </c>
    </row>
    <row r="21" spans="2:28" ht="19.5" thickBot="1" x14ac:dyDescent="0.35">
      <c r="B21" s="402"/>
      <c r="C21" s="17" t="s">
        <v>16</v>
      </c>
      <c r="D21" s="16">
        <f>Y21/1000</f>
        <v>4207.6980999999996</v>
      </c>
      <c r="E21" s="13">
        <v>2433726.6</v>
      </c>
      <c r="F21" s="13">
        <v>1773971.5</v>
      </c>
      <c r="G21" s="14">
        <v>2348141</v>
      </c>
      <c r="H21" s="14">
        <v>236123</v>
      </c>
      <c r="I21" s="32">
        <v>172</v>
      </c>
      <c r="J21" s="16">
        <f>Z21/1000</f>
        <v>3449.5672000000004</v>
      </c>
      <c r="K21" s="13">
        <v>2267591.7000000002</v>
      </c>
      <c r="L21" s="13">
        <v>1181975.5</v>
      </c>
      <c r="M21" s="14">
        <v>1212655</v>
      </c>
      <c r="N21" s="14">
        <v>122384</v>
      </c>
      <c r="O21" s="15">
        <v>25</v>
      </c>
      <c r="P21" s="31">
        <f>AA21/1000</f>
        <v>530.1706999999999</v>
      </c>
      <c r="Q21" s="18"/>
      <c r="R21" s="18"/>
      <c r="S21" s="18"/>
      <c r="T21" s="18"/>
      <c r="U21" s="35"/>
      <c r="V21" s="13">
        <f>D21+J21+P21</f>
        <v>8187.4359999999997</v>
      </c>
      <c r="X21" s="402"/>
      <c r="Y21" s="16">
        <v>4207698.0999999996</v>
      </c>
      <c r="Z21" s="16">
        <v>3449567.2</v>
      </c>
      <c r="AA21" s="31">
        <v>530170.69999999995</v>
      </c>
      <c r="AB21" s="13">
        <f>Y21+Z21+AA21</f>
        <v>8187436</v>
      </c>
    </row>
    <row r="22" spans="2:28" ht="19.5" hidden="1" customHeight="1" thickBot="1" x14ac:dyDescent="0.35">
      <c r="B22" s="405"/>
      <c r="C22" s="21" t="s">
        <v>17</v>
      </c>
      <c r="D22" s="22"/>
      <c r="E22" s="23"/>
      <c r="F22" s="23"/>
      <c r="G22" s="23"/>
      <c r="H22" s="23"/>
      <c r="I22" s="24"/>
      <c r="J22" s="22"/>
      <c r="K22" s="23"/>
      <c r="L22" s="23"/>
      <c r="M22" s="23"/>
      <c r="N22" s="23"/>
      <c r="O22" s="24"/>
      <c r="P22" s="22"/>
      <c r="Q22" s="23"/>
      <c r="R22" s="23"/>
      <c r="S22" s="23"/>
      <c r="T22" s="23"/>
      <c r="U22" s="24"/>
      <c r="X22" s="405"/>
      <c r="Y22" s="22"/>
      <c r="Z22" s="22"/>
      <c r="AA22" s="22"/>
    </row>
    <row r="23" spans="2:28" x14ac:dyDescent="0.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28" x14ac:dyDescent="0.2">
      <c r="D24" s="2"/>
      <c r="J24" s="2"/>
      <c r="P24" s="2"/>
      <c r="X24" s="2"/>
    </row>
    <row r="25" spans="2:28" ht="54.75" customHeight="1" x14ac:dyDescent="0.2">
      <c r="D25" s="2"/>
      <c r="J25" s="2"/>
      <c r="P25" s="2"/>
    </row>
    <row r="26" spans="2:28" ht="27.75" customHeight="1" x14ac:dyDescent="0.2">
      <c r="D26" s="2"/>
      <c r="J26" s="2"/>
      <c r="P26" s="2"/>
    </row>
    <row r="27" spans="2:28" ht="17.25" customHeight="1" x14ac:dyDescent="0.2">
      <c r="D27" s="2"/>
      <c r="E27" s="2"/>
      <c r="H27" s="2"/>
      <c r="P27" s="2"/>
    </row>
    <row r="28" spans="2:28" ht="28.5" customHeight="1" x14ac:dyDescent="0.2">
      <c r="D28" s="2"/>
      <c r="K28" s="2" t="e">
        <f>SUM(#REF!)</f>
        <v>#REF!</v>
      </c>
      <c r="N28" s="1" t="e">
        <f>SUM(#REF!)</f>
        <v>#REF!</v>
      </c>
      <c r="Y28" s="39" t="s">
        <v>34</v>
      </c>
      <c r="Z28" s="39" t="s">
        <v>35</v>
      </c>
      <c r="AA28" s="39" t="s">
        <v>36</v>
      </c>
      <c r="AB28" s="40" t="s">
        <v>30</v>
      </c>
    </row>
    <row r="29" spans="2:28" x14ac:dyDescent="0.2">
      <c r="D29" s="2"/>
      <c r="E29" s="1" t="e">
        <f>SUM(#REF!)</f>
        <v>#REF!</v>
      </c>
      <c r="H29" s="1" t="e">
        <f>SUM(#REF!)</f>
        <v>#REF!</v>
      </c>
      <c r="K29" s="1" t="e">
        <f>SUM(#REF!)</f>
        <v>#REF!</v>
      </c>
      <c r="N29" s="1" t="e">
        <f>SUM(#REF!)</f>
        <v>#REF!</v>
      </c>
      <c r="Y29" s="13">
        <v>5079.6392999999998</v>
      </c>
      <c r="Z29" s="13">
        <v>3356.3899000000001</v>
      </c>
      <c r="AA29" s="13">
        <v>595.04600000000005</v>
      </c>
      <c r="AB29" s="13">
        <v>9031.0752000000011</v>
      </c>
    </row>
    <row r="30" spans="2:28" x14ac:dyDescent="0.2">
      <c r="J30" s="1" t="s">
        <v>18</v>
      </c>
      <c r="P30" s="1" t="s">
        <v>19</v>
      </c>
      <c r="Y30" s="13">
        <v>5381.0543999999991</v>
      </c>
      <c r="Z30" s="13">
        <v>3498.0772000000002</v>
      </c>
      <c r="AA30" s="13">
        <v>701.44780000000003</v>
      </c>
      <c r="AB30" s="13">
        <v>9580.5793999999987</v>
      </c>
    </row>
    <row r="31" spans="2:28" ht="19.5" customHeight="1" x14ac:dyDescent="0.2">
      <c r="J31" s="1" t="s">
        <v>20</v>
      </c>
      <c r="N31" s="2" t="e">
        <f>SUM(#REF!)</f>
        <v>#REF!</v>
      </c>
      <c r="P31" s="1" t="s">
        <v>21</v>
      </c>
      <c r="Y31" s="13">
        <v>5651.5929999999998</v>
      </c>
      <c r="Z31" s="13">
        <v>3807.277</v>
      </c>
      <c r="AA31" s="13">
        <v>477.06700000000001</v>
      </c>
      <c r="AB31" s="13">
        <v>9935.9369999999981</v>
      </c>
    </row>
    <row r="32" spans="2:28" ht="19.5" customHeight="1" x14ac:dyDescent="0.2">
      <c r="E32" s="2" t="e">
        <f>SUM(#REF!)</f>
        <v>#REF!</v>
      </c>
      <c r="H32" s="2" t="e">
        <f>SUM(#REF!)</f>
        <v>#REF!</v>
      </c>
      <c r="J32" s="1" t="s">
        <v>22</v>
      </c>
      <c r="P32" s="1" t="s">
        <v>23</v>
      </c>
      <c r="Y32" s="13">
        <v>4867.1180000000004</v>
      </c>
      <c r="Z32" s="13">
        <v>3564.1170000000002</v>
      </c>
      <c r="AA32" s="13">
        <v>653.99400000000003</v>
      </c>
      <c r="AB32" s="13">
        <v>9085.2290000000012</v>
      </c>
    </row>
    <row r="33" spans="10:28" ht="19.5" customHeight="1" x14ac:dyDescent="0.2">
      <c r="J33" s="1" t="s">
        <v>24</v>
      </c>
      <c r="P33" s="1" t="s">
        <v>25</v>
      </c>
      <c r="Y33" s="13">
        <v>5205.1331</v>
      </c>
      <c r="Z33" s="13">
        <v>3783.0149999999999</v>
      </c>
      <c r="AA33" s="13">
        <v>600.27190000000007</v>
      </c>
      <c r="AB33" s="13">
        <v>9588.42</v>
      </c>
    </row>
    <row r="34" spans="10:28" x14ac:dyDescent="0.2">
      <c r="J34" s="1" t="s">
        <v>26</v>
      </c>
      <c r="P34" s="1" t="s">
        <v>27</v>
      </c>
      <c r="Y34" s="13">
        <v>4851.0235999999995</v>
      </c>
      <c r="Z34" s="13">
        <v>3478.8404</v>
      </c>
      <c r="AA34" s="13">
        <v>525.56200000000001</v>
      </c>
      <c r="AB34" s="13">
        <v>8855.4259999999995</v>
      </c>
    </row>
    <row r="35" spans="10:28" x14ac:dyDescent="0.2">
      <c r="J35" s="1" t="s">
        <v>28</v>
      </c>
      <c r="P35" s="1" t="s">
        <v>29</v>
      </c>
      <c r="Y35" s="13">
        <v>5481.1415999999999</v>
      </c>
      <c r="Z35" s="13">
        <v>3707.2907</v>
      </c>
      <c r="AA35" s="13">
        <v>556.73199999999997</v>
      </c>
      <c r="AB35" s="13">
        <v>9745.1643000000004</v>
      </c>
    </row>
    <row r="36" spans="10:28" ht="19.5" customHeight="1" x14ac:dyDescent="0.2">
      <c r="J36" s="1" t="s">
        <v>29</v>
      </c>
      <c r="P36" s="1" t="s">
        <v>28</v>
      </c>
      <c r="Y36" s="13">
        <v>5000.8362999999999</v>
      </c>
      <c r="Z36" s="13">
        <v>3480.3854000000001</v>
      </c>
      <c r="AA36" s="13">
        <v>427.83600000000001</v>
      </c>
      <c r="AB36" s="13">
        <v>8909.0576999999994</v>
      </c>
    </row>
    <row r="37" spans="10:28" x14ac:dyDescent="0.2">
      <c r="J37" s="1" t="s">
        <v>27</v>
      </c>
      <c r="P37" s="1" t="s">
        <v>26</v>
      </c>
      <c r="Y37" s="13">
        <v>4683.5923000000003</v>
      </c>
      <c r="Z37" s="13">
        <v>3278.9078999999997</v>
      </c>
      <c r="AA37" s="13">
        <v>444.46100000000001</v>
      </c>
      <c r="AB37" s="13">
        <v>8406.9611999999997</v>
      </c>
    </row>
    <row r="38" spans="10:28" x14ac:dyDescent="0.2">
      <c r="J38" s="1" t="s">
        <v>25</v>
      </c>
      <c r="P38" s="1" t="s">
        <v>24</v>
      </c>
      <c r="Y38" s="13">
        <v>5003.9269999999997</v>
      </c>
      <c r="Z38" s="13">
        <v>3787.2473</v>
      </c>
      <c r="AA38" s="13">
        <v>524.35</v>
      </c>
      <c r="AB38" s="13">
        <v>9315.5242999999991</v>
      </c>
    </row>
    <row r="39" spans="10:28" x14ac:dyDescent="0.2">
      <c r="J39" s="1" t="s">
        <v>23</v>
      </c>
      <c r="P39" s="1" t="s">
        <v>22</v>
      </c>
      <c r="Y39" s="13">
        <v>4909.7534999999998</v>
      </c>
      <c r="Z39" s="13">
        <v>3546.5729999999999</v>
      </c>
      <c r="AA39" s="13">
        <v>605.36940000000004</v>
      </c>
      <c r="AB39" s="13">
        <v>9061.6958999999988</v>
      </c>
    </row>
    <row r="40" spans="10:28" x14ac:dyDescent="0.2">
      <c r="J40" s="1" t="s">
        <v>21</v>
      </c>
      <c r="P40" s="1" t="s">
        <v>20</v>
      </c>
      <c r="Y40" s="13">
        <v>4207.6980999999996</v>
      </c>
      <c r="Z40" s="13">
        <v>3449.5672000000004</v>
      </c>
      <c r="AA40" s="13">
        <v>530.1706999999999</v>
      </c>
      <c r="AB40" s="13">
        <v>8187.4359999999997</v>
      </c>
    </row>
    <row r="41" spans="10:28" x14ac:dyDescent="0.2">
      <c r="J41" s="1" t="s">
        <v>19</v>
      </c>
      <c r="P41" s="1" t="s">
        <v>18</v>
      </c>
    </row>
    <row r="54" spans="2:21" ht="13.5" thickBot="1" x14ac:dyDescent="0.25"/>
    <row r="55" spans="2:21" ht="24" thickBot="1" x14ac:dyDescent="0.4">
      <c r="D55" s="394" t="s">
        <v>2</v>
      </c>
      <c r="E55" s="395"/>
      <c r="F55" s="395"/>
      <c r="G55" s="406"/>
      <c r="H55" s="406"/>
      <c r="I55" s="407"/>
      <c r="J55" s="397" t="s">
        <v>3</v>
      </c>
      <c r="K55" s="397"/>
      <c r="L55" s="397"/>
      <c r="M55" s="398"/>
      <c r="N55" s="398"/>
      <c r="O55" s="399"/>
      <c r="P55" s="400" t="s">
        <v>4</v>
      </c>
      <c r="Q55" s="397"/>
      <c r="R55" s="397"/>
      <c r="S55" s="398"/>
      <c r="T55" s="398"/>
      <c r="U55" s="399"/>
    </row>
    <row r="56" spans="2:21" ht="19.5" thickBot="1" x14ac:dyDescent="0.35">
      <c r="B56" s="401">
        <v>2005</v>
      </c>
      <c r="C56" s="27" t="s">
        <v>13</v>
      </c>
      <c r="D56" s="10"/>
      <c r="E56" s="11"/>
      <c r="F56" s="11"/>
      <c r="G56" s="11"/>
      <c r="H56" s="11"/>
      <c r="I56" s="12"/>
      <c r="J56" s="10"/>
      <c r="K56" s="11"/>
      <c r="L56" s="11"/>
      <c r="M56" s="11"/>
      <c r="N56" s="11"/>
      <c r="O56" s="12"/>
      <c r="P56" s="10"/>
    </row>
    <row r="57" spans="2:21" ht="19.5" thickBot="1" x14ac:dyDescent="0.35">
      <c r="B57" s="402"/>
      <c r="C57" s="9" t="s">
        <v>14</v>
      </c>
      <c r="D57" s="16"/>
      <c r="E57" s="13"/>
      <c r="F57" s="13"/>
      <c r="G57" s="13"/>
      <c r="H57" s="13"/>
      <c r="I57" s="15"/>
      <c r="J57" s="16"/>
      <c r="K57" s="13"/>
      <c r="L57" s="13"/>
      <c r="M57" s="13"/>
      <c r="N57" s="13"/>
      <c r="O57" s="15"/>
      <c r="P57" s="16"/>
    </row>
    <row r="58" spans="2:21" ht="19.5" thickBot="1" x14ac:dyDescent="0.35">
      <c r="B58" s="402"/>
      <c r="C58" s="9" t="s">
        <v>15</v>
      </c>
      <c r="D58" s="16">
        <v>5651593</v>
      </c>
      <c r="E58" s="13">
        <v>3089236</v>
      </c>
      <c r="F58" s="13">
        <v>2562357.2999999998</v>
      </c>
      <c r="G58" s="13">
        <v>3195645</v>
      </c>
      <c r="H58" s="13">
        <v>292895</v>
      </c>
      <c r="I58" s="15">
        <v>52355</v>
      </c>
      <c r="J58" s="16">
        <v>3807277</v>
      </c>
      <c r="K58" s="13">
        <v>2220071.5</v>
      </c>
      <c r="L58" s="13">
        <v>1587205.5</v>
      </c>
      <c r="M58" s="13">
        <v>1408081.8</v>
      </c>
      <c r="N58" s="13">
        <v>154204</v>
      </c>
      <c r="O58" s="15">
        <v>19473</v>
      </c>
      <c r="P58" s="16">
        <v>477067</v>
      </c>
    </row>
    <row r="59" spans="2:21" ht="19.5" thickBot="1" x14ac:dyDescent="0.35">
      <c r="B59" s="402"/>
      <c r="C59" s="17" t="s">
        <v>16</v>
      </c>
      <c r="D59" s="10">
        <v>4867118</v>
      </c>
      <c r="E59" s="11">
        <v>2822765.5</v>
      </c>
      <c r="F59" s="11">
        <v>2044351.9</v>
      </c>
      <c r="G59" s="11">
        <v>2709864</v>
      </c>
      <c r="H59" s="11">
        <v>252258</v>
      </c>
      <c r="I59" s="12">
        <v>0</v>
      </c>
      <c r="J59" s="10">
        <v>3564117</v>
      </c>
      <c r="K59" s="11">
        <v>2105005.5</v>
      </c>
      <c r="L59" s="11">
        <v>1459112</v>
      </c>
      <c r="M59" s="11">
        <v>1393744</v>
      </c>
      <c r="N59" s="11">
        <v>154871</v>
      </c>
      <c r="O59" s="12">
        <v>0</v>
      </c>
      <c r="P59" s="10">
        <v>653994</v>
      </c>
    </row>
    <row r="60" spans="2:21" ht="19.5" hidden="1" thickBot="1" x14ac:dyDescent="0.35">
      <c r="B60" s="404"/>
      <c r="C60" s="21" t="s">
        <v>17</v>
      </c>
      <c r="D60" s="22"/>
      <c r="E60" s="23"/>
      <c r="F60" s="23"/>
      <c r="G60" s="23"/>
      <c r="H60" s="23"/>
      <c r="I60" s="24"/>
      <c r="J60" s="22"/>
      <c r="K60" s="23"/>
      <c r="L60" s="23"/>
      <c r="M60" s="23"/>
      <c r="N60" s="23"/>
      <c r="O60" s="24"/>
      <c r="P60" s="22"/>
    </row>
    <row r="61" spans="2:21" ht="19.5" thickBot="1" x14ac:dyDescent="0.35">
      <c r="B61" s="401">
        <v>2004</v>
      </c>
      <c r="C61" s="27" t="s">
        <v>13</v>
      </c>
      <c r="D61" s="28">
        <v>5205133.0999999996</v>
      </c>
      <c r="E61" s="18">
        <v>3100253.9</v>
      </c>
      <c r="F61" s="18">
        <v>2104879.2000000002</v>
      </c>
      <c r="G61" s="18">
        <v>3005190</v>
      </c>
      <c r="H61" s="18">
        <v>276476</v>
      </c>
      <c r="I61" s="20">
        <v>37712</v>
      </c>
      <c r="J61" s="28">
        <v>3783015</v>
      </c>
      <c r="K61" s="18">
        <v>2338847.2999999998</v>
      </c>
      <c r="L61" s="18">
        <v>1444167.7</v>
      </c>
      <c r="M61" s="18">
        <v>1423029.5</v>
      </c>
      <c r="N61" s="18">
        <v>156437</v>
      </c>
      <c r="O61" s="20">
        <v>18</v>
      </c>
      <c r="P61" s="28">
        <v>600271.9</v>
      </c>
    </row>
    <row r="62" spans="2:21" ht="19.5" thickBot="1" x14ac:dyDescent="0.35">
      <c r="B62" s="402"/>
      <c r="C62" s="9" t="s">
        <v>14</v>
      </c>
      <c r="D62" s="16">
        <v>4851023.5999999996</v>
      </c>
      <c r="E62" s="13">
        <v>3126090.7</v>
      </c>
      <c r="F62" s="13">
        <v>1724932.9</v>
      </c>
      <c r="G62" s="13">
        <v>2329003.1</v>
      </c>
      <c r="H62" s="13">
        <v>210021</v>
      </c>
      <c r="I62" s="15">
        <v>77749</v>
      </c>
      <c r="J62" s="16">
        <v>3478840.4</v>
      </c>
      <c r="K62" s="13">
        <v>2025951.1</v>
      </c>
      <c r="L62" s="13">
        <v>1452889.3</v>
      </c>
      <c r="M62" s="13">
        <v>1163886</v>
      </c>
      <c r="N62" s="13">
        <v>113302</v>
      </c>
      <c r="O62" s="15">
        <v>24</v>
      </c>
      <c r="P62" s="16">
        <v>525562</v>
      </c>
    </row>
    <row r="63" spans="2:21" ht="19.5" thickBot="1" x14ac:dyDescent="0.35">
      <c r="B63" s="402"/>
      <c r="C63" s="9" t="s">
        <v>15</v>
      </c>
      <c r="D63" s="16">
        <v>5481141.5999999996</v>
      </c>
      <c r="E63" s="13">
        <v>3275479.5</v>
      </c>
      <c r="F63" s="13">
        <v>2205662.1</v>
      </c>
      <c r="G63" s="13">
        <v>3079847.7</v>
      </c>
      <c r="H63" s="13">
        <v>285339</v>
      </c>
      <c r="I63" s="15">
        <v>40835</v>
      </c>
      <c r="J63" s="16">
        <v>3707290.7</v>
      </c>
      <c r="K63" s="13">
        <v>2177769.4</v>
      </c>
      <c r="L63" s="13">
        <v>1529521.3</v>
      </c>
      <c r="M63" s="13">
        <v>1311836.7</v>
      </c>
      <c r="N63" s="13">
        <v>142827</v>
      </c>
      <c r="O63" s="15">
        <v>62</v>
      </c>
      <c r="P63" s="16">
        <v>556732</v>
      </c>
    </row>
    <row r="64" spans="2:21" ht="19.5" thickBot="1" x14ac:dyDescent="0.35">
      <c r="B64" s="402"/>
      <c r="C64" s="17" t="s">
        <v>16</v>
      </c>
      <c r="D64" s="10">
        <v>5000836.3</v>
      </c>
      <c r="E64" s="11">
        <v>2836116.4</v>
      </c>
      <c r="F64" s="11">
        <v>2164719.9</v>
      </c>
      <c r="G64" s="11">
        <v>2738348.1</v>
      </c>
      <c r="H64" s="11">
        <v>259484</v>
      </c>
      <c r="I64" s="12">
        <v>3308</v>
      </c>
      <c r="J64" s="10">
        <v>3480385.4</v>
      </c>
      <c r="K64" s="11">
        <v>2185108.2999999998</v>
      </c>
      <c r="L64" s="11">
        <v>1295277.1000000001</v>
      </c>
      <c r="M64" s="11">
        <v>1257391.2</v>
      </c>
      <c r="N64" s="11">
        <v>132434</v>
      </c>
      <c r="O64" s="12">
        <v>38</v>
      </c>
      <c r="P64" s="10">
        <v>427836</v>
      </c>
    </row>
    <row r="65" spans="2:16" ht="19.5" hidden="1" thickBot="1" x14ac:dyDescent="0.35">
      <c r="B65" s="404"/>
      <c r="C65" s="21" t="s">
        <v>17</v>
      </c>
      <c r="D65" s="30"/>
      <c r="E65" s="30"/>
      <c r="F65" s="30"/>
      <c r="G65" s="30"/>
      <c r="H65" s="30"/>
      <c r="I65" s="26"/>
      <c r="J65" s="30"/>
      <c r="K65" s="30"/>
      <c r="L65" s="30"/>
      <c r="M65" s="30"/>
      <c r="N65" s="30"/>
      <c r="O65" s="26"/>
      <c r="P65" s="30"/>
    </row>
    <row r="66" spans="2:16" ht="19.5" thickBot="1" x14ac:dyDescent="0.35">
      <c r="B66" s="401">
        <v>2003</v>
      </c>
      <c r="C66" s="9" t="s">
        <v>13</v>
      </c>
      <c r="D66" s="28">
        <v>4683592.3</v>
      </c>
      <c r="E66" s="18">
        <v>2818946.1</v>
      </c>
      <c r="F66" s="18">
        <v>1864646.2</v>
      </c>
      <c r="G66" s="19">
        <v>2407368.1</v>
      </c>
      <c r="H66" s="19">
        <v>225328</v>
      </c>
      <c r="I66" s="20">
        <v>38993</v>
      </c>
      <c r="J66" s="28">
        <v>3278907.9</v>
      </c>
      <c r="K66" s="18">
        <v>2111714.9</v>
      </c>
      <c r="L66" s="18">
        <v>1167193</v>
      </c>
      <c r="M66" s="19">
        <v>1173272</v>
      </c>
      <c r="N66" s="19">
        <v>123809</v>
      </c>
      <c r="O66" s="20">
        <v>72</v>
      </c>
      <c r="P66" s="28">
        <v>444461</v>
      </c>
    </row>
    <row r="67" spans="2:16" ht="19.5" thickBot="1" x14ac:dyDescent="0.35">
      <c r="B67" s="402"/>
      <c r="C67" s="9" t="s">
        <v>14</v>
      </c>
      <c r="D67" s="16">
        <v>5003927</v>
      </c>
      <c r="E67" s="13">
        <v>2868868.9</v>
      </c>
      <c r="F67" s="13">
        <v>2135058.1</v>
      </c>
      <c r="G67" s="14">
        <v>3042312.2</v>
      </c>
      <c r="H67" s="14">
        <v>286849</v>
      </c>
      <c r="I67" s="15">
        <v>53132</v>
      </c>
      <c r="J67" s="16">
        <v>3787247.3</v>
      </c>
      <c r="K67" s="13">
        <v>2376759.7999999998</v>
      </c>
      <c r="L67" s="13">
        <v>1410487.5</v>
      </c>
      <c r="M67" s="14">
        <v>1268728.7</v>
      </c>
      <c r="N67" s="14">
        <v>138940</v>
      </c>
      <c r="O67" s="15">
        <v>90</v>
      </c>
      <c r="P67" s="31">
        <v>524350</v>
      </c>
    </row>
    <row r="68" spans="2:16" ht="19.5" thickBot="1" x14ac:dyDescent="0.35">
      <c r="B68" s="402"/>
      <c r="C68" s="9" t="s">
        <v>15</v>
      </c>
      <c r="D68" s="16">
        <v>4909753.5</v>
      </c>
      <c r="E68" s="13">
        <v>2653823.1</v>
      </c>
      <c r="F68" s="13">
        <v>2255930.4</v>
      </c>
      <c r="G68" s="14">
        <v>2834288</v>
      </c>
      <c r="H68" s="14">
        <v>265536</v>
      </c>
      <c r="I68" s="15">
        <v>22740</v>
      </c>
      <c r="J68" s="16">
        <v>3546573</v>
      </c>
      <c r="K68" s="13">
        <v>2129332</v>
      </c>
      <c r="L68" s="13">
        <v>1417241</v>
      </c>
      <c r="M68" s="14">
        <v>1224634</v>
      </c>
      <c r="N68" s="14">
        <v>129144</v>
      </c>
      <c r="O68" s="15">
        <v>44</v>
      </c>
      <c r="P68" s="31">
        <v>605369.4</v>
      </c>
    </row>
    <row r="69" spans="2:16" ht="18.75" x14ac:dyDescent="0.3">
      <c r="B69" s="402"/>
      <c r="C69" s="17" t="s">
        <v>16</v>
      </c>
      <c r="D69" s="16">
        <v>4207698.0999999996</v>
      </c>
      <c r="E69" s="13">
        <v>2433726.6</v>
      </c>
      <c r="F69" s="13">
        <v>1773971.5</v>
      </c>
      <c r="G69" s="14">
        <v>2348141</v>
      </c>
      <c r="H69" s="14">
        <v>236123</v>
      </c>
      <c r="I69" s="32">
        <v>172</v>
      </c>
      <c r="J69" s="16">
        <v>3449567.2</v>
      </c>
      <c r="K69" s="13">
        <v>2267591.7000000002</v>
      </c>
      <c r="L69" s="13">
        <v>1181975.5</v>
      </c>
      <c r="M69" s="14">
        <v>1212655</v>
      </c>
      <c r="N69" s="14">
        <v>122384</v>
      </c>
      <c r="O69" s="15">
        <v>25</v>
      </c>
      <c r="P69" s="31">
        <v>530170.69999999995</v>
      </c>
    </row>
    <row r="70" spans="2:16" ht="19.5" hidden="1" thickBot="1" x14ac:dyDescent="0.35">
      <c r="B70" s="403"/>
      <c r="C70" s="21" t="s">
        <v>17</v>
      </c>
      <c r="D70" s="30">
        <f t="shared" ref="D70:P70" si="3">SUM(D66:D69)</f>
        <v>18804970.899999999</v>
      </c>
      <c r="E70" s="25">
        <f t="shared" si="3"/>
        <v>10775364.699999999</v>
      </c>
      <c r="F70" s="25">
        <f t="shared" si="3"/>
        <v>8029606.1999999993</v>
      </c>
      <c r="G70" s="33">
        <f t="shared" si="3"/>
        <v>10632109.300000001</v>
      </c>
      <c r="H70" s="33">
        <f t="shared" si="3"/>
        <v>1013836</v>
      </c>
      <c r="I70" s="26">
        <f t="shared" si="3"/>
        <v>115037</v>
      </c>
      <c r="J70" s="25">
        <f t="shared" si="3"/>
        <v>14062295.399999999</v>
      </c>
      <c r="K70" s="25">
        <f t="shared" si="3"/>
        <v>8885398.3999999985</v>
      </c>
      <c r="L70" s="25">
        <f t="shared" si="3"/>
        <v>5176897</v>
      </c>
      <c r="M70" s="25">
        <f t="shared" si="3"/>
        <v>4879289.7</v>
      </c>
      <c r="N70" s="25">
        <f t="shared" si="3"/>
        <v>514277</v>
      </c>
      <c r="O70" s="26">
        <f t="shared" si="3"/>
        <v>231</v>
      </c>
      <c r="P70" s="30">
        <f t="shared" si="3"/>
        <v>2104351.0999999996</v>
      </c>
    </row>
  </sheetData>
  <sheetProtection password="C690" sheet="1" objects="1" scenarios="1" selectLockedCells="1" selectUnlockedCells="1"/>
  <mergeCells count="19">
    <mergeCell ref="X8:X12"/>
    <mergeCell ref="X13:X17"/>
    <mergeCell ref="X18:X22"/>
    <mergeCell ref="D55:I55"/>
    <mergeCell ref="J55:O55"/>
    <mergeCell ref="P55:U55"/>
    <mergeCell ref="B66:B70"/>
    <mergeCell ref="B61:B65"/>
    <mergeCell ref="B56:B60"/>
    <mergeCell ref="B8:B12"/>
    <mergeCell ref="B13:B17"/>
    <mergeCell ref="B18:B22"/>
    <mergeCell ref="G7:H7"/>
    <mergeCell ref="M7:N7"/>
    <mergeCell ref="S7:T7"/>
    <mergeCell ref="J4:Q4"/>
    <mergeCell ref="D6:I6"/>
    <mergeCell ref="J6:O6"/>
    <mergeCell ref="P6:U6"/>
  </mergeCells>
  <phoneticPr fontId="31" type="noConversion"/>
  <pageMargins left="0.75" right="0.13" top="1" bottom="1" header="0.5" footer="0.5"/>
  <pageSetup paperSize="9" scale="65" orientation="landscape" horizontalDpi="300" verticalDpi="300" r:id="rId1"/>
  <headerFooter alignWithMargins="0"/>
  <ignoredErrors>
    <ignoredError sqref="V1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8"/>
  <dimension ref="A2:AA111"/>
  <sheetViews>
    <sheetView rightToLeft="1" zoomScaleNormal="100" workbookViewId="0">
      <pane ySplit="64" topLeftCell="A104" activePane="bottomLeft" state="frozen"/>
      <selection pane="bottomLeft" activeCell="A113" sqref="A113"/>
    </sheetView>
  </sheetViews>
  <sheetFormatPr defaultRowHeight="12.75" x14ac:dyDescent="0.2"/>
  <cols>
    <col min="1" max="1" width="10.7109375" bestFit="1" customWidth="1"/>
    <col min="2" max="2" width="10.28515625" bestFit="1" customWidth="1"/>
    <col min="3" max="3" width="10.28515625" customWidth="1"/>
    <col min="4" max="4" width="13.28515625" bestFit="1" customWidth="1"/>
    <col min="5" max="6" width="10.7109375" customWidth="1"/>
    <col min="7" max="7" width="13.28515625" customWidth="1"/>
    <col min="8" max="8" width="12.140625" customWidth="1"/>
    <col min="10" max="15" width="9.140625" hidden="1" customWidth="1"/>
    <col min="16" max="16" width="10.140625" bestFit="1" customWidth="1"/>
    <col min="22" max="22" width="10" bestFit="1" customWidth="1"/>
    <col min="23" max="23" width="13.28515625" customWidth="1"/>
    <col min="24" max="24" width="11.7109375" customWidth="1"/>
    <col min="25" max="25" width="10.85546875" customWidth="1"/>
    <col min="26" max="26" width="10.7109375" customWidth="1"/>
  </cols>
  <sheetData>
    <row r="2" spans="1:26" ht="13.5" thickBot="1" x14ac:dyDescent="0.25"/>
    <row r="3" spans="1:26" ht="13.5" thickBot="1" x14ac:dyDescent="0.25">
      <c r="Q3" s="408" t="s">
        <v>201</v>
      </c>
      <c r="R3" s="409"/>
      <c r="S3" s="409"/>
      <c r="T3" s="409"/>
      <c r="U3" s="409"/>
      <c r="V3" s="410"/>
      <c r="W3" s="408" t="s">
        <v>202</v>
      </c>
      <c r="X3" s="411"/>
      <c r="Y3" s="410"/>
      <c r="Z3" s="317" t="s">
        <v>203</v>
      </c>
    </row>
    <row r="4" spans="1:26" ht="40.5" customHeight="1" thickBot="1" x14ac:dyDescent="0.25">
      <c r="B4" s="364" t="s">
        <v>196</v>
      </c>
      <c r="C4" s="365" t="s">
        <v>213</v>
      </c>
      <c r="D4" s="366" t="s">
        <v>198</v>
      </c>
      <c r="E4" s="367" t="s">
        <v>197</v>
      </c>
      <c r="F4" s="368" t="s">
        <v>214</v>
      </c>
      <c r="G4" s="369" t="s">
        <v>120</v>
      </c>
      <c r="H4" s="370" t="s">
        <v>122</v>
      </c>
      <c r="K4" s="136" t="s">
        <v>118</v>
      </c>
      <c r="L4" s="137" t="s">
        <v>119</v>
      </c>
      <c r="M4" s="136" t="s">
        <v>120</v>
      </c>
      <c r="N4" s="136" t="s">
        <v>121</v>
      </c>
      <c r="O4" s="137" t="s">
        <v>122</v>
      </c>
      <c r="P4" s="388" t="s">
        <v>6</v>
      </c>
      <c r="Q4" s="309" t="s">
        <v>163</v>
      </c>
      <c r="R4" s="222" t="s">
        <v>160</v>
      </c>
      <c r="S4" s="223" t="s">
        <v>190</v>
      </c>
      <c r="T4" s="222" t="s">
        <v>161</v>
      </c>
      <c r="U4" s="221" t="s">
        <v>162</v>
      </c>
      <c r="V4" s="310" t="s">
        <v>199</v>
      </c>
      <c r="W4" s="345" t="s">
        <v>170</v>
      </c>
      <c r="X4" s="218" t="s">
        <v>165</v>
      </c>
      <c r="Y4" s="223" t="s">
        <v>190</v>
      </c>
      <c r="Z4" s="318" t="s">
        <v>169</v>
      </c>
    </row>
    <row r="5" spans="1:26" ht="13.5" hidden="1" customHeight="1" thickBot="1" x14ac:dyDescent="0.25">
      <c r="A5" s="89" t="s">
        <v>59</v>
      </c>
      <c r="B5" s="363">
        <v>5000.8362999999999</v>
      </c>
      <c r="C5" s="313" t="s">
        <v>166</v>
      </c>
      <c r="D5" s="363"/>
      <c r="E5" s="363">
        <v>3480.3854000000001</v>
      </c>
      <c r="F5" s="363"/>
      <c r="G5" s="363">
        <v>427.83600000000001</v>
      </c>
      <c r="H5" s="363">
        <v>8909.0576999999994</v>
      </c>
      <c r="J5" s="89" t="s">
        <v>59</v>
      </c>
      <c r="K5" s="89">
        <v>5000.8362999999999</v>
      </c>
      <c r="L5" s="89">
        <v>3480.3854000000001</v>
      </c>
      <c r="M5" s="89">
        <v>427.83600000000001</v>
      </c>
      <c r="N5" s="89"/>
      <c r="O5" s="89">
        <v>8909.0576999999994</v>
      </c>
      <c r="P5" s="316" t="s">
        <v>200</v>
      </c>
      <c r="Q5" s="307" t="s">
        <v>49</v>
      </c>
      <c r="R5" s="311" t="s">
        <v>167</v>
      </c>
      <c r="S5" s="312" t="s">
        <v>191</v>
      </c>
      <c r="T5" s="311" t="s">
        <v>168</v>
      </c>
      <c r="U5" s="313" t="s">
        <v>166</v>
      </c>
      <c r="V5" s="314" t="s">
        <v>96</v>
      </c>
      <c r="W5" s="346" t="s">
        <v>48</v>
      </c>
      <c r="X5" s="330" t="s">
        <v>189</v>
      </c>
      <c r="Y5" s="347" t="s">
        <v>191</v>
      </c>
      <c r="Z5" s="316" t="s">
        <v>50</v>
      </c>
    </row>
    <row r="6" spans="1:26" ht="13.5" hidden="1" customHeight="1" thickBot="1" x14ac:dyDescent="0.25">
      <c r="A6" s="89" t="s">
        <v>60</v>
      </c>
      <c r="B6" s="89">
        <v>5481.1415999999999</v>
      </c>
      <c r="C6" s="89"/>
      <c r="D6" s="89"/>
      <c r="E6" s="89">
        <v>3707.2907</v>
      </c>
      <c r="F6" s="89"/>
      <c r="G6" s="89">
        <v>556.73199999999997</v>
      </c>
      <c r="H6" s="89">
        <v>9745.1643000000004</v>
      </c>
      <c r="J6" s="89" t="s">
        <v>60</v>
      </c>
      <c r="K6" s="89">
        <v>5481.1415999999999</v>
      </c>
      <c r="L6" s="89">
        <v>3707.2907</v>
      </c>
      <c r="M6" s="89">
        <v>556.73199999999997</v>
      </c>
      <c r="N6" s="89"/>
      <c r="O6" s="89">
        <v>9745.1643000000004</v>
      </c>
    </row>
    <row r="7" spans="1:26" hidden="1" x14ac:dyDescent="0.2">
      <c r="A7" s="89" t="s">
        <v>61</v>
      </c>
      <c r="B7" s="89">
        <v>4851.0235999999995</v>
      </c>
      <c r="C7" s="89"/>
      <c r="D7" s="89"/>
      <c r="E7" s="89">
        <v>3478.8404</v>
      </c>
      <c r="F7" s="89"/>
      <c r="G7" s="89">
        <v>525.56200000000001</v>
      </c>
      <c r="H7" s="89">
        <v>8855.4259999999995</v>
      </c>
      <c r="J7" s="89" t="s">
        <v>61</v>
      </c>
      <c r="K7" s="89">
        <v>4851.0235999999995</v>
      </c>
      <c r="L7" s="89">
        <v>3478.8404</v>
      </c>
      <c r="M7" s="89">
        <v>525.56200000000001</v>
      </c>
      <c r="N7" s="89"/>
      <c r="O7" s="89">
        <v>8855.4259999999995</v>
      </c>
    </row>
    <row r="8" spans="1:26" hidden="1" x14ac:dyDescent="0.2">
      <c r="A8" s="89" t="s">
        <v>62</v>
      </c>
      <c r="B8" s="89">
        <v>5205.1331</v>
      </c>
      <c r="C8" s="89"/>
      <c r="D8" s="89"/>
      <c r="E8" s="89">
        <v>3783.0149999999999</v>
      </c>
      <c r="F8" s="89"/>
      <c r="G8" s="89">
        <v>600.27190000000007</v>
      </c>
      <c r="H8" s="89">
        <v>9588.42</v>
      </c>
      <c r="J8" s="89" t="s">
        <v>62</v>
      </c>
      <c r="K8" s="89">
        <v>5205.1331</v>
      </c>
      <c r="L8" s="89">
        <v>3783.0149999999999</v>
      </c>
      <c r="M8" s="89">
        <v>600.27190000000007</v>
      </c>
      <c r="N8" s="89"/>
      <c r="O8" s="89">
        <v>9588.42</v>
      </c>
    </row>
    <row r="9" spans="1:26" hidden="1" x14ac:dyDescent="0.2">
      <c r="A9" s="89" t="s">
        <v>63</v>
      </c>
      <c r="B9" s="89">
        <v>4867.1175000000003</v>
      </c>
      <c r="C9" s="89"/>
      <c r="D9" s="89"/>
      <c r="E9" s="89">
        <v>3564.1179999999999</v>
      </c>
      <c r="F9" s="89"/>
      <c r="G9" s="89">
        <v>653.99400000000003</v>
      </c>
      <c r="H9" s="89">
        <v>9085.2294999999995</v>
      </c>
      <c r="J9" s="89" t="s">
        <v>63</v>
      </c>
      <c r="K9" s="89">
        <v>4867.1175000000003</v>
      </c>
      <c r="L9" s="89">
        <v>3564.1179999999999</v>
      </c>
      <c r="M9" s="89">
        <v>653.99400000000003</v>
      </c>
      <c r="N9" s="89"/>
      <c r="O9" s="89">
        <v>9085.2294999999995</v>
      </c>
    </row>
    <row r="10" spans="1:26" hidden="1" x14ac:dyDescent="0.2">
      <c r="A10" s="89" t="s">
        <v>64</v>
      </c>
      <c r="B10" s="89">
        <v>5645.1270000000004</v>
      </c>
      <c r="C10" s="89"/>
      <c r="D10" s="89"/>
      <c r="E10" s="89">
        <v>3807.2780000000002</v>
      </c>
      <c r="F10" s="89"/>
      <c r="G10" s="89">
        <v>477.06700000000001</v>
      </c>
      <c r="H10" s="89">
        <v>9929.4719999999998</v>
      </c>
      <c r="J10" s="89" t="s">
        <v>64</v>
      </c>
      <c r="K10" s="89">
        <v>5645.1270000000004</v>
      </c>
      <c r="L10" s="89">
        <v>3807.2780000000002</v>
      </c>
      <c r="M10" s="89">
        <v>477.06700000000001</v>
      </c>
      <c r="N10" s="89"/>
      <c r="O10" s="89">
        <v>9929.4719999999998</v>
      </c>
    </row>
    <row r="11" spans="1:26" hidden="1" x14ac:dyDescent="0.2">
      <c r="A11" s="89" t="s">
        <v>65</v>
      </c>
      <c r="B11" s="89">
        <v>5398.75</v>
      </c>
      <c r="C11" s="89"/>
      <c r="D11" s="89"/>
      <c r="E11" s="89">
        <v>3498.0929999999998</v>
      </c>
      <c r="F11" s="89"/>
      <c r="G11" s="89">
        <v>728.32099999999991</v>
      </c>
      <c r="H11" s="89">
        <v>9625.1639999999989</v>
      </c>
      <c r="J11" s="89" t="s">
        <v>65</v>
      </c>
      <c r="K11" s="89">
        <v>5398.75</v>
      </c>
      <c r="L11" s="89">
        <v>3498.0929999999998</v>
      </c>
      <c r="M11" s="89">
        <v>728.32099999999991</v>
      </c>
      <c r="N11" s="89"/>
      <c r="O11" s="89">
        <v>9625.1639999999989</v>
      </c>
    </row>
    <row r="12" spans="1:26" hidden="1" x14ac:dyDescent="0.2">
      <c r="A12" s="89" t="s">
        <v>66</v>
      </c>
      <c r="B12" s="89">
        <v>5079.6390000000001</v>
      </c>
      <c r="C12" s="89"/>
      <c r="D12" s="89"/>
      <c r="E12" s="89">
        <v>3358.4489999999996</v>
      </c>
      <c r="F12" s="89"/>
      <c r="G12" s="89">
        <v>634.69500000000005</v>
      </c>
      <c r="H12" s="89">
        <v>9072.7829999999994</v>
      </c>
      <c r="J12" s="89" t="s">
        <v>66</v>
      </c>
      <c r="K12" s="89">
        <v>5079.6390000000001</v>
      </c>
      <c r="L12" s="89">
        <v>3358.4489999999996</v>
      </c>
      <c r="M12" s="89">
        <v>634.69500000000005</v>
      </c>
      <c r="N12" s="89"/>
      <c r="O12" s="89">
        <v>9072.7829999999994</v>
      </c>
    </row>
    <row r="13" spans="1:26" hidden="1" x14ac:dyDescent="0.2">
      <c r="A13" s="89" t="s">
        <v>67</v>
      </c>
      <c r="B13" s="89">
        <v>4941</v>
      </c>
      <c r="C13" s="89"/>
      <c r="D13" s="89"/>
      <c r="E13" s="89">
        <v>3412</v>
      </c>
      <c r="F13" s="89"/>
      <c r="G13" s="89">
        <v>302.33499999999998</v>
      </c>
      <c r="H13" s="89">
        <v>8654.3349999999991</v>
      </c>
      <c r="J13" s="89" t="s">
        <v>67</v>
      </c>
      <c r="K13" s="89">
        <v>4941</v>
      </c>
      <c r="L13" s="89">
        <v>3412</v>
      </c>
      <c r="M13" s="89">
        <v>302.33499999999998</v>
      </c>
      <c r="N13" s="89"/>
      <c r="O13" s="89">
        <v>8654.3349999999991</v>
      </c>
    </row>
    <row r="14" spans="1:26" hidden="1" x14ac:dyDescent="0.2">
      <c r="A14" s="89" t="s">
        <v>69</v>
      </c>
      <c r="B14" s="89">
        <v>5525</v>
      </c>
      <c r="C14" s="89"/>
      <c r="D14" s="89"/>
      <c r="E14" s="89">
        <v>3668</v>
      </c>
      <c r="F14" s="89"/>
      <c r="G14" s="89">
        <v>435</v>
      </c>
      <c r="H14" s="89">
        <f>SUM(B14:G14)</f>
        <v>9628</v>
      </c>
      <c r="J14" s="89" t="s">
        <v>69</v>
      </c>
      <c r="K14" s="89">
        <v>5525</v>
      </c>
      <c r="L14" s="89">
        <v>3668</v>
      </c>
      <c r="M14" s="89">
        <v>435</v>
      </c>
      <c r="N14" s="89"/>
      <c r="O14" s="89">
        <f>SUM(K14:M14)</f>
        <v>9628</v>
      </c>
    </row>
    <row r="15" spans="1:26" hidden="1" x14ac:dyDescent="0.2">
      <c r="A15" s="89" t="s">
        <v>72</v>
      </c>
      <c r="B15" s="89">
        <v>3934</v>
      </c>
      <c r="C15" s="89"/>
      <c r="D15" s="89"/>
      <c r="E15" s="89">
        <v>4270</v>
      </c>
      <c r="F15" s="89"/>
      <c r="G15" s="89">
        <v>449</v>
      </c>
      <c r="H15" s="89">
        <f>SUM(B15:G15)</f>
        <v>8653</v>
      </c>
      <c r="J15" s="89" t="s">
        <v>72</v>
      </c>
      <c r="K15" s="89">
        <v>3934</v>
      </c>
      <c r="L15" s="89">
        <v>4270</v>
      </c>
      <c r="M15" s="89">
        <v>449</v>
      </c>
      <c r="N15" s="89"/>
      <c r="O15" s="89">
        <f>SUM(K15:M15)</f>
        <v>8653</v>
      </c>
    </row>
    <row r="16" spans="1:26" hidden="1" x14ac:dyDescent="0.2">
      <c r="A16" s="89" t="s">
        <v>73</v>
      </c>
      <c r="B16" s="106">
        <v>4802</v>
      </c>
      <c r="C16" s="106"/>
      <c r="D16" s="89"/>
      <c r="E16" s="89">
        <v>3794</v>
      </c>
      <c r="F16" s="89"/>
      <c r="G16" s="89">
        <v>722</v>
      </c>
      <c r="H16" s="89">
        <v>9318</v>
      </c>
      <c r="J16" s="89" t="s">
        <v>73</v>
      </c>
      <c r="K16" s="106">
        <v>4802</v>
      </c>
      <c r="L16" s="89">
        <v>3794</v>
      </c>
      <c r="M16" s="89">
        <v>722</v>
      </c>
      <c r="N16" s="89"/>
      <c r="O16" s="89">
        <v>9318</v>
      </c>
    </row>
    <row r="17" spans="1:15" hidden="1" x14ac:dyDescent="0.2">
      <c r="A17" s="89" t="s">
        <v>74</v>
      </c>
      <c r="B17" s="89">
        <v>5197.7240000000002</v>
      </c>
      <c r="C17" s="89"/>
      <c r="D17" s="89"/>
      <c r="E17" s="89">
        <v>3672.3780000000002</v>
      </c>
      <c r="F17" s="89"/>
      <c r="G17" s="89">
        <v>559.32399999999996</v>
      </c>
      <c r="H17" s="89">
        <f t="shared" ref="H17:H48" si="0">SUM(B17:G17)</f>
        <v>9429.4260000000013</v>
      </c>
      <c r="I17" s="108"/>
      <c r="J17" s="89" t="s">
        <v>74</v>
      </c>
      <c r="K17" s="89">
        <v>5197.7240000000002</v>
      </c>
      <c r="L17" s="89">
        <v>3672.3780000000002</v>
      </c>
      <c r="M17" s="89">
        <v>559.32399999999996</v>
      </c>
      <c r="N17" s="89"/>
      <c r="O17" s="89">
        <f t="shared" ref="O17:O22" si="1">SUM(K17:M17)</f>
        <v>9429.4260000000013</v>
      </c>
    </row>
    <row r="18" spans="1:15" hidden="1" x14ac:dyDescent="0.2">
      <c r="A18" s="89" t="s">
        <v>75</v>
      </c>
      <c r="B18" s="106">
        <v>5308.9230000000007</v>
      </c>
      <c r="C18" s="106"/>
      <c r="D18" s="106"/>
      <c r="E18" s="106">
        <v>4157.7710000000006</v>
      </c>
      <c r="F18" s="106"/>
      <c r="G18" s="106">
        <v>559.93799999999999</v>
      </c>
      <c r="H18" s="89">
        <f t="shared" si="0"/>
        <v>10026.632000000001</v>
      </c>
      <c r="J18" s="89" t="s">
        <v>75</v>
      </c>
      <c r="K18" s="106">
        <v>5308.9230000000007</v>
      </c>
      <c r="L18" s="106">
        <v>4157.7710000000006</v>
      </c>
      <c r="M18" s="106">
        <v>559.93799999999999</v>
      </c>
      <c r="N18" s="106"/>
      <c r="O18" s="89">
        <f t="shared" si="1"/>
        <v>10026.632000000001</v>
      </c>
    </row>
    <row r="19" spans="1:15" hidden="1" x14ac:dyDescent="0.2">
      <c r="A19" s="89" t="s">
        <v>76</v>
      </c>
      <c r="B19" s="106">
        <v>5270.6170000000002</v>
      </c>
      <c r="C19" s="106"/>
      <c r="D19" s="106"/>
      <c r="E19" s="106">
        <v>3986.1890000000003</v>
      </c>
      <c r="F19" s="106"/>
      <c r="G19" s="106">
        <v>746.75699999999995</v>
      </c>
      <c r="H19" s="106">
        <f t="shared" si="0"/>
        <v>10003.563</v>
      </c>
      <c r="J19" s="89" t="s">
        <v>76</v>
      </c>
      <c r="K19" s="106">
        <v>5270.6170000000002</v>
      </c>
      <c r="L19" s="106">
        <v>3986.1890000000003</v>
      </c>
      <c r="M19" s="106">
        <v>746.75699999999995</v>
      </c>
      <c r="N19" s="106"/>
      <c r="O19" s="106">
        <f t="shared" si="1"/>
        <v>10003.563</v>
      </c>
    </row>
    <row r="20" spans="1:15" hidden="1" x14ac:dyDescent="0.2">
      <c r="A20" s="89" t="s">
        <v>77</v>
      </c>
      <c r="B20" s="106">
        <v>5679.6769999999997</v>
      </c>
      <c r="C20" s="106"/>
      <c r="D20" s="106"/>
      <c r="E20" s="106">
        <v>4415.527</v>
      </c>
      <c r="F20" s="106"/>
      <c r="G20" s="106">
        <v>669.19799999999998</v>
      </c>
      <c r="H20" s="106">
        <f t="shared" si="0"/>
        <v>10764.402</v>
      </c>
      <c r="J20" s="89" t="s">
        <v>77</v>
      </c>
      <c r="K20" s="106">
        <v>5679.6769999999997</v>
      </c>
      <c r="L20" s="106">
        <v>4415.527</v>
      </c>
      <c r="M20" s="106">
        <v>669.19799999999998</v>
      </c>
      <c r="N20" s="106"/>
      <c r="O20" s="106">
        <f t="shared" si="1"/>
        <v>10764.402</v>
      </c>
    </row>
    <row r="21" spans="1:15" hidden="1" x14ac:dyDescent="0.2">
      <c r="A21" s="89" t="s">
        <v>81</v>
      </c>
      <c r="B21" s="106">
        <v>5932.8940000000002</v>
      </c>
      <c r="C21" s="106"/>
      <c r="D21" s="106"/>
      <c r="E21" s="106">
        <v>4230.7560000000003</v>
      </c>
      <c r="F21" s="106"/>
      <c r="G21" s="106">
        <v>727.91800000000001</v>
      </c>
      <c r="H21" s="106">
        <f t="shared" si="0"/>
        <v>10891.568000000001</v>
      </c>
      <c r="J21" s="89" t="s">
        <v>81</v>
      </c>
      <c r="K21" s="106">
        <v>5932.8940000000002</v>
      </c>
      <c r="L21" s="106">
        <v>4230.7560000000003</v>
      </c>
      <c r="M21" s="106">
        <v>727.91800000000001</v>
      </c>
      <c r="N21" s="106"/>
      <c r="O21" s="106">
        <f t="shared" si="1"/>
        <v>10891.568000000001</v>
      </c>
    </row>
    <row r="22" spans="1:15" hidden="1" x14ac:dyDescent="0.2">
      <c r="A22" s="89" t="s">
        <v>84</v>
      </c>
      <c r="B22" s="106">
        <v>6243.29</v>
      </c>
      <c r="C22" s="106"/>
      <c r="D22" s="106"/>
      <c r="E22" s="106">
        <v>4248.4259999999995</v>
      </c>
      <c r="F22" s="106"/>
      <c r="G22" s="106">
        <v>472.83</v>
      </c>
      <c r="H22" s="106">
        <f t="shared" si="0"/>
        <v>10964.546</v>
      </c>
      <c r="J22" s="89" t="s">
        <v>84</v>
      </c>
      <c r="K22" s="106">
        <v>6243.29</v>
      </c>
      <c r="L22" s="106">
        <v>4248.4259999999995</v>
      </c>
      <c r="M22" s="106">
        <v>472.83</v>
      </c>
      <c r="N22" s="106"/>
      <c r="O22" s="106">
        <f t="shared" si="1"/>
        <v>10964.546</v>
      </c>
    </row>
    <row r="23" spans="1:15" hidden="1" x14ac:dyDescent="0.2">
      <c r="A23" s="89" t="s">
        <v>88</v>
      </c>
      <c r="B23" s="106">
        <v>5249.7539999999999</v>
      </c>
      <c r="C23" s="106"/>
      <c r="D23" s="106"/>
      <c r="E23" s="106">
        <v>3821.6930000000002</v>
      </c>
      <c r="F23" s="106"/>
      <c r="G23" s="106">
        <v>682.72299999999996</v>
      </c>
      <c r="H23" s="106">
        <f t="shared" si="0"/>
        <v>9754.17</v>
      </c>
      <c r="J23" s="89" t="s">
        <v>88</v>
      </c>
      <c r="K23" s="106">
        <v>5249.7539999999999</v>
      </c>
      <c r="L23" s="106">
        <v>3821.6930000000002</v>
      </c>
      <c r="M23" s="106">
        <v>682.72299999999996</v>
      </c>
      <c r="N23" s="106"/>
      <c r="O23" s="106">
        <f>SUM(K23:M23)</f>
        <v>9754.17</v>
      </c>
    </row>
    <row r="24" spans="1:15" hidden="1" x14ac:dyDescent="0.2">
      <c r="A24" s="89" t="s">
        <v>92</v>
      </c>
      <c r="B24" s="106">
        <v>5138.933</v>
      </c>
      <c r="C24" s="106"/>
      <c r="D24" s="106"/>
      <c r="E24" s="106">
        <v>3550.6459999999997</v>
      </c>
      <c r="F24" s="106"/>
      <c r="G24" s="106">
        <v>441.447</v>
      </c>
      <c r="H24" s="106">
        <f t="shared" si="0"/>
        <v>9131.0259999999998</v>
      </c>
      <c r="J24" s="89" t="s">
        <v>92</v>
      </c>
      <c r="K24" s="106">
        <v>5138.933</v>
      </c>
      <c r="L24" s="106">
        <v>3550.6459999999997</v>
      </c>
      <c r="M24" s="106">
        <v>441.447</v>
      </c>
      <c r="N24" s="106"/>
      <c r="O24" s="106">
        <f>SUM(K24:M24)</f>
        <v>9131.0259999999998</v>
      </c>
    </row>
    <row r="25" spans="1:15" hidden="1" x14ac:dyDescent="0.2">
      <c r="A25" s="89" t="s">
        <v>93</v>
      </c>
      <c r="B25" s="106">
        <v>4573.2539999999999</v>
      </c>
      <c r="C25" s="106"/>
      <c r="D25" s="106">
        <v>102.202</v>
      </c>
      <c r="E25" s="106">
        <v>3087.8870000000002</v>
      </c>
      <c r="F25" s="106"/>
      <c r="G25" s="106">
        <v>298.899</v>
      </c>
      <c r="H25" s="106">
        <f t="shared" si="0"/>
        <v>8062.2420000000011</v>
      </c>
      <c r="I25" s="85"/>
      <c r="J25" s="139">
        <v>2008</v>
      </c>
      <c r="K25" s="140">
        <f>SUM(K21:K24)</f>
        <v>22564.871000000003</v>
      </c>
      <c r="L25" s="140">
        <f>SUM(L21:L24)</f>
        <v>15851.521000000001</v>
      </c>
      <c r="M25" s="140">
        <f>SUM(M21:M24)</f>
        <v>2324.9180000000001</v>
      </c>
      <c r="N25" s="140">
        <f>SUM(N21:N24)</f>
        <v>0</v>
      </c>
      <c r="O25" s="140">
        <f>SUM(O21:O24)</f>
        <v>40741.31</v>
      </c>
    </row>
    <row r="26" spans="1:15" hidden="1" x14ac:dyDescent="0.2">
      <c r="A26" s="89" t="s">
        <v>94</v>
      </c>
      <c r="B26" s="106">
        <v>5271.5339999999997</v>
      </c>
      <c r="C26" s="106"/>
      <c r="D26" s="106">
        <v>130.97999999999999</v>
      </c>
      <c r="E26" s="106">
        <v>3609.2440000000001</v>
      </c>
      <c r="F26" s="106"/>
      <c r="G26" s="106">
        <v>348.786</v>
      </c>
      <c r="H26" s="106">
        <f t="shared" si="0"/>
        <v>9360.5439999999999</v>
      </c>
      <c r="J26" s="89" t="s">
        <v>93</v>
      </c>
      <c r="K26" s="106">
        <v>4573.2539999999999</v>
      </c>
      <c r="L26" s="106">
        <v>3087.8870000000002</v>
      </c>
      <c r="M26" s="106">
        <v>298.899</v>
      </c>
      <c r="N26" s="106">
        <v>102.202</v>
      </c>
      <c r="O26" s="106">
        <f t="shared" ref="O26:O32" si="2">SUM(K26:N26)</f>
        <v>8062.2420000000002</v>
      </c>
    </row>
    <row r="27" spans="1:15" hidden="1" x14ac:dyDescent="0.2">
      <c r="A27" s="89" t="s">
        <v>99</v>
      </c>
      <c r="B27" s="106">
        <v>4966.4949999999999</v>
      </c>
      <c r="C27" s="106"/>
      <c r="D27" s="106">
        <v>118</v>
      </c>
      <c r="E27" s="106">
        <v>4168.8900000000003</v>
      </c>
      <c r="F27" s="106"/>
      <c r="G27" s="106">
        <v>473.55500000000001</v>
      </c>
      <c r="H27" s="106">
        <f t="shared" si="0"/>
        <v>9726.94</v>
      </c>
      <c r="J27" s="89" t="s">
        <v>94</v>
      </c>
      <c r="K27" s="106">
        <v>5271.5339999999997</v>
      </c>
      <c r="L27" s="106">
        <v>3609.2440000000001</v>
      </c>
      <c r="M27" s="106">
        <v>348.786</v>
      </c>
      <c r="N27" s="106">
        <v>130.97999999999999</v>
      </c>
      <c r="O27" s="106">
        <f t="shared" si="2"/>
        <v>9360.5439999999999</v>
      </c>
    </row>
    <row r="28" spans="1:15" hidden="1" x14ac:dyDescent="0.2">
      <c r="A28" s="89" t="s">
        <v>100</v>
      </c>
      <c r="B28" s="106">
        <v>5001.509</v>
      </c>
      <c r="C28" s="106"/>
      <c r="D28" s="106">
        <v>104.59970000000001</v>
      </c>
      <c r="E28" s="106">
        <v>4049.2469999999998</v>
      </c>
      <c r="F28" s="106"/>
      <c r="G28" s="106">
        <v>637.99299999999994</v>
      </c>
      <c r="H28" s="106">
        <f t="shared" si="0"/>
        <v>9793.3487000000005</v>
      </c>
      <c r="J28" s="89" t="s">
        <v>99</v>
      </c>
      <c r="K28" s="106">
        <v>4966.4949999999999</v>
      </c>
      <c r="L28" s="106">
        <v>4168.8900000000003</v>
      </c>
      <c r="M28" s="106">
        <v>473.55500000000001</v>
      </c>
      <c r="N28" s="106">
        <v>118</v>
      </c>
      <c r="O28" s="106">
        <f t="shared" si="2"/>
        <v>9726.94</v>
      </c>
    </row>
    <row r="29" spans="1:15" hidden="1" x14ac:dyDescent="0.2">
      <c r="A29" s="89" t="s">
        <v>101</v>
      </c>
      <c r="B29" s="106">
        <v>5245.232</v>
      </c>
      <c r="C29" s="106"/>
      <c r="D29" s="106">
        <v>126.14747</v>
      </c>
      <c r="E29" s="106">
        <v>4672.8739999999998</v>
      </c>
      <c r="F29" s="106"/>
      <c r="G29" s="106">
        <v>591.85599999999999</v>
      </c>
      <c r="H29" s="106">
        <f t="shared" si="0"/>
        <v>10636.109469999999</v>
      </c>
      <c r="J29" s="89" t="s">
        <v>100</v>
      </c>
      <c r="K29" s="106">
        <v>5001.509</v>
      </c>
      <c r="L29" s="106">
        <v>4049.2469999999998</v>
      </c>
      <c r="M29" s="106">
        <v>637.99299999999994</v>
      </c>
      <c r="N29" s="106">
        <v>104.59970000000001</v>
      </c>
      <c r="O29" s="106">
        <f t="shared" si="2"/>
        <v>9793.3487000000005</v>
      </c>
    </row>
    <row r="30" spans="1:15" hidden="1" x14ac:dyDescent="0.2">
      <c r="A30" s="89" t="s">
        <v>102</v>
      </c>
      <c r="B30" s="106">
        <v>5716.7080000000005</v>
      </c>
      <c r="C30" s="106"/>
      <c r="D30" s="106">
        <v>193.69481999999999</v>
      </c>
      <c r="E30" s="106">
        <v>4928.8890000000001</v>
      </c>
      <c r="F30" s="106"/>
      <c r="G30" s="106">
        <v>627.53</v>
      </c>
      <c r="H30" s="106">
        <f t="shared" si="0"/>
        <v>11466.821820000001</v>
      </c>
      <c r="J30" s="139">
        <v>2009</v>
      </c>
      <c r="K30" s="140">
        <f>SUM(K26:K29)</f>
        <v>19812.792000000001</v>
      </c>
      <c r="L30" s="140">
        <f>SUM(L26:L29)</f>
        <v>14915.268</v>
      </c>
      <c r="M30" s="140">
        <f>SUM(M26:M29)</f>
        <v>1759.2329999999999</v>
      </c>
      <c r="N30" s="140">
        <f>SUM(N26:N29)</f>
        <v>455.7817</v>
      </c>
      <c r="O30" s="140">
        <f>SUM(O26:O29)</f>
        <v>36943.074700000005</v>
      </c>
    </row>
    <row r="31" spans="1:15" hidden="1" x14ac:dyDescent="0.2">
      <c r="A31" s="89" t="s">
        <v>103</v>
      </c>
      <c r="B31" s="106">
        <v>5701.9660000000003</v>
      </c>
      <c r="C31" s="106"/>
      <c r="D31" s="106">
        <v>171.15493000000001</v>
      </c>
      <c r="E31" s="106">
        <v>4235.0030000000006</v>
      </c>
      <c r="F31" s="106"/>
      <c r="G31" s="106">
        <v>544.3420000000001</v>
      </c>
      <c r="H31" s="106">
        <f t="shared" si="0"/>
        <v>10652.465930000002</v>
      </c>
      <c r="J31" s="89" t="s">
        <v>101</v>
      </c>
      <c r="K31" s="106">
        <v>5245.232</v>
      </c>
      <c r="L31" s="106">
        <v>4672.8739999999998</v>
      </c>
      <c r="M31" s="106">
        <v>591.85599999999999</v>
      </c>
      <c r="N31" s="106">
        <v>126.14747</v>
      </c>
      <c r="O31" s="106">
        <f t="shared" si="2"/>
        <v>10636.109469999999</v>
      </c>
    </row>
    <row r="32" spans="1:15" hidden="1" x14ac:dyDescent="0.2">
      <c r="A32" s="89" t="s">
        <v>104</v>
      </c>
      <c r="B32" s="106">
        <v>5173.5723999999991</v>
      </c>
      <c r="C32" s="106"/>
      <c r="D32" s="106">
        <v>228.06076999999999</v>
      </c>
      <c r="E32" s="106">
        <v>4697.7709999999997</v>
      </c>
      <c r="F32" s="106"/>
      <c r="G32" s="106">
        <v>557.28</v>
      </c>
      <c r="H32" s="106">
        <f t="shared" si="0"/>
        <v>10656.684169999999</v>
      </c>
      <c r="J32" s="89" t="s">
        <v>102</v>
      </c>
      <c r="K32" s="106">
        <v>5716.7080000000005</v>
      </c>
      <c r="L32" s="106">
        <v>4928.8890000000001</v>
      </c>
      <c r="M32" s="106">
        <v>627.53</v>
      </c>
      <c r="N32" s="106">
        <v>193.69481999999999</v>
      </c>
      <c r="O32" s="106">
        <f t="shared" si="2"/>
        <v>11466.821820000003</v>
      </c>
    </row>
    <row r="33" spans="1:15" hidden="1" x14ac:dyDescent="0.2">
      <c r="A33" s="89" t="s">
        <v>105</v>
      </c>
      <c r="B33" s="106">
        <v>5343.2320999999993</v>
      </c>
      <c r="C33" s="106"/>
      <c r="D33" s="106">
        <v>237.62299999999999</v>
      </c>
      <c r="E33" s="106">
        <v>4967.7327999999998</v>
      </c>
      <c r="F33" s="106"/>
      <c r="G33" s="106">
        <v>452.97120000000007</v>
      </c>
      <c r="H33" s="106">
        <f t="shared" si="0"/>
        <v>11001.559099999999</v>
      </c>
      <c r="J33" s="89" t="s">
        <v>103</v>
      </c>
      <c r="K33" s="106">
        <v>5701.9660000000003</v>
      </c>
      <c r="L33" s="106">
        <v>4235.0030000000006</v>
      </c>
      <c r="M33" s="106">
        <v>544.3420000000001</v>
      </c>
      <c r="N33" s="106">
        <v>171.15493000000001</v>
      </c>
      <c r="O33" s="106">
        <f>SUM(K33:N33)</f>
        <v>10652.465930000002</v>
      </c>
    </row>
    <row r="34" spans="1:15" hidden="1" x14ac:dyDescent="0.2">
      <c r="A34" s="89" t="s">
        <v>106</v>
      </c>
      <c r="B34" s="106">
        <v>6067.2985000000008</v>
      </c>
      <c r="C34" s="106"/>
      <c r="D34" s="106">
        <v>273.411</v>
      </c>
      <c r="E34" s="106">
        <v>4859.1284999999998</v>
      </c>
      <c r="F34" s="106"/>
      <c r="G34" s="106">
        <v>532.45870000000002</v>
      </c>
      <c r="H34" s="106">
        <f t="shared" si="0"/>
        <v>11732.296699999999</v>
      </c>
      <c r="J34" s="89" t="s">
        <v>104</v>
      </c>
      <c r="K34" s="106">
        <v>5173.5723999999991</v>
      </c>
      <c r="L34" s="106">
        <v>4697.7709999999997</v>
      </c>
      <c r="M34" s="106">
        <v>557.28</v>
      </c>
      <c r="N34" s="106">
        <v>228.06076999999999</v>
      </c>
      <c r="O34" s="106">
        <f>SUM(K34:N34)</f>
        <v>10656.684169999999</v>
      </c>
    </row>
    <row r="35" spans="1:15" hidden="1" x14ac:dyDescent="0.2">
      <c r="A35" s="89" t="s">
        <v>107</v>
      </c>
      <c r="B35" s="106">
        <v>5644.5212000000001</v>
      </c>
      <c r="C35" s="106"/>
      <c r="D35" s="106">
        <v>256.75200000000001</v>
      </c>
      <c r="E35" s="106">
        <v>4793.3820999999998</v>
      </c>
      <c r="F35" s="106"/>
      <c r="G35" s="106">
        <v>652.93700000000001</v>
      </c>
      <c r="H35" s="106">
        <f t="shared" si="0"/>
        <v>11347.5923</v>
      </c>
      <c r="J35" s="139">
        <v>2010</v>
      </c>
      <c r="K35" s="140">
        <f>SUM(K31:K34)</f>
        <v>21837.4784</v>
      </c>
      <c r="L35" s="140">
        <f>SUM(L31:L34)</f>
        <v>18534.537</v>
      </c>
      <c r="M35" s="140">
        <f>SUM(M31:M34)</f>
        <v>2321.0079999999998</v>
      </c>
      <c r="N35" s="140">
        <f>SUM(N31:N34)</f>
        <v>719.05799000000002</v>
      </c>
      <c r="O35" s="140">
        <f>SUM(O31:O34)</f>
        <v>43412.081389999999</v>
      </c>
    </row>
    <row r="36" spans="1:15" hidden="1" x14ac:dyDescent="0.2">
      <c r="A36" s="89" t="s">
        <v>108</v>
      </c>
      <c r="B36" s="106">
        <v>5497.1890999999996</v>
      </c>
      <c r="C36" s="106"/>
      <c r="D36" s="106">
        <v>257.57400000000001</v>
      </c>
      <c r="E36" s="106">
        <v>4595.1903999999995</v>
      </c>
      <c r="F36" s="106"/>
      <c r="G36" s="106">
        <v>642.07799999999997</v>
      </c>
      <c r="H36" s="106">
        <f t="shared" si="0"/>
        <v>10992.031499999999</v>
      </c>
      <c r="J36" s="89" t="s">
        <v>105</v>
      </c>
      <c r="K36" s="106">
        <v>5354.0801000000001</v>
      </c>
      <c r="L36" s="106">
        <v>4969.7107999999998</v>
      </c>
      <c r="M36" s="106">
        <v>452.97120000000007</v>
      </c>
      <c r="N36" s="106">
        <v>237.62299999999999</v>
      </c>
      <c r="O36" s="106">
        <f>SUM(K36:N36)</f>
        <v>11014.3851</v>
      </c>
    </row>
    <row r="37" spans="1:15" hidden="1" x14ac:dyDescent="0.2">
      <c r="A37" s="89" t="s">
        <v>111</v>
      </c>
      <c r="B37" s="106">
        <v>5951.1769000000004</v>
      </c>
      <c r="C37" s="106"/>
      <c r="D37" s="106">
        <v>299.48900000000003</v>
      </c>
      <c r="E37" s="106">
        <v>4582.4339</v>
      </c>
      <c r="F37" s="106"/>
      <c r="G37" s="106">
        <v>357.32499999999999</v>
      </c>
      <c r="H37" s="106">
        <f t="shared" si="0"/>
        <v>11190.424800000001</v>
      </c>
      <c r="J37" s="89" t="s">
        <v>106</v>
      </c>
      <c r="K37" s="106">
        <v>6070.6424999999999</v>
      </c>
      <c r="L37" s="106">
        <v>4859.2668999999996</v>
      </c>
      <c r="M37" s="106">
        <v>532.45870000000002</v>
      </c>
      <c r="N37" s="106">
        <v>273.411</v>
      </c>
      <c r="O37" s="106">
        <f>SUM(K37:N37)</f>
        <v>11735.7791</v>
      </c>
    </row>
    <row r="38" spans="1:15" hidden="1" x14ac:dyDescent="0.2">
      <c r="A38" s="89" t="s">
        <v>112</v>
      </c>
      <c r="B38" s="106">
        <v>6251.0906999999997</v>
      </c>
      <c r="C38" s="106"/>
      <c r="D38" s="106">
        <v>343.51299999999998</v>
      </c>
      <c r="E38" s="106">
        <v>5323.9772000000003</v>
      </c>
      <c r="F38" s="106"/>
      <c r="G38" s="106">
        <v>500.57900000000001</v>
      </c>
      <c r="H38" s="106">
        <f t="shared" si="0"/>
        <v>12419.159900000001</v>
      </c>
      <c r="J38" s="89" t="s">
        <v>107</v>
      </c>
      <c r="K38" s="106">
        <v>5649.5392000000002</v>
      </c>
      <c r="L38" s="106">
        <v>4770.7560999999996</v>
      </c>
      <c r="M38" s="106">
        <v>652.93700000000001</v>
      </c>
      <c r="N38" s="106">
        <v>256.75200000000001</v>
      </c>
      <c r="O38" s="106">
        <f>SUM(K38:N38)</f>
        <v>11329.9843</v>
      </c>
    </row>
    <row r="39" spans="1:15" hidden="1" x14ac:dyDescent="0.2">
      <c r="A39" s="89" t="s">
        <v>113</v>
      </c>
      <c r="B39" s="106">
        <v>5899.2426999999998</v>
      </c>
      <c r="C39" s="106"/>
      <c r="D39" s="106">
        <v>348.45300000000003</v>
      </c>
      <c r="E39" s="106">
        <v>5200.2986000000001</v>
      </c>
      <c r="F39" s="106"/>
      <c r="G39" s="106">
        <v>420.37200000000001</v>
      </c>
      <c r="H39" s="106">
        <f t="shared" si="0"/>
        <v>11868.3663</v>
      </c>
      <c r="J39" s="89" t="s">
        <v>108</v>
      </c>
      <c r="K39" s="106">
        <v>5497.1895999999997</v>
      </c>
      <c r="L39" s="106">
        <v>4468.3114999999998</v>
      </c>
      <c r="M39" s="106">
        <v>642.07799999999997</v>
      </c>
      <c r="N39" s="106">
        <v>257.57400000000001</v>
      </c>
      <c r="O39" s="106">
        <f>SUM(K39:N39)</f>
        <v>10865.1531</v>
      </c>
    </row>
    <row r="40" spans="1:15" hidden="1" x14ac:dyDescent="0.2">
      <c r="A40" s="89" t="s">
        <v>114</v>
      </c>
      <c r="B40" s="106">
        <v>5886.9418999999998</v>
      </c>
      <c r="C40" s="106"/>
      <c r="D40" s="106">
        <v>310.81900000000002</v>
      </c>
      <c r="E40" s="106">
        <v>4507.7047000000002</v>
      </c>
      <c r="F40" s="106"/>
      <c r="G40" s="106">
        <v>283.50299999999999</v>
      </c>
      <c r="H40" s="106">
        <f t="shared" si="0"/>
        <v>10988.9686</v>
      </c>
      <c r="J40" s="139">
        <v>2011</v>
      </c>
      <c r="K40" s="140">
        <f>SUM(K36:K39)</f>
        <v>22571.451399999998</v>
      </c>
      <c r="L40" s="140">
        <f>SUM(L36:L39)</f>
        <v>19068.045299999998</v>
      </c>
      <c r="M40" s="140">
        <f>SUM(M36:M39)</f>
        <v>2280.4449</v>
      </c>
      <c r="N40" s="140">
        <f>SUM(N36:N39)</f>
        <v>1025.3600000000001</v>
      </c>
      <c r="O40" s="140">
        <f>SUM(O36:O39)</f>
        <v>44945.301599999992</v>
      </c>
    </row>
    <row r="41" spans="1:15" hidden="1" x14ac:dyDescent="0.2">
      <c r="A41" s="89" t="s">
        <v>115</v>
      </c>
      <c r="B41" s="106">
        <f>'סה"כ מטענים - טבלה '!N139</f>
        <v>6513.6543000000001</v>
      </c>
      <c r="C41" s="106"/>
      <c r="D41" s="106">
        <v>363.70699999999999</v>
      </c>
      <c r="E41" s="106">
        <f>'סה"כ מטענים - טבלה '!M139</f>
        <v>4606.0100999999995</v>
      </c>
      <c r="F41" s="106"/>
      <c r="G41" s="106">
        <f>'סה"כ מטענים - טבלה '!L139</f>
        <v>464.67539999999997</v>
      </c>
      <c r="H41" s="106">
        <f t="shared" si="0"/>
        <v>11948.0468</v>
      </c>
      <c r="J41" s="89" t="s">
        <v>111</v>
      </c>
      <c r="K41" s="106">
        <v>5951.1769000000004</v>
      </c>
      <c r="L41" s="106">
        <v>4582.4339</v>
      </c>
      <c r="M41" s="106">
        <v>357.32499999999999</v>
      </c>
      <c r="N41" s="106">
        <v>299.48900000000003</v>
      </c>
      <c r="O41" s="106">
        <f>SUM(K41:N41)</f>
        <v>11190.424800000001</v>
      </c>
    </row>
    <row r="42" spans="1:15" hidden="1" x14ac:dyDescent="0.2">
      <c r="A42" s="89" t="s">
        <v>116</v>
      </c>
      <c r="B42" s="106">
        <f>'סה"כ מטענים - טבלה '!N143</f>
        <v>7021.2679000000007</v>
      </c>
      <c r="C42" s="106"/>
      <c r="D42" s="106">
        <f>'סה"כ מטענים - טבלה '!G143</f>
        <v>39.922689999999996</v>
      </c>
      <c r="E42" s="106">
        <f>'סה"כ מטענים - טבלה '!M143</f>
        <v>5280.8145999999997</v>
      </c>
      <c r="F42" s="106"/>
      <c r="G42" s="106">
        <v>671.202</v>
      </c>
      <c r="H42" s="106">
        <f t="shared" si="0"/>
        <v>13013.207189999999</v>
      </c>
      <c r="J42" s="89" t="s">
        <v>112</v>
      </c>
      <c r="K42" s="106">
        <v>6251.0906999999997</v>
      </c>
      <c r="L42" s="106">
        <v>5323.9772000000003</v>
      </c>
      <c r="M42" s="106">
        <v>500.57900000000001</v>
      </c>
      <c r="N42" s="106">
        <v>343.51299999999998</v>
      </c>
      <c r="O42" s="106">
        <f>SUM(K42:N42)</f>
        <v>12419.159900000001</v>
      </c>
    </row>
    <row r="43" spans="1:15" hidden="1" x14ac:dyDescent="0.2">
      <c r="A43" s="89" t="s">
        <v>117</v>
      </c>
      <c r="B43" s="106">
        <f>'סה"כ מטענים - טבלה '!N147</f>
        <v>6546.6696000000011</v>
      </c>
      <c r="C43" s="106"/>
      <c r="D43" s="106">
        <f>'סה"כ מטענים - טבלה '!G147</f>
        <v>41.303180999999995</v>
      </c>
      <c r="E43" s="106">
        <f>'סה"כ מטענים - טבלה '!M147</f>
        <v>4723.5427</v>
      </c>
      <c r="F43" s="106"/>
      <c r="G43" s="106">
        <f>'סה"כ מטענים - טבלה '!L147</f>
        <v>385.203847</v>
      </c>
      <c r="H43" s="106">
        <f t="shared" si="0"/>
        <v>11696.719328000003</v>
      </c>
      <c r="J43" s="89" t="s">
        <v>113</v>
      </c>
      <c r="K43" s="106">
        <v>5899.2426999999998</v>
      </c>
      <c r="L43" s="106">
        <v>5200.2986000000001</v>
      </c>
      <c r="M43" s="106">
        <v>420.37199999999996</v>
      </c>
      <c r="N43" s="106">
        <v>348.45300000000003</v>
      </c>
      <c r="O43" s="106">
        <f>SUM(K43:N43)</f>
        <v>11868.3663</v>
      </c>
    </row>
    <row r="44" spans="1:15" hidden="1" x14ac:dyDescent="0.2">
      <c r="A44" s="89" t="s">
        <v>126</v>
      </c>
      <c r="B44" s="106">
        <v>5706.2458999999999</v>
      </c>
      <c r="C44" s="106"/>
      <c r="D44" s="106">
        <v>449.23300000000006</v>
      </c>
      <c r="E44" s="106">
        <v>4602.9409000000005</v>
      </c>
      <c r="F44" s="106"/>
      <c r="G44" s="106">
        <v>560.84601700000007</v>
      </c>
      <c r="H44" s="106">
        <f t="shared" si="0"/>
        <v>11319.265817</v>
      </c>
      <c r="J44" s="89" t="s">
        <v>114</v>
      </c>
      <c r="K44" s="106">
        <v>5886.9418999999998</v>
      </c>
      <c r="L44" s="106">
        <v>4507.7047000000002</v>
      </c>
      <c r="M44" s="106">
        <v>283.50300000000004</v>
      </c>
      <c r="N44" s="106">
        <v>310.81899999999996</v>
      </c>
      <c r="O44" s="106">
        <f>SUM(K44:N44)</f>
        <v>10988.9686</v>
      </c>
    </row>
    <row r="45" spans="1:15" hidden="1" x14ac:dyDescent="0.2">
      <c r="A45" s="89" t="s">
        <v>127</v>
      </c>
      <c r="B45" s="106">
        <v>6308.4282939999994</v>
      </c>
      <c r="C45" s="106"/>
      <c r="D45" s="106">
        <v>498.334</v>
      </c>
      <c r="E45" s="106">
        <v>5679.5571399999999</v>
      </c>
      <c r="F45" s="106"/>
      <c r="G45" s="106">
        <v>650.55901100000005</v>
      </c>
      <c r="H45" s="106">
        <f t="shared" si="0"/>
        <v>13136.878444999998</v>
      </c>
      <c r="J45" s="139">
        <v>2012</v>
      </c>
      <c r="K45" s="140">
        <f>SUM(K41:K44)</f>
        <v>23988.4522</v>
      </c>
      <c r="L45" s="140">
        <f>SUM(L41:L44)</f>
        <v>19614.414400000001</v>
      </c>
      <c r="M45" s="140">
        <f>SUM(M41:M44)</f>
        <v>1561.779</v>
      </c>
      <c r="N45" s="140">
        <f>SUM(N41:N44)</f>
        <v>1302.2739999999999</v>
      </c>
      <c r="O45" s="140">
        <f>SUM(O41:O44)</f>
        <v>46466.919600000001</v>
      </c>
    </row>
    <row r="46" spans="1:15" hidden="1" x14ac:dyDescent="0.2">
      <c r="A46" s="89" t="s">
        <v>128</v>
      </c>
      <c r="B46" s="106">
        <v>7232.7346390000002</v>
      </c>
      <c r="C46" s="106"/>
      <c r="D46" s="106">
        <v>511.53</v>
      </c>
      <c r="E46" s="106">
        <v>5100.4491699999999</v>
      </c>
      <c r="F46" s="106"/>
      <c r="G46" s="106">
        <v>632.70764876923079</v>
      </c>
      <c r="H46" s="106">
        <f t="shared" si="0"/>
        <v>13477.421457769231</v>
      </c>
      <c r="J46" s="89" t="s">
        <v>115</v>
      </c>
      <c r="K46" s="106">
        <v>6513.6543000000001</v>
      </c>
      <c r="L46" s="106">
        <v>4606.0100999999995</v>
      </c>
      <c r="M46" s="106">
        <v>464.67539999999997</v>
      </c>
      <c r="N46" s="106">
        <v>367.68799999999999</v>
      </c>
      <c r="O46" s="106">
        <f>SUM(K46:N46)</f>
        <v>11952.0278</v>
      </c>
    </row>
    <row r="47" spans="1:15" hidden="1" x14ac:dyDescent="0.2">
      <c r="A47" s="89" t="s">
        <v>130</v>
      </c>
      <c r="B47" s="106">
        <v>7120.1444740000006</v>
      </c>
      <c r="C47" s="106"/>
      <c r="D47" s="106">
        <v>468.26100000000002</v>
      </c>
      <c r="E47" s="106">
        <v>5355.599142</v>
      </c>
      <c r="F47" s="106"/>
      <c r="G47" s="106">
        <v>513.55060800000001</v>
      </c>
      <c r="H47" s="106">
        <f t="shared" si="0"/>
        <v>13457.555224000002</v>
      </c>
      <c r="J47" s="89" t="s">
        <v>116</v>
      </c>
      <c r="K47" s="106">
        <v>7021.2679000000007</v>
      </c>
      <c r="L47" s="106">
        <v>5280.8145999999997</v>
      </c>
      <c r="M47" s="106">
        <v>660.088438</v>
      </c>
      <c r="N47" s="106">
        <v>388.79899999999998</v>
      </c>
      <c r="O47" s="106">
        <f>SUM(K47:N47)</f>
        <v>13350.969938000002</v>
      </c>
    </row>
    <row r="48" spans="1:15" hidden="1" x14ac:dyDescent="0.2">
      <c r="A48" s="89" t="s">
        <v>131</v>
      </c>
      <c r="B48" s="106">
        <v>6838.849494</v>
      </c>
      <c r="C48" s="106"/>
      <c r="D48" s="106">
        <v>452.63299999999998</v>
      </c>
      <c r="E48" s="106">
        <v>5419.1332499999999</v>
      </c>
      <c r="F48" s="106"/>
      <c r="G48" s="106">
        <v>513.40170000000001</v>
      </c>
      <c r="H48" s="106">
        <f t="shared" si="0"/>
        <v>13224.017443999999</v>
      </c>
      <c r="J48" s="89" t="s">
        <v>117</v>
      </c>
      <c r="K48" s="106">
        <v>6546.6696000000011</v>
      </c>
      <c r="L48" s="106">
        <v>4725.6557000000003</v>
      </c>
      <c r="M48" s="106">
        <v>385.203847</v>
      </c>
      <c r="N48" s="106">
        <v>462.13300000000004</v>
      </c>
      <c r="O48" s="106">
        <f>SUM(K48:N48)</f>
        <v>12119.662147000001</v>
      </c>
    </row>
    <row r="49" spans="1:15" hidden="1" x14ac:dyDescent="0.2">
      <c r="A49" s="89" t="s">
        <v>132</v>
      </c>
      <c r="B49" s="106">
        <v>7095.2974000000004</v>
      </c>
      <c r="C49" s="106"/>
      <c r="D49" s="106">
        <v>460.15899999999999</v>
      </c>
      <c r="E49" s="106">
        <v>5351.4745490000005</v>
      </c>
      <c r="F49" s="106"/>
      <c r="G49" s="106">
        <v>452.20726000000002</v>
      </c>
      <c r="H49" s="106">
        <f t="shared" ref="H49:H65" si="3">SUM(B49:G49)</f>
        <v>13359.138209000001</v>
      </c>
      <c r="J49" s="139" t="s">
        <v>124</v>
      </c>
      <c r="K49" s="140">
        <f>SUM(K46:K48)</f>
        <v>20081.591800000002</v>
      </c>
      <c r="L49" s="140">
        <f>SUM(L46:L48)</f>
        <v>14612.4804</v>
      </c>
      <c r="M49" s="140">
        <f>SUM(M46:M48)</f>
        <v>1509.9676849999998</v>
      </c>
      <c r="N49" s="140">
        <f>SUM(N46:N48)</f>
        <v>1218.6199999999999</v>
      </c>
      <c r="O49" s="140">
        <f>SUM(O46:O48)</f>
        <v>37422.659885000001</v>
      </c>
    </row>
    <row r="50" spans="1:15" hidden="1" x14ac:dyDescent="0.2">
      <c r="A50" s="89" t="s">
        <v>133</v>
      </c>
      <c r="B50" s="106">
        <v>6731.4703000000009</v>
      </c>
      <c r="C50" s="106"/>
      <c r="D50" s="106">
        <v>544.61099999999999</v>
      </c>
      <c r="E50" s="106">
        <v>5562.2830530000001</v>
      </c>
      <c r="F50" s="106"/>
      <c r="G50" s="106">
        <v>262.91055</v>
      </c>
      <c r="H50" s="106">
        <f t="shared" si="3"/>
        <v>13101.274903000001</v>
      </c>
      <c r="J50" s="157"/>
      <c r="K50" s="127"/>
      <c r="L50" s="127"/>
      <c r="M50" s="127"/>
      <c r="N50" s="127"/>
      <c r="O50" s="127"/>
    </row>
    <row r="51" spans="1:15" hidden="1" x14ac:dyDescent="0.2">
      <c r="A51" s="89" t="s">
        <v>134</v>
      </c>
      <c r="B51" s="106">
        <v>6390.4505000000008</v>
      </c>
      <c r="C51" s="106"/>
      <c r="D51" s="106">
        <v>560.625</v>
      </c>
      <c r="E51" s="106">
        <v>5544.4620649999997</v>
      </c>
      <c r="F51" s="106"/>
      <c r="G51" s="106">
        <v>647.41694452369325</v>
      </c>
      <c r="H51" s="106">
        <f t="shared" si="3"/>
        <v>13142.954509523694</v>
      </c>
      <c r="J51" s="157"/>
      <c r="K51" s="127"/>
      <c r="L51" s="127"/>
      <c r="M51" s="127"/>
      <c r="N51" s="127"/>
      <c r="O51" s="127"/>
    </row>
    <row r="52" spans="1:15" hidden="1" x14ac:dyDescent="0.2">
      <c r="A52" s="89" t="s">
        <v>135</v>
      </c>
      <c r="B52" s="106">
        <v>7042.2094999999999</v>
      </c>
      <c r="C52" s="106"/>
      <c r="D52" s="106">
        <v>570.41800000000001</v>
      </c>
      <c r="E52" s="106">
        <v>5815.2651850000002</v>
      </c>
      <c r="F52" s="106"/>
      <c r="G52" s="106">
        <v>740.64996731259487</v>
      </c>
      <c r="H52" s="106">
        <f t="shared" si="3"/>
        <v>14168.542652312593</v>
      </c>
      <c r="J52" s="157"/>
      <c r="K52" s="127"/>
      <c r="L52" s="127"/>
      <c r="M52" s="127"/>
      <c r="N52" s="127"/>
      <c r="O52" s="127"/>
    </row>
    <row r="53" spans="1:15" hidden="1" x14ac:dyDescent="0.2">
      <c r="A53" s="89" t="s">
        <v>136</v>
      </c>
      <c r="B53" s="106">
        <v>7150.9778960000003</v>
      </c>
      <c r="C53" s="106"/>
      <c r="D53" s="106">
        <v>682.327</v>
      </c>
      <c r="E53" s="106">
        <v>5916.7209050000001</v>
      </c>
      <c r="F53" s="106"/>
      <c r="G53" s="106">
        <v>180.19</v>
      </c>
      <c r="H53" s="106">
        <f t="shared" si="3"/>
        <v>13930.215801</v>
      </c>
      <c r="J53" s="157"/>
      <c r="K53" s="127"/>
      <c r="L53" s="127"/>
      <c r="M53" s="127"/>
      <c r="N53" s="127"/>
      <c r="O53" s="127"/>
    </row>
    <row r="54" spans="1:15" hidden="1" x14ac:dyDescent="0.2">
      <c r="A54" s="89" t="s">
        <v>137</v>
      </c>
      <c r="B54" s="106">
        <v>7196.6930500000008</v>
      </c>
      <c r="C54" s="106"/>
      <c r="D54" s="106">
        <v>761.68200000000002</v>
      </c>
      <c r="E54" s="106">
        <v>6403.9010420000004</v>
      </c>
      <c r="F54" s="106"/>
      <c r="G54" s="106">
        <v>325.49726100000004</v>
      </c>
      <c r="H54" s="106">
        <f t="shared" si="3"/>
        <v>14687.773353</v>
      </c>
      <c r="J54" s="157"/>
      <c r="K54" s="127"/>
      <c r="L54" s="127"/>
      <c r="M54" s="127"/>
      <c r="N54" s="127"/>
      <c r="O54" s="127"/>
    </row>
    <row r="55" spans="1:15" hidden="1" x14ac:dyDescent="0.2">
      <c r="A55" s="89" t="s">
        <v>138</v>
      </c>
      <c r="B55" s="106">
        <v>6575.5300999999999</v>
      </c>
      <c r="C55" s="106"/>
      <c r="D55" s="106">
        <v>717.10299999999995</v>
      </c>
      <c r="E55" s="106">
        <v>6230.3757740000001</v>
      </c>
      <c r="F55" s="106"/>
      <c r="G55" s="106">
        <v>804.48399999999992</v>
      </c>
      <c r="H55" s="106">
        <f t="shared" si="3"/>
        <v>14327.492874</v>
      </c>
      <c r="J55" s="157"/>
      <c r="K55" s="127"/>
      <c r="L55" s="127"/>
      <c r="M55" s="127"/>
      <c r="N55" s="127"/>
      <c r="O55" s="127"/>
    </row>
    <row r="56" spans="1:15" hidden="1" x14ac:dyDescent="0.2">
      <c r="A56" s="89" t="s">
        <v>139</v>
      </c>
      <c r="B56" s="106">
        <v>7103.3688590000002</v>
      </c>
      <c r="C56" s="106"/>
      <c r="D56" s="106">
        <v>664.41000000000008</v>
      </c>
      <c r="E56" s="106">
        <v>5535.4201999999996</v>
      </c>
      <c r="F56" s="106"/>
      <c r="G56" s="106">
        <v>799.24499999999989</v>
      </c>
      <c r="H56" s="106">
        <f t="shared" si="3"/>
        <v>14102.444058999998</v>
      </c>
      <c r="J56" s="157"/>
      <c r="K56" s="127"/>
      <c r="L56" s="127"/>
      <c r="M56" s="127"/>
      <c r="N56" s="127"/>
      <c r="O56" s="127"/>
    </row>
    <row r="57" spans="1:15" hidden="1" x14ac:dyDescent="0.2">
      <c r="A57" s="89" t="s">
        <v>141</v>
      </c>
      <c r="B57" s="106">
        <v>7144.152442999999</v>
      </c>
      <c r="C57" s="106"/>
      <c r="D57" s="106">
        <v>743.18600000000004</v>
      </c>
      <c r="E57" s="106">
        <v>5950.1064999999999</v>
      </c>
      <c r="F57" s="106"/>
      <c r="G57" s="106">
        <v>285.46057499999995</v>
      </c>
      <c r="H57" s="106">
        <f t="shared" si="3"/>
        <v>14122.905517999998</v>
      </c>
      <c r="J57" s="157"/>
      <c r="K57" s="127"/>
      <c r="L57" s="127"/>
      <c r="M57" s="127"/>
      <c r="N57" s="127"/>
      <c r="O57" s="127"/>
    </row>
    <row r="58" spans="1:15" hidden="1" x14ac:dyDescent="0.2">
      <c r="A58" s="89" t="s">
        <v>142</v>
      </c>
      <c r="B58" s="106">
        <v>7694.3777120000004</v>
      </c>
      <c r="C58" s="106"/>
      <c r="D58" s="106">
        <v>808.33999999999992</v>
      </c>
      <c r="E58" s="106">
        <v>5886.8167250000006</v>
      </c>
      <c r="F58" s="106"/>
      <c r="G58" s="106">
        <v>534.88499999999999</v>
      </c>
      <c r="H58" s="106">
        <f t="shared" si="3"/>
        <v>14924.419437</v>
      </c>
      <c r="J58" s="157"/>
      <c r="K58" s="127"/>
      <c r="L58" s="127"/>
      <c r="M58" s="127"/>
      <c r="N58" s="127"/>
      <c r="O58" s="127"/>
    </row>
    <row r="59" spans="1:15" hidden="1" x14ac:dyDescent="0.2">
      <c r="A59" s="89" t="s">
        <v>143</v>
      </c>
      <c r="B59" s="106">
        <v>7180.2107329999999</v>
      </c>
      <c r="C59" s="106"/>
      <c r="D59" s="106">
        <v>675.51871333333304</v>
      </c>
      <c r="E59" s="106">
        <v>5966.2458710000001</v>
      </c>
      <c r="F59" s="106"/>
      <c r="G59" s="106">
        <v>628.08849999999995</v>
      </c>
      <c r="H59" s="106">
        <f t="shared" si="3"/>
        <v>14450.063817333334</v>
      </c>
      <c r="J59" s="157"/>
      <c r="K59" s="127"/>
      <c r="L59" s="127"/>
      <c r="M59" s="127"/>
      <c r="N59" s="127"/>
      <c r="O59" s="127"/>
    </row>
    <row r="60" spans="1:15" hidden="1" x14ac:dyDescent="0.2">
      <c r="A60" s="89" t="s">
        <v>144</v>
      </c>
      <c r="B60" s="106">
        <v>7233.063282000001</v>
      </c>
      <c r="C60" s="106"/>
      <c r="D60" s="106">
        <v>701.209114</v>
      </c>
      <c r="E60" s="106">
        <v>5781.3799409999992</v>
      </c>
      <c r="F60" s="106"/>
      <c r="G60" s="106">
        <v>723.02099999999996</v>
      </c>
      <c r="H60" s="106">
        <f t="shared" si="3"/>
        <v>14438.673337</v>
      </c>
      <c r="J60" s="157"/>
      <c r="K60" s="127"/>
      <c r="L60" s="127"/>
      <c r="M60" s="127"/>
      <c r="N60" s="127"/>
      <c r="O60" s="127"/>
    </row>
    <row r="61" spans="1:15" hidden="1" x14ac:dyDescent="0.2">
      <c r="A61" s="89" t="s">
        <v>145</v>
      </c>
      <c r="B61" s="106">
        <v>7580.8863229999997</v>
      </c>
      <c r="C61" s="106"/>
      <c r="D61" s="106">
        <v>791.82400000000007</v>
      </c>
      <c r="E61" s="106">
        <v>5755.7434069999999</v>
      </c>
      <c r="F61" s="106"/>
      <c r="G61" s="106">
        <v>471.505</v>
      </c>
      <c r="H61" s="106">
        <f t="shared" si="3"/>
        <v>14599.958729999998</v>
      </c>
      <c r="J61" s="157"/>
      <c r="K61" s="127"/>
      <c r="L61" s="127"/>
      <c r="M61" s="127"/>
      <c r="N61" s="127"/>
      <c r="O61" s="127"/>
    </row>
    <row r="62" spans="1:15" hidden="1" x14ac:dyDescent="0.2">
      <c r="A62" s="89" t="s">
        <v>146</v>
      </c>
      <c r="B62" s="106">
        <v>7956.0560920000007</v>
      </c>
      <c r="C62" s="106"/>
      <c r="D62" s="106">
        <v>857.06899999999996</v>
      </c>
      <c r="E62" s="106">
        <v>5879.5614189999997</v>
      </c>
      <c r="F62" s="106"/>
      <c r="G62" s="106">
        <v>502.69100000000003</v>
      </c>
      <c r="H62" s="106">
        <f t="shared" si="3"/>
        <v>15195.377511000001</v>
      </c>
      <c r="J62" s="157"/>
      <c r="K62" s="127"/>
      <c r="L62" s="127"/>
      <c r="M62" s="127"/>
      <c r="N62" s="127"/>
      <c r="O62" s="127"/>
    </row>
    <row r="63" spans="1:15" hidden="1" x14ac:dyDescent="0.2">
      <c r="A63" s="89" t="s">
        <v>147</v>
      </c>
      <c r="B63" s="106">
        <v>6784.1403400000008</v>
      </c>
      <c r="C63" s="106"/>
      <c r="D63" s="106">
        <v>877.74099999999999</v>
      </c>
      <c r="E63" s="106">
        <v>5918.9122029999999</v>
      </c>
      <c r="F63" s="106"/>
      <c r="G63" s="106">
        <v>493.28199999999993</v>
      </c>
      <c r="H63" s="106">
        <f t="shared" si="3"/>
        <v>14074.075542999999</v>
      </c>
    </row>
    <row r="64" spans="1:15" hidden="1" x14ac:dyDescent="0.2">
      <c r="A64" s="89" t="s">
        <v>148</v>
      </c>
      <c r="B64" s="106">
        <v>7209.949584</v>
      </c>
      <c r="C64" s="106"/>
      <c r="D64" s="106">
        <v>892.1880000000001</v>
      </c>
      <c r="E64" s="106">
        <v>5920.8300840000002</v>
      </c>
      <c r="F64" s="106"/>
      <c r="G64" s="106">
        <v>822.71299999999997</v>
      </c>
      <c r="H64" s="106">
        <f t="shared" si="3"/>
        <v>14845.680668000001</v>
      </c>
    </row>
    <row r="65" spans="1:27" hidden="1" x14ac:dyDescent="0.2">
      <c r="A65" s="89" t="s">
        <v>149</v>
      </c>
      <c r="B65" s="106">
        <v>7612.5739100000001</v>
      </c>
      <c r="C65" s="106"/>
      <c r="D65" s="106">
        <v>787.86520999999993</v>
      </c>
      <c r="E65" s="106">
        <v>5713.3794400000006</v>
      </c>
      <c r="F65" s="106"/>
      <c r="G65" s="106">
        <v>524.34999999999991</v>
      </c>
      <c r="H65" s="106">
        <f t="shared" si="3"/>
        <v>14638.16856</v>
      </c>
    </row>
    <row r="66" spans="1:27" hidden="1" x14ac:dyDescent="0.2">
      <c r="A66" s="89" t="s">
        <v>150</v>
      </c>
      <c r="B66" s="106">
        <v>7435.4835400000002</v>
      </c>
      <c r="C66" s="106"/>
      <c r="D66" s="106">
        <v>727.97500300000002</v>
      </c>
      <c r="E66" s="106">
        <v>6013.6889740000006</v>
      </c>
      <c r="F66" s="106"/>
      <c r="G66" s="106">
        <v>597.03</v>
      </c>
      <c r="H66" s="106">
        <f t="shared" ref="H66:H83" si="4">SUM(B66:G66)</f>
        <v>14774.177517000002</v>
      </c>
    </row>
    <row r="67" spans="1:27" hidden="1" x14ac:dyDescent="0.2">
      <c r="A67" s="89" t="s">
        <v>151</v>
      </c>
      <c r="B67" s="106">
        <v>6866.9975799999993</v>
      </c>
      <c r="C67" s="106"/>
      <c r="D67" s="106">
        <v>804.66181000000006</v>
      </c>
      <c r="E67" s="106">
        <v>6272.4693569999999</v>
      </c>
      <c r="F67" s="106"/>
      <c r="G67" s="106">
        <v>461.68310000000002</v>
      </c>
      <c r="H67" s="106">
        <f t="shared" si="4"/>
        <v>14405.811846999999</v>
      </c>
    </row>
    <row r="68" spans="1:27" hidden="1" x14ac:dyDescent="0.2">
      <c r="A68" s="89" t="s">
        <v>152</v>
      </c>
      <c r="B68" s="106">
        <v>7169.2112300000008</v>
      </c>
      <c r="C68" s="106"/>
      <c r="D68" s="106">
        <v>753.83500000000004</v>
      </c>
      <c r="E68" s="106">
        <v>5590.3825550000001</v>
      </c>
      <c r="F68" s="106"/>
      <c r="G68" s="106">
        <v>361.654</v>
      </c>
      <c r="H68" s="106">
        <f t="shared" si="4"/>
        <v>13875.082785000001</v>
      </c>
    </row>
    <row r="69" spans="1:27" hidden="1" x14ac:dyDescent="0.2">
      <c r="A69" s="89" t="s">
        <v>153</v>
      </c>
      <c r="B69" s="106">
        <v>7489.620695999999</v>
      </c>
      <c r="C69" s="106"/>
      <c r="D69" s="106">
        <v>1011.913</v>
      </c>
      <c r="E69" s="106">
        <v>5625.4712950000003</v>
      </c>
      <c r="F69" s="106"/>
      <c r="G69" s="106">
        <v>370.25200000000001</v>
      </c>
      <c r="H69" s="106">
        <f t="shared" si="4"/>
        <v>14497.256990999998</v>
      </c>
    </row>
    <row r="70" spans="1:27" hidden="1" x14ac:dyDescent="0.2">
      <c r="A70" s="89" t="s">
        <v>154</v>
      </c>
      <c r="B70" s="106">
        <v>6579.1536040000001</v>
      </c>
      <c r="C70" s="106"/>
      <c r="D70" s="106">
        <v>1032.5468329999999</v>
      </c>
      <c r="E70" s="106">
        <v>5892.1208349999997</v>
      </c>
      <c r="F70" s="106"/>
      <c r="G70" s="106">
        <v>625.76400000000001</v>
      </c>
      <c r="H70" s="106">
        <f t="shared" si="4"/>
        <v>14129.585271999998</v>
      </c>
    </row>
    <row r="71" spans="1:27" hidden="1" x14ac:dyDescent="0.2">
      <c r="A71" s="89" t="s">
        <v>155</v>
      </c>
      <c r="B71" s="106">
        <v>6355.6336399999991</v>
      </c>
      <c r="C71" s="106"/>
      <c r="D71" s="106">
        <v>1140.567</v>
      </c>
      <c r="E71" s="106">
        <v>6127.5177270000004</v>
      </c>
      <c r="F71" s="106"/>
      <c r="G71" s="106">
        <v>557.51300000000003</v>
      </c>
      <c r="H71" s="106">
        <f t="shared" si="4"/>
        <v>14181.231367</v>
      </c>
    </row>
    <row r="72" spans="1:27" ht="13.5" hidden="1" thickBot="1" x14ac:dyDescent="0.25">
      <c r="A72" s="89" t="s">
        <v>156</v>
      </c>
      <c r="B72" s="106">
        <v>6373.5457390000001</v>
      </c>
      <c r="C72" s="106"/>
      <c r="D72" s="106">
        <v>1271.561657</v>
      </c>
      <c r="E72" s="106">
        <v>6328.535527</v>
      </c>
      <c r="F72" s="106"/>
      <c r="G72" s="106">
        <v>671.04199999999992</v>
      </c>
      <c r="H72" s="106">
        <f t="shared" si="4"/>
        <v>14644.684922999999</v>
      </c>
      <c r="P72" s="387"/>
    </row>
    <row r="73" spans="1:27" x14ac:dyDescent="0.2">
      <c r="A73" s="89" t="s">
        <v>157</v>
      </c>
      <c r="B73" s="106">
        <v>6756.695256</v>
      </c>
      <c r="C73" s="106"/>
      <c r="D73" s="106">
        <v>1145.1053890000001</v>
      </c>
      <c r="E73" s="106">
        <f t="shared" ref="E73:E84" si="5">W73+Y73</f>
        <v>6092.5160399999995</v>
      </c>
      <c r="F73" s="106"/>
      <c r="G73" s="106">
        <f t="shared" ref="G73:G87" si="6">Z73</f>
        <v>404.05700000000002</v>
      </c>
      <c r="H73" s="106">
        <f t="shared" si="4"/>
        <v>14398.373685</v>
      </c>
      <c r="I73" s="85"/>
      <c r="P73" s="319" t="s">
        <v>157</v>
      </c>
      <c r="Q73" s="322">
        <v>4406.7158999999992</v>
      </c>
      <c r="R73" s="323">
        <v>737.86200000000008</v>
      </c>
      <c r="S73" s="323">
        <v>1410.5279560000001</v>
      </c>
      <c r="T73" s="323">
        <v>201.53</v>
      </c>
      <c r="U73" s="323"/>
      <c r="V73" s="324">
        <v>1145.1053890000001</v>
      </c>
      <c r="W73" s="322">
        <v>5908.5717999999997</v>
      </c>
      <c r="X73" s="323"/>
      <c r="Y73" s="324">
        <v>183.94424000000001</v>
      </c>
      <c r="Z73" s="324">
        <v>404.05700000000002</v>
      </c>
      <c r="AA73" s="85">
        <f t="shared" ref="AA73:AA90" si="7">SUM(Q73:Z73)</f>
        <v>14398.314285</v>
      </c>
    </row>
    <row r="74" spans="1:27" x14ac:dyDescent="0.2">
      <c r="A74" s="89" t="s">
        <v>158</v>
      </c>
      <c r="B74" s="106">
        <v>7230.7219180000002</v>
      </c>
      <c r="C74" s="106"/>
      <c r="D74" s="106">
        <v>1240.1030000000001</v>
      </c>
      <c r="E74" s="106">
        <f t="shared" si="5"/>
        <v>6102.208971</v>
      </c>
      <c r="F74" s="106"/>
      <c r="G74" s="106">
        <f t="shared" si="6"/>
        <v>507.96699999999998</v>
      </c>
      <c r="H74" s="106">
        <f t="shared" si="4"/>
        <v>15081.000889000001</v>
      </c>
      <c r="I74" s="85"/>
      <c r="P74" s="320" t="s">
        <v>158</v>
      </c>
      <c r="Q74" s="325">
        <v>4472.5138999999999</v>
      </c>
      <c r="R74" s="106">
        <v>1060.8362959999999</v>
      </c>
      <c r="S74" s="106">
        <v>1516.392022</v>
      </c>
      <c r="T74" s="106">
        <v>180.98000000000002</v>
      </c>
      <c r="U74" s="106"/>
      <c r="V74" s="326">
        <v>1240.1030000000001</v>
      </c>
      <c r="W74" s="325">
        <v>5870.3904000000002</v>
      </c>
      <c r="X74" s="106"/>
      <c r="Y74" s="326">
        <v>231.81857100000002</v>
      </c>
      <c r="Z74" s="326">
        <v>507.96699999999998</v>
      </c>
      <c r="AA74" s="85">
        <f t="shared" si="7"/>
        <v>15081.001188999999</v>
      </c>
    </row>
    <row r="75" spans="1:27" x14ac:dyDescent="0.2">
      <c r="A75" s="89" t="s">
        <v>194</v>
      </c>
      <c r="B75" s="106">
        <f t="shared" ref="B75:B85" si="8">Q75+R75+S75+T75</f>
        <v>7156.2806719999999</v>
      </c>
      <c r="C75" s="106">
        <f t="shared" ref="C75:C84" si="9">U75</f>
        <v>15.200199999999999</v>
      </c>
      <c r="D75" s="106">
        <f t="shared" ref="D75:D84" si="10">V75</f>
        <v>1191.596822</v>
      </c>
      <c r="E75" s="106">
        <f t="shared" si="5"/>
        <v>5994.965850999999</v>
      </c>
      <c r="F75" s="106">
        <f t="shared" ref="F75:F84" si="11">X75</f>
        <v>17.669</v>
      </c>
      <c r="G75" s="106">
        <f t="shared" si="6"/>
        <v>412.15000000000003</v>
      </c>
      <c r="H75" s="106">
        <f t="shared" si="4"/>
        <v>14787.862544999998</v>
      </c>
      <c r="I75" s="85"/>
      <c r="P75" s="320" t="s">
        <v>194</v>
      </c>
      <c r="Q75" s="325">
        <v>4075.4077000000002</v>
      </c>
      <c r="R75" s="106">
        <v>1007.9200000000001</v>
      </c>
      <c r="S75" s="106">
        <v>1874.455972</v>
      </c>
      <c r="T75" s="106">
        <v>198.49700000000001</v>
      </c>
      <c r="U75" s="106">
        <v>15.200199999999999</v>
      </c>
      <c r="V75" s="326">
        <v>1191.596822</v>
      </c>
      <c r="W75" s="325">
        <v>5754.384399999999</v>
      </c>
      <c r="X75" s="106">
        <v>17.669</v>
      </c>
      <c r="Y75" s="326">
        <v>240.58145100000002</v>
      </c>
      <c r="Z75" s="326">
        <v>412.15000000000003</v>
      </c>
      <c r="AA75" s="85">
        <f t="shared" si="7"/>
        <v>14787.862544999998</v>
      </c>
    </row>
    <row r="76" spans="1:27" ht="13.5" thickBot="1" x14ac:dyDescent="0.25">
      <c r="A76" s="89" t="s">
        <v>195</v>
      </c>
      <c r="B76" s="106">
        <f t="shared" si="8"/>
        <v>7361.3430600000002</v>
      </c>
      <c r="C76" s="106">
        <f t="shared" si="9"/>
        <v>60.014800000000001</v>
      </c>
      <c r="D76" s="106">
        <f t="shared" si="10"/>
        <v>1228.8490000000002</v>
      </c>
      <c r="E76" s="106">
        <f t="shared" si="5"/>
        <v>6296.9275579999994</v>
      </c>
      <c r="F76" s="106">
        <f t="shared" si="11"/>
        <v>31.146599999999999</v>
      </c>
      <c r="G76" s="106">
        <f t="shared" si="6"/>
        <v>518.87990000000002</v>
      </c>
      <c r="H76" s="106">
        <f t="shared" si="4"/>
        <v>15497.160918</v>
      </c>
      <c r="I76" s="85"/>
      <c r="P76" s="321" t="s">
        <v>195</v>
      </c>
      <c r="Q76" s="327">
        <v>4284.7942999999996</v>
      </c>
      <c r="R76" s="328">
        <v>1012.546</v>
      </c>
      <c r="S76" s="328">
        <v>1823.21676</v>
      </c>
      <c r="T76" s="328">
        <v>240.786</v>
      </c>
      <c r="U76" s="328">
        <v>60.014800000000001</v>
      </c>
      <c r="V76" s="329">
        <v>1228.8490000000002</v>
      </c>
      <c r="W76" s="327">
        <v>6054.4102999999996</v>
      </c>
      <c r="X76" s="328">
        <v>31.146599999999999</v>
      </c>
      <c r="Y76" s="329">
        <v>242.517258</v>
      </c>
      <c r="Z76" s="329">
        <v>518.87990000000002</v>
      </c>
      <c r="AA76" s="85">
        <f t="shared" si="7"/>
        <v>15497.160918</v>
      </c>
    </row>
    <row r="77" spans="1:27" ht="13.5" thickBot="1" x14ac:dyDescent="0.25">
      <c r="A77" s="89" t="s">
        <v>206</v>
      </c>
      <c r="B77" s="106">
        <f t="shared" si="8"/>
        <v>7431.8390989999998</v>
      </c>
      <c r="C77" s="106">
        <f t="shared" si="9"/>
        <v>264.23800199999999</v>
      </c>
      <c r="D77" s="106">
        <f t="shared" si="10"/>
        <v>1258.422</v>
      </c>
      <c r="E77" s="106">
        <f t="shared" si="5"/>
        <v>5993.1907700000011</v>
      </c>
      <c r="F77" s="106">
        <f t="shared" si="11"/>
        <v>44.20176</v>
      </c>
      <c r="G77" s="106">
        <f t="shared" si="6"/>
        <v>453.50200000000001</v>
      </c>
      <c r="H77" s="106">
        <f t="shared" si="4"/>
        <v>15445.393631000001</v>
      </c>
      <c r="I77" s="85"/>
      <c r="P77" s="321" t="s">
        <v>206</v>
      </c>
      <c r="Q77" s="327">
        <v>4512.6734999999999</v>
      </c>
      <c r="R77" s="328">
        <v>785.62638000000004</v>
      </c>
      <c r="S77" s="328">
        <v>1925.8742189999998</v>
      </c>
      <c r="T77" s="328">
        <v>207.66499999999999</v>
      </c>
      <c r="U77" s="328">
        <v>264.23800199999999</v>
      </c>
      <c r="V77" s="329">
        <v>1258.422</v>
      </c>
      <c r="W77" s="327">
        <v>5697.8651000000009</v>
      </c>
      <c r="X77" s="328">
        <v>44.20176</v>
      </c>
      <c r="Y77" s="329">
        <v>295.32567</v>
      </c>
      <c r="Z77" s="329">
        <v>453.50200000000001</v>
      </c>
      <c r="AA77" s="85">
        <f t="shared" si="7"/>
        <v>15445.393631000001</v>
      </c>
    </row>
    <row r="78" spans="1:27" ht="13.5" thickBot="1" x14ac:dyDescent="0.25">
      <c r="A78" s="89" t="s">
        <v>208</v>
      </c>
      <c r="B78" s="106">
        <f t="shared" si="8"/>
        <v>7152.2604069999998</v>
      </c>
      <c r="C78" s="106">
        <f t="shared" si="9"/>
        <v>737.78477199999998</v>
      </c>
      <c r="D78" s="106">
        <f t="shared" si="10"/>
        <v>1059.385</v>
      </c>
      <c r="E78" s="106">
        <f t="shared" si="5"/>
        <v>6140.2313299999996</v>
      </c>
      <c r="F78" s="106">
        <f t="shared" si="11"/>
        <v>145.56087400000001</v>
      </c>
      <c r="G78" s="106">
        <f t="shared" si="6"/>
        <v>402.09140000000002</v>
      </c>
      <c r="H78" s="106">
        <f t="shared" si="4"/>
        <v>15637.313782999998</v>
      </c>
      <c r="I78" s="85"/>
      <c r="P78" s="321" t="s">
        <v>208</v>
      </c>
      <c r="Q78" s="327">
        <v>4034.7826</v>
      </c>
      <c r="R78" s="328">
        <v>941.53792999999996</v>
      </c>
      <c r="S78" s="328">
        <v>1974.2208769999997</v>
      </c>
      <c r="T78" s="328">
        <v>201.71899999999999</v>
      </c>
      <c r="U78" s="328">
        <v>737.78477199999998</v>
      </c>
      <c r="V78" s="329">
        <v>1059.385</v>
      </c>
      <c r="W78" s="329">
        <v>5822.6338999999998</v>
      </c>
      <c r="X78" s="328">
        <v>145.56087400000001</v>
      </c>
      <c r="Y78" s="329">
        <v>317.59742999999997</v>
      </c>
      <c r="Z78" s="329">
        <v>402.09140000000002</v>
      </c>
      <c r="AA78" s="85">
        <f t="shared" si="7"/>
        <v>15637.313783</v>
      </c>
    </row>
    <row r="79" spans="1:27" ht="13.5" thickBot="1" x14ac:dyDescent="0.25">
      <c r="A79" s="89" t="s">
        <v>209</v>
      </c>
      <c r="B79" s="106">
        <f t="shared" si="8"/>
        <v>6389.9999010000001</v>
      </c>
      <c r="C79" s="106">
        <f t="shared" si="9"/>
        <v>1187.3494760000001</v>
      </c>
      <c r="D79" s="106">
        <f t="shared" si="10"/>
        <v>1068.1990000000001</v>
      </c>
      <c r="E79" s="106">
        <f t="shared" si="5"/>
        <v>5607.2079339999991</v>
      </c>
      <c r="F79" s="106">
        <f t="shared" si="11"/>
        <v>456.38527799999997</v>
      </c>
      <c r="G79" s="106">
        <f t="shared" si="6"/>
        <v>481.85299999999995</v>
      </c>
      <c r="H79" s="106">
        <f t="shared" si="4"/>
        <v>15190.994589</v>
      </c>
      <c r="I79" s="85"/>
      <c r="P79" s="321" t="s">
        <v>209</v>
      </c>
      <c r="Q79" s="327">
        <v>3205.3091999999997</v>
      </c>
      <c r="R79" s="328">
        <v>915.16638999999986</v>
      </c>
      <c r="S79" s="328">
        <v>2033.7873109999998</v>
      </c>
      <c r="T79" s="328">
        <v>235.73700000000002</v>
      </c>
      <c r="U79" s="328">
        <v>1187.3494760000001</v>
      </c>
      <c r="V79" s="329">
        <v>1068.1990000000001</v>
      </c>
      <c r="W79" s="329">
        <v>5367.9447999999993</v>
      </c>
      <c r="X79" s="328">
        <v>456.38527799999997</v>
      </c>
      <c r="Y79" s="329">
        <v>239.26313399999998</v>
      </c>
      <c r="Z79" s="329">
        <v>481.85299999999995</v>
      </c>
      <c r="AA79" s="85">
        <f t="shared" si="7"/>
        <v>15190.994589</v>
      </c>
    </row>
    <row r="80" spans="1:27" ht="13.5" thickBot="1" x14ac:dyDescent="0.25">
      <c r="A80" s="89" t="s">
        <v>210</v>
      </c>
      <c r="B80" s="106">
        <f t="shared" si="8"/>
        <v>5488.1690230000004</v>
      </c>
      <c r="C80" s="106">
        <f t="shared" si="9"/>
        <v>1715.4916290000001</v>
      </c>
      <c r="D80" s="106">
        <f t="shared" si="10"/>
        <v>1070.6079999999999</v>
      </c>
      <c r="E80" s="106">
        <f t="shared" si="5"/>
        <v>5088.4358179999999</v>
      </c>
      <c r="F80" s="106">
        <f t="shared" si="11"/>
        <v>558.99115060000008</v>
      </c>
      <c r="G80" s="106">
        <f t="shared" si="6"/>
        <v>517.63300000000004</v>
      </c>
      <c r="H80" s="106">
        <f>SUM(B80:G80)</f>
        <v>14439.328620600001</v>
      </c>
      <c r="I80" s="85"/>
      <c r="P80" s="321" t="s">
        <v>210</v>
      </c>
      <c r="Q80" s="327">
        <v>2490.0911000000001</v>
      </c>
      <c r="R80" s="328">
        <v>836.77455499999996</v>
      </c>
      <c r="S80" s="328">
        <v>1942.4733679999999</v>
      </c>
      <c r="T80" s="328">
        <v>218.83</v>
      </c>
      <c r="U80" s="328">
        <v>1715.4916290000001</v>
      </c>
      <c r="V80" s="329">
        <v>1070.6079999999999</v>
      </c>
      <c r="W80" s="329">
        <v>4845.9192000000003</v>
      </c>
      <c r="X80" s="328">
        <v>558.99115060000008</v>
      </c>
      <c r="Y80" s="329">
        <v>242.51661799999999</v>
      </c>
      <c r="Z80" s="329">
        <v>517.63300000000004</v>
      </c>
      <c r="AA80" s="85">
        <f t="shared" si="7"/>
        <v>14439.328620600001</v>
      </c>
    </row>
    <row r="81" spans="1:27" ht="13.5" thickBot="1" x14ac:dyDescent="0.25">
      <c r="A81" s="89" t="s">
        <v>211</v>
      </c>
      <c r="B81" s="106">
        <f t="shared" si="8"/>
        <v>5278.8947800000005</v>
      </c>
      <c r="C81" s="106">
        <f t="shared" si="9"/>
        <v>2404.6118240000001</v>
      </c>
      <c r="D81" s="106">
        <f t="shared" si="10"/>
        <v>1004.8330000000001</v>
      </c>
      <c r="E81" s="106">
        <f t="shared" si="5"/>
        <v>5336.8158990000002</v>
      </c>
      <c r="F81" s="106">
        <f t="shared" si="11"/>
        <v>819.49610388399992</v>
      </c>
      <c r="G81" s="106">
        <f t="shared" si="6"/>
        <v>307.27100000000002</v>
      </c>
      <c r="H81" s="106">
        <f>SUM(B81:G81)</f>
        <v>15151.922606884002</v>
      </c>
      <c r="I81" s="85"/>
      <c r="P81" s="321" t="s">
        <v>211</v>
      </c>
      <c r="Q81" s="327">
        <v>2632.3419000000004</v>
      </c>
      <c r="R81" s="328">
        <v>631.18265999999994</v>
      </c>
      <c r="S81" s="328">
        <v>1806.5502200000001</v>
      </c>
      <c r="T81" s="328">
        <v>208.82</v>
      </c>
      <c r="U81" s="328">
        <v>2404.6118240000001</v>
      </c>
      <c r="V81" s="329">
        <v>1004.8330000000001</v>
      </c>
      <c r="W81" s="329">
        <v>5032.04</v>
      </c>
      <c r="X81" s="328">
        <v>819.49610388399992</v>
      </c>
      <c r="Y81" s="329">
        <v>304.77589899999998</v>
      </c>
      <c r="Z81" s="329">
        <v>307.27100000000002</v>
      </c>
      <c r="AA81" s="85">
        <f t="shared" si="7"/>
        <v>15151.922606884002</v>
      </c>
    </row>
    <row r="82" spans="1:27" ht="13.5" thickBot="1" x14ac:dyDescent="0.25">
      <c r="A82" s="89" t="s">
        <v>212</v>
      </c>
      <c r="B82" s="106">
        <f t="shared" si="8"/>
        <v>5294.8413730000002</v>
      </c>
      <c r="C82" s="106">
        <f t="shared" si="9"/>
        <v>2521.9233439999998</v>
      </c>
      <c r="D82" s="106">
        <f t="shared" si="10"/>
        <v>956.53599999999994</v>
      </c>
      <c r="E82" s="106">
        <f t="shared" si="5"/>
        <v>5084.3451989999994</v>
      </c>
      <c r="F82" s="106">
        <f t="shared" si="11"/>
        <v>1440.4552289299991</v>
      </c>
      <c r="G82" s="106">
        <f t="shared" si="6"/>
        <v>578.702</v>
      </c>
      <c r="H82" s="106">
        <f t="shared" si="4"/>
        <v>15876.803144929998</v>
      </c>
      <c r="I82" s="85"/>
      <c r="P82" s="321" t="s">
        <v>212</v>
      </c>
      <c r="Q82" s="327">
        <v>3230.5559000000003</v>
      </c>
      <c r="R82" s="328">
        <v>464.68889899999999</v>
      </c>
      <c r="S82" s="328">
        <v>1362.440574</v>
      </c>
      <c r="T82" s="328">
        <v>237.15600000000001</v>
      </c>
      <c r="U82" s="328">
        <v>2521.9233439999998</v>
      </c>
      <c r="V82" s="329">
        <v>956.53599999999994</v>
      </c>
      <c r="W82" s="329">
        <v>4857.8528999999999</v>
      </c>
      <c r="X82" s="328">
        <v>1440.4552289299991</v>
      </c>
      <c r="Y82" s="329">
        <v>226.492299</v>
      </c>
      <c r="Z82" s="329">
        <v>578.702</v>
      </c>
      <c r="AA82" s="85">
        <f t="shared" si="7"/>
        <v>15876.803144929998</v>
      </c>
    </row>
    <row r="83" spans="1:27" ht="13.5" thickBot="1" x14ac:dyDescent="0.25">
      <c r="A83" s="89" t="s">
        <v>221</v>
      </c>
      <c r="B83" s="106">
        <f t="shared" si="8"/>
        <v>5769.0950849999999</v>
      </c>
      <c r="C83" s="106">
        <f t="shared" si="9"/>
        <v>2239.4713160000001</v>
      </c>
      <c r="D83" s="106">
        <f t="shared" si="10"/>
        <v>874.68899999999996</v>
      </c>
      <c r="E83" s="106">
        <f t="shared" si="5"/>
        <v>5318.4584939999995</v>
      </c>
      <c r="F83" s="106">
        <f t="shared" si="11"/>
        <v>1287.42320406262</v>
      </c>
      <c r="G83" s="106">
        <f t="shared" si="6"/>
        <v>538.64499999999998</v>
      </c>
      <c r="H83" s="106">
        <f t="shared" si="4"/>
        <v>16027.782099062621</v>
      </c>
      <c r="P83" s="321" t="s">
        <v>221</v>
      </c>
      <c r="Q83" s="327">
        <v>3092.5594000000001</v>
      </c>
      <c r="R83" s="328">
        <v>729.14020600000003</v>
      </c>
      <c r="S83" s="328">
        <v>1730.9924789999998</v>
      </c>
      <c r="T83" s="328">
        <v>216.40299999999999</v>
      </c>
      <c r="U83" s="328">
        <v>2239.4713160000001</v>
      </c>
      <c r="V83" s="329">
        <v>874.68899999999996</v>
      </c>
      <c r="W83" s="329">
        <v>4983.5160999999998</v>
      </c>
      <c r="X83" s="328">
        <v>1287.42320406262</v>
      </c>
      <c r="Y83" s="329">
        <v>334.94239399999998</v>
      </c>
      <c r="Z83" s="329">
        <v>538.64499999999998</v>
      </c>
      <c r="AA83" s="85">
        <f t="shared" si="7"/>
        <v>16027.782099062619</v>
      </c>
    </row>
    <row r="84" spans="1:27" ht="13.5" thickBot="1" x14ac:dyDescent="0.25">
      <c r="A84" s="89" t="s">
        <v>222</v>
      </c>
      <c r="B84" s="106">
        <f t="shared" si="8"/>
        <v>5767.2466979999999</v>
      </c>
      <c r="C84" s="106">
        <f t="shared" si="9"/>
        <v>1423.2905029999997</v>
      </c>
      <c r="D84" s="106">
        <f t="shared" si="10"/>
        <v>862.03399999999988</v>
      </c>
      <c r="E84" s="106">
        <f t="shared" si="5"/>
        <v>4383.6527390000001</v>
      </c>
      <c r="F84" s="106">
        <f t="shared" si="11"/>
        <v>735.02704286099993</v>
      </c>
      <c r="G84" s="106">
        <f t="shared" si="6"/>
        <v>437.72</v>
      </c>
      <c r="H84" s="106">
        <f t="shared" ref="H84:H90" si="12">SUM(B84:G84)</f>
        <v>13608.970982860999</v>
      </c>
      <c r="P84" s="321" t="s">
        <v>222</v>
      </c>
      <c r="Q84" s="327">
        <v>2706.8386999999998</v>
      </c>
      <c r="R84" s="328">
        <v>638.73947099999998</v>
      </c>
      <c r="S84" s="328">
        <v>2240.3515269999998</v>
      </c>
      <c r="T84" s="328">
        <v>181.31700000000001</v>
      </c>
      <c r="U84" s="328">
        <v>1423.2905029999997</v>
      </c>
      <c r="V84" s="329">
        <v>862.03399999999988</v>
      </c>
      <c r="W84" s="329">
        <v>4127.1232</v>
      </c>
      <c r="X84" s="328">
        <v>735.02704286099993</v>
      </c>
      <c r="Y84" s="329">
        <v>256.529539</v>
      </c>
      <c r="Z84" s="329">
        <v>437.72</v>
      </c>
      <c r="AA84" s="85">
        <f t="shared" si="7"/>
        <v>13608.970982860998</v>
      </c>
    </row>
    <row r="85" spans="1:27" ht="13.5" thickBot="1" x14ac:dyDescent="0.25">
      <c r="A85" s="89" t="s">
        <v>223</v>
      </c>
      <c r="B85" s="106">
        <f t="shared" si="8"/>
        <v>4540.3684519999997</v>
      </c>
      <c r="C85" s="106">
        <v>1530.2329519999998</v>
      </c>
      <c r="D85" s="106">
        <f>V85</f>
        <v>768.19</v>
      </c>
      <c r="E85" s="106">
        <v>4942.773443</v>
      </c>
      <c r="F85" s="106">
        <v>878.02030678699896</v>
      </c>
      <c r="G85" s="106">
        <f t="shared" si="6"/>
        <v>226.45999999999998</v>
      </c>
      <c r="H85" s="106">
        <f t="shared" si="12"/>
        <v>12886.045153786998</v>
      </c>
      <c r="P85" s="386" t="s">
        <v>223</v>
      </c>
      <c r="Q85" s="327">
        <v>2360.1860999999999</v>
      </c>
      <c r="R85" s="328">
        <v>335.50235000000004</v>
      </c>
      <c r="S85" s="328">
        <v>1660.5300020000002</v>
      </c>
      <c r="T85" s="328">
        <v>184.15</v>
      </c>
      <c r="U85" s="328">
        <v>1530.2329519999998</v>
      </c>
      <c r="V85" s="329">
        <v>768.19</v>
      </c>
      <c r="W85" s="329">
        <v>4687.1764000000003</v>
      </c>
      <c r="X85" s="328">
        <v>878.02030678699896</v>
      </c>
      <c r="Y85" s="329">
        <v>255.59704299999999</v>
      </c>
      <c r="Z85" s="329">
        <v>226.45999999999998</v>
      </c>
      <c r="AA85" s="85">
        <f t="shared" si="7"/>
        <v>12886.045153786998</v>
      </c>
    </row>
    <row r="86" spans="1:27" ht="13.5" thickBot="1" x14ac:dyDescent="0.25">
      <c r="A86" s="89" t="s">
        <v>224</v>
      </c>
      <c r="B86" s="106">
        <v>4437.4267149999996</v>
      </c>
      <c r="C86" s="106">
        <v>1271.9376730000004</v>
      </c>
      <c r="D86" s="106">
        <f>V86</f>
        <v>787.55123299999991</v>
      </c>
      <c r="E86" s="106">
        <v>4890.5803720000004</v>
      </c>
      <c r="F86" s="106">
        <v>1617.5102709970013</v>
      </c>
      <c r="G86" s="106">
        <f t="shared" si="6"/>
        <v>127.145</v>
      </c>
      <c r="H86" s="106">
        <f t="shared" si="12"/>
        <v>13132.151263997002</v>
      </c>
      <c r="P86" s="321" t="s">
        <v>224</v>
      </c>
      <c r="Q86" s="327">
        <v>2237.3096999999998</v>
      </c>
      <c r="R86" s="328">
        <v>688.87158999999997</v>
      </c>
      <c r="S86" s="328">
        <v>1305.5434250000001</v>
      </c>
      <c r="T86" s="328">
        <v>205.702</v>
      </c>
      <c r="U86" s="328">
        <v>1271.9376730000004</v>
      </c>
      <c r="V86" s="329">
        <v>787.55123299999991</v>
      </c>
      <c r="W86" s="329">
        <v>4755.9956999999995</v>
      </c>
      <c r="X86" s="328">
        <v>1617.5102709970013</v>
      </c>
      <c r="Y86" s="329">
        <v>134.78367200000002</v>
      </c>
      <c r="Z86" s="329">
        <v>127.145</v>
      </c>
      <c r="AA86" s="85">
        <f t="shared" si="7"/>
        <v>13132.350263997001</v>
      </c>
    </row>
    <row r="87" spans="1:27" ht="13.5" thickBot="1" x14ac:dyDescent="0.25">
      <c r="A87" s="89" t="s">
        <v>225</v>
      </c>
      <c r="B87" s="106">
        <v>4684.0128340000001</v>
      </c>
      <c r="C87" s="106">
        <v>1158.3685009999999</v>
      </c>
      <c r="D87" s="106">
        <f>V87</f>
        <v>965.64865900000007</v>
      </c>
      <c r="E87" s="106">
        <v>5390.0737419999996</v>
      </c>
      <c r="F87" s="106">
        <v>1783.830360157001</v>
      </c>
      <c r="G87" s="106">
        <f t="shared" si="6"/>
        <v>94.698000000000008</v>
      </c>
      <c r="H87" s="106">
        <f t="shared" si="12"/>
        <v>14076.632096157002</v>
      </c>
      <c r="P87" s="386" t="s">
        <v>225</v>
      </c>
      <c r="Q87" s="327">
        <v>2585.8756000000003</v>
      </c>
      <c r="R87" s="328">
        <v>699.30391999999995</v>
      </c>
      <c r="S87" s="328">
        <v>1261.995314</v>
      </c>
      <c r="T87" s="328">
        <v>136.83799999999999</v>
      </c>
      <c r="U87" s="328">
        <v>1158.3685009999999</v>
      </c>
      <c r="V87" s="329">
        <v>965.64865900000007</v>
      </c>
      <c r="W87" s="329">
        <v>5221.3773000000001</v>
      </c>
      <c r="X87" s="328">
        <v>1783.7707571170008</v>
      </c>
      <c r="Y87" s="329">
        <v>169.20144199999999</v>
      </c>
      <c r="Z87" s="329">
        <v>94.698000000000008</v>
      </c>
      <c r="AA87" s="85">
        <f t="shared" si="7"/>
        <v>14077.077493117002</v>
      </c>
    </row>
    <row r="88" spans="1:27" ht="13.5" thickBot="1" x14ac:dyDescent="0.25">
      <c r="A88" s="89" t="s">
        <v>226</v>
      </c>
      <c r="B88" s="106">
        <v>5047.543694</v>
      </c>
      <c r="C88" s="106">
        <v>1289.047998</v>
      </c>
      <c r="D88" s="106">
        <v>867.39499999999998</v>
      </c>
      <c r="E88" s="106">
        <v>5230.8770860000004</v>
      </c>
      <c r="F88" s="106">
        <v>1572.4258259510013</v>
      </c>
      <c r="G88" s="106">
        <v>220.53800000000001</v>
      </c>
      <c r="H88" s="106">
        <f t="shared" si="12"/>
        <v>14227.827603951002</v>
      </c>
      <c r="P88" s="389" t="s">
        <v>226</v>
      </c>
      <c r="Q88" s="327">
        <v>2725.3447000000001</v>
      </c>
      <c r="R88" s="328">
        <v>632.79235600000004</v>
      </c>
      <c r="S88" s="328">
        <v>1551.1556380000002</v>
      </c>
      <c r="T88" s="328">
        <v>138.251</v>
      </c>
      <c r="U88" s="328">
        <v>1289.047998</v>
      </c>
      <c r="V88" s="329">
        <v>867.39499999999998</v>
      </c>
      <c r="W88" s="329">
        <v>5035.7569000000003</v>
      </c>
      <c r="X88" s="328">
        <v>1572.4258259510013</v>
      </c>
      <c r="Y88" s="329">
        <v>195.12018600000002</v>
      </c>
      <c r="Z88" s="329">
        <v>220.53800000000001</v>
      </c>
      <c r="AA88" s="85">
        <f t="shared" si="7"/>
        <v>14227.827603951002</v>
      </c>
    </row>
    <row r="89" spans="1:27" s="385" customFormat="1" ht="13.5" thickBot="1" x14ac:dyDescent="0.25">
      <c r="A89" s="89" t="s">
        <v>227</v>
      </c>
      <c r="B89" s="106">
        <v>4841.4647439999999</v>
      </c>
      <c r="C89" s="106">
        <v>1503.544367</v>
      </c>
      <c r="D89" s="106">
        <v>763.72803499999998</v>
      </c>
      <c r="E89" s="106">
        <v>5483.733373</v>
      </c>
      <c r="F89" s="106">
        <v>1471.4436230000001</v>
      </c>
      <c r="G89" s="106">
        <v>151.47399999999999</v>
      </c>
      <c r="H89" s="106">
        <f t="shared" si="12"/>
        <v>14215.388141999998</v>
      </c>
      <c r="P89" s="386" t="s">
        <v>227</v>
      </c>
      <c r="Q89" s="327">
        <v>2996.8088000000002</v>
      </c>
      <c r="R89" s="328">
        <v>757.03788099999997</v>
      </c>
      <c r="S89" s="328">
        <v>938.777063</v>
      </c>
      <c r="T89" s="328">
        <v>148.84100000000001</v>
      </c>
      <c r="U89" s="328">
        <v>1503.544367</v>
      </c>
      <c r="V89" s="329">
        <v>763.72803499999998</v>
      </c>
      <c r="W89" s="329">
        <v>5252.5365000000002</v>
      </c>
      <c r="X89" s="106">
        <v>1471.4436230000001</v>
      </c>
      <c r="Y89" s="329">
        <v>231.19687300000001</v>
      </c>
      <c r="Z89" s="329">
        <v>151.47399999999999</v>
      </c>
      <c r="AA89" s="85">
        <f t="shared" si="7"/>
        <v>14215.388142000002</v>
      </c>
    </row>
    <row r="90" spans="1:27" s="385" customFormat="1" ht="13.5" thickBot="1" x14ac:dyDescent="0.25">
      <c r="A90" s="89" t="s">
        <v>228</v>
      </c>
      <c r="B90" s="106">
        <v>4799.8875129999997</v>
      </c>
      <c r="C90" s="106">
        <v>1352.4469509999999</v>
      </c>
      <c r="D90" s="106">
        <v>747.97945100000004</v>
      </c>
      <c r="E90" s="106">
        <v>5382.4482369999996</v>
      </c>
      <c r="F90" s="106">
        <v>1642.2273620000001</v>
      </c>
      <c r="G90" s="106">
        <v>88.977000000000004</v>
      </c>
      <c r="H90" s="106">
        <f t="shared" si="12"/>
        <v>14013.966514</v>
      </c>
      <c r="P90" s="89" t="s">
        <v>228</v>
      </c>
      <c r="Q90" s="327">
        <v>2843.6897999999997</v>
      </c>
      <c r="R90" s="328">
        <v>494.57493099999999</v>
      </c>
      <c r="S90" s="328">
        <v>1262.2937820000002</v>
      </c>
      <c r="T90" s="328">
        <v>199.32900000000001</v>
      </c>
      <c r="U90" s="328">
        <v>1352.4469509999999</v>
      </c>
      <c r="V90" s="329">
        <v>747.97945100000004</v>
      </c>
      <c r="W90" s="329">
        <v>5217.4258</v>
      </c>
      <c r="X90" s="106">
        <v>1642.2273620000001</v>
      </c>
      <c r="Y90" s="329">
        <v>165.022437</v>
      </c>
      <c r="Z90" s="329">
        <v>88.977000000000004</v>
      </c>
      <c r="AA90" s="85">
        <f t="shared" si="7"/>
        <v>14013.966514</v>
      </c>
    </row>
    <row r="91" spans="1:27" x14ac:dyDescent="0.2">
      <c r="A91" s="84"/>
      <c r="B91" s="90"/>
      <c r="C91" s="90"/>
      <c r="D91" s="90"/>
      <c r="E91" s="90"/>
      <c r="F91" s="90"/>
      <c r="G91" s="90"/>
      <c r="H91" s="90"/>
    </row>
    <row r="92" spans="1:27" ht="13.5" thickBot="1" x14ac:dyDescent="0.25">
      <c r="A92" s="143"/>
      <c r="B92" s="143"/>
      <c r="C92" s="143"/>
      <c r="D92" s="143"/>
      <c r="E92" s="143"/>
      <c r="F92" s="143"/>
      <c r="G92" s="143"/>
      <c r="H92" s="143"/>
      <c r="I92" s="143"/>
    </row>
    <row r="93" spans="1:27" ht="37.5" customHeight="1" thickBot="1" x14ac:dyDescent="0.25">
      <c r="A93" s="369" t="s">
        <v>125</v>
      </c>
      <c r="B93" s="364" t="s">
        <v>196</v>
      </c>
      <c r="C93" s="365" t="s">
        <v>213</v>
      </c>
      <c r="D93" s="366" t="s">
        <v>198</v>
      </c>
      <c r="E93" s="367" t="s">
        <v>197</v>
      </c>
      <c r="F93" s="368" t="s">
        <v>214</v>
      </c>
      <c r="G93" s="369" t="s">
        <v>120</v>
      </c>
      <c r="H93" s="370" t="s">
        <v>122</v>
      </c>
      <c r="I93" s="143"/>
    </row>
    <row r="94" spans="1:27" ht="12.75" hidden="1" customHeight="1" x14ac:dyDescent="0.2">
      <c r="A94" s="371">
        <v>2008</v>
      </c>
      <c r="B94" s="215">
        <v>22564.871000000003</v>
      </c>
      <c r="C94" s="215"/>
      <c r="D94" s="215"/>
      <c r="E94" s="215">
        <v>15851.521000000001</v>
      </c>
      <c r="F94" s="215"/>
      <c r="G94" s="215">
        <v>2324.9180000000001</v>
      </c>
      <c r="H94" s="215">
        <f t="shared" ref="H94:H99" si="13">SUM(B94:G94)</f>
        <v>40741.310000000005</v>
      </c>
    </row>
    <row r="95" spans="1:27" ht="13.5" hidden="1" customHeight="1" thickBot="1" x14ac:dyDescent="0.25">
      <c r="A95" s="139">
        <v>2009</v>
      </c>
      <c r="B95" s="140">
        <v>19812.792000000001</v>
      </c>
      <c r="C95" s="140"/>
      <c r="D95" s="140"/>
      <c r="E95" s="140">
        <v>14915.268</v>
      </c>
      <c r="F95" s="140"/>
      <c r="G95" s="140">
        <v>1759.2329999999999</v>
      </c>
      <c r="H95" s="140">
        <f t="shared" si="13"/>
        <v>36487.292999999998</v>
      </c>
    </row>
    <row r="96" spans="1:27" hidden="1" x14ac:dyDescent="0.2">
      <c r="A96" s="139">
        <v>2010</v>
      </c>
      <c r="B96" s="140">
        <v>21837.4784</v>
      </c>
      <c r="C96" s="140"/>
      <c r="D96" s="140"/>
      <c r="E96" s="140">
        <v>18534.537</v>
      </c>
      <c r="F96" s="140"/>
      <c r="G96" s="140">
        <v>2321.0079999999998</v>
      </c>
      <c r="H96" s="140">
        <f t="shared" si="13"/>
        <v>42693.023400000005</v>
      </c>
    </row>
    <row r="97" spans="1:27" hidden="1" x14ac:dyDescent="0.2">
      <c r="A97" s="139">
        <v>2011</v>
      </c>
      <c r="B97" s="140">
        <f>B33+B34+B35+B36</f>
        <v>22552.240900000001</v>
      </c>
      <c r="C97" s="140"/>
      <c r="D97" s="140"/>
      <c r="E97" s="140">
        <f>E33+E34+E35+E36</f>
        <v>19215.433799999999</v>
      </c>
      <c r="F97" s="140"/>
      <c r="G97" s="140">
        <f>G33+G34+G35+G36</f>
        <v>2280.4449</v>
      </c>
      <c r="H97" s="140">
        <f t="shared" si="13"/>
        <v>44048.119600000005</v>
      </c>
    </row>
    <row r="98" spans="1:27" hidden="1" x14ac:dyDescent="0.2">
      <c r="A98" s="139">
        <v>2012</v>
      </c>
      <c r="B98" s="140">
        <v>23988.4522</v>
      </c>
      <c r="C98" s="140"/>
      <c r="D98" s="140">
        <f>D37+D38+D39+D40</f>
        <v>1302.2739999999999</v>
      </c>
      <c r="E98" s="140">
        <v>19614.414400000001</v>
      </c>
      <c r="F98" s="140"/>
      <c r="G98" s="140">
        <v>1561.779</v>
      </c>
      <c r="H98" s="140">
        <f t="shared" si="13"/>
        <v>46466.919600000001</v>
      </c>
    </row>
    <row r="99" spans="1:27" x14ac:dyDescent="0.2">
      <c r="A99" s="139">
        <v>2013</v>
      </c>
      <c r="B99" s="140">
        <v>25787.8377</v>
      </c>
      <c r="C99" s="140"/>
      <c r="D99" s="140">
        <f>D41+D42+D43+D44</f>
        <v>894.16587100000004</v>
      </c>
      <c r="E99" s="140">
        <v>19213.308300000001</v>
      </c>
      <c r="F99" s="140"/>
      <c r="G99" s="140">
        <v>2081.927702</v>
      </c>
      <c r="H99" s="140">
        <f t="shared" si="13"/>
        <v>47977.239572999999</v>
      </c>
    </row>
    <row r="100" spans="1:27" x14ac:dyDescent="0.2">
      <c r="A100" s="139">
        <v>2014</v>
      </c>
      <c r="B100" s="140">
        <f>B45+B46+B47+B48</f>
        <v>27500.156901000002</v>
      </c>
      <c r="C100" s="140"/>
      <c r="D100" s="140">
        <f>D45+D46+D47+D48</f>
        <v>1930.758</v>
      </c>
      <c r="E100" s="140">
        <f>E45+E46+E47+E48</f>
        <v>21554.738701999999</v>
      </c>
      <c r="F100" s="140"/>
      <c r="G100" s="140">
        <f>G45+G46+G47+G48</f>
        <v>2310.2189677692309</v>
      </c>
      <c r="H100" s="140">
        <f>H45+H46+H47+H48</f>
        <v>53295.872570769228</v>
      </c>
    </row>
    <row r="101" spans="1:27" x14ac:dyDescent="0.2">
      <c r="A101" s="139">
        <v>2015</v>
      </c>
      <c r="B101" s="140">
        <f>B49+B50+B51+B52</f>
        <v>27259.427700000004</v>
      </c>
      <c r="C101" s="140"/>
      <c r="D101" s="140">
        <f>D49+D50+D51+D52</f>
        <v>2135.8130000000001</v>
      </c>
      <c r="E101" s="140">
        <f>E49+E50+E51+E52</f>
        <v>22273.484852000001</v>
      </c>
      <c r="F101" s="140"/>
      <c r="G101" s="140">
        <f>G49+G50+G51+G52</f>
        <v>2103.1847218362882</v>
      </c>
      <c r="H101" s="140">
        <f>H49+H50+H51+H52</f>
        <v>53771.910273836285</v>
      </c>
    </row>
    <row r="102" spans="1:27" x14ac:dyDescent="0.2">
      <c r="A102" s="139">
        <v>2016</v>
      </c>
      <c r="B102" s="140">
        <f>B53+B54+B55+B56</f>
        <v>28026.569905000004</v>
      </c>
      <c r="C102" s="140"/>
      <c r="D102" s="140">
        <f>D53+D54+D55+D56</f>
        <v>2825.5219999999999</v>
      </c>
      <c r="E102" s="140">
        <f>E53+E54+E55+E56</f>
        <v>24086.417921</v>
      </c>
      <c r="F102" s="140"/>
      <c r="G102" s="140">
        <f>G53+G54+G55+G56</f>
        <v>2109.4162609999998</v>
      </c>
      <c r="H102" s="140">
        <f>H53+H54+H55+H56</f>
        <v>57047.926087</v>
      </c>
    </row>
    <row r="103" spans="1:27" ht="13.5" thickBot="1" x14ac:dyDescent="0.25">
      <c r="A103" s="139">
        <v>2017</v>
      </c>
      <c r="B103" s="140">
        <f>B57+B58+B59+B60</f>
        <v>29251.804170000003</v>
      </c>
      <c r="C103" s="140"/>
      <c r="D103" s="140">
        <f>D57+D58+D59+D60</f>
        <v>2928.253827333333</v>
      </c>
      <c r="E103" s="140">
        <f>E57+E58+E59+E60</f>
        <v>23584.549037000001</v>
      </c>
      <c r="F103" s="140"/>
      <c r="G103" s="140">
        <f>G57+G58+G59+G60</f>
        <v>2171.4550749999999</v>
      </c>
      <c r="H103" s="140">
        <f>H57+H58+H59+H60</f>
        <v>57936.062109333332</v>
      </c>
    </row>
    <row r="104" spans="1:27" ht="13.5" thickBot="1" x14ac:dyDescent="0.25">
      <c r="A104" s="139">
        <v>2018</v>
      </c>
      <c r="B104" s="140">
        <f>B61+B62+B63+B64</f>
        <v>29531.032339000005</v>
      </c>
      <c r="C104" s="140"/>
      <c r="D104" s="140">
        <f>D61+D62+D63+D64</f>
        <v>3418.8220000000001</v>
      </c>
      <c r="E104" s="140">
        <f>E61+E62+E63+E64</f>
        <v>23475.047113000001</v>
      </c>
      <c r="F104" s="140"/>
      <c r="G104" s="140">
        <f>G61+G62+G63+G64</f>
        <v>2290.1909999999998</v>
      </c>
      <c r="H104" s="140">
        <f>H61+H62+H63+H64</f>
        <v>58715.092451999997</v>
      </c>
      <c r="I104" s="85"/>
      <c r="Q104" s="408" t="s">
        <v>201</v>
      </c>
      <c r="R104" s="409"/>
      <c r="S104" s="409"/>
      <c r="T104" s="409"/>
      <c r="U104" s="409"/>
      <c r="V104" s="410"/>
      <c r="W104" s="408" t="s">
        <v>202</v>
      </c>
      <c r="X104" s="409"/>
      <c r="Y104" s="410"/>
      <c r="Z104" s="317" t="s">
        <v>203</v>
      </c>
    </row>
    <row r="105" spans="1:27" x14ac:dyDescent="0.2">
      <c r="A105" s="139">
        <v>2019</v>
      </c>
      <c r="B105" s="140">
        <f>B65+B66+B67+B68</f>
        <v>29084.26626</v>
      </c>
      <c r="C105" s="140"/>
      <c r="D105" s="140">
        <f>D65+D66+D67+D68</f>
        <v>3074.337023</v>
      </c>
      <c r="E105" s="140">
        <f>E65+E66+E67+E68</f>
        <v>23589.920326000003</v>
      </c>
      <c r="F105" s="140"/>
      <c r="G105" s="140">
        <f>G65+G66+G67+G68</f>
        <v>1944.7170999999998</v>
      </c>
      <c r="H105" s="140">
        <f>H65+H66+H67+H68</f>
        <v>57693.240708999998</v>
      </c>
      <c r="P105" s="315" t="s">
        <v>5</v>
      </c>
      <c r="Q105" s="309" t="s">
        <v>163</v>
      </c>
      <c r="R105" s="222" t="s">
        <v>204</v>
      </c>
      <c r="S105" s="223" t="s">
        <v>190</v>
      </c>
      <c r="T105" s="222" t="s">
        <v>161</v>
      </c>
      <c r="U105" s="221" t="s">
        <v>162</v>
      </c>
      <c r="V105" s="310" t="s">
        <v>199</v>
      </c>
      <c r="W105" s="305" t="s">
        <v>170</v>
      </c>
      <c r="X105" s="306" t="s">
        <v>165</v>
      </c>
      <c r="Y105" s="223" t="s">
        <v>190</v>
      </c>
      <c r="Z105" s="318" t="s">
        <v>169</v>
      </c>
    </row>
    <row r="106" spans="1:27" ht="13.5" thickBot="1" x14ac:dyDescent="0.25">
      <c r="A106" s="139">
        <v>2020</v>
      </c>
      <c r="B106" s="140">
        <f>B69+B70+B71+B72</f>
        <v>26797.953678999998</v>
      </c>
      <c r="C106" s="140"/>
      <c r="D106" s="140">
        <f>D69+D70+D71+D72</f>
        <v>4456.5884900000001</v>
      </c>
      <c r="E106" s="140">
        <f>E69+E70+E71+E72</f>
        <v>23973.645384000003</v>
      </c>
      <c r="F106" s="140"/>
      <c r="G106" s="140">
        <f>G69+G70+G71+G72</f>
        <v>2224.5709999999999</v>
      </c>
      <c r="H106" s="140">
        <f>H69+H70+H71+H72</f>
        <v>57452.758553</v>
      </c>
      <c r="I106" s="85"/>
      <c r="P106" s="316" t="s">
        <v>70</v>
      </c>
      <c r="Q106" s="307" t="s">
        <v>49</v>
      </c>
      <c r="R106" s="312" t="s">
        <v>205</v>
      </c>
      <c r="S106" s="312" t="s">
        <v>191</v>
      </c>
      <c r="T106" s="311" t="s">
        <v>168</v>
      </c>
      <c r="U106" s="313" t="s">
        <v>166</v>
      </c>
      <c r="V106" s="314" t="s">
        <v>96</v>
      </c>
      <c r="W106" s="307" t="s">
        <v>48</v>
      </c>
      <c r="X106" s="308" t="s">
        <v>189</v>
      </c>
      <c r="Y106" s="312" t="s">
        <v>191</v>
      </c>
      <c r="Z106" s="316" t="s">
        <v>50</v>
      </c>
    </row>
    <row r="107" spans="1:27" x14ac:dyDescent="0.2">
      <c r="A107" s="139">
        <v>2021</v>
      </c>
      <c r="B107" s="140">
        <f t="shared" ref="B107:H107" si="14">B73+B74+B75+B76</f>
        <v>28505.040905999998</v>
      </c>
      <c r="C107" s="140">
        <f t="shared" si="14"/>
        <v>75.215000000000003</v>
      </c>
      <c r="D107" s="140">
        <f t="shared" si="14"/>
        <v>4805.6542110000009</v>
      </c>
      <c r="E107" s="140">
        <f t="shared" si="14"/>
        <v>24486.618419999995</v>
      </c>
      <c r="F107" s="140">
        <f t="shared" si="14"/>
        <v>48.815600000000003</v>
      </c>
      <c r="G107" s="140">
        <f t="shared" si="14"/>
        <v>1843.0538999999999</v>
      </c>
      <c r="H107" s="140">
        <f t="shared" si="14"/>
        <v>59764.398036999999</v>
      </c>
      <c r="P107" s="139">
        <v>2021</v>
      </c>
      <c r="Q107" s="140">
        <f t="shared" ref="Q107:Z107" si="15">Q73+Q74+Q75+Q76</f>
        <v>17239.431799999998</v>
      </c>
      <c r="R107" s="140">
        <f t="shared" si="15"/>
        <v>3819.1642959999999</v>
      </c>
      <c r="S107" s="140">
        <f t="shared" si="15"/>
        <v>6624.5927099999999</v>
      </c>
      <c r="T107" s="140">
        <f t="shared" si="15"/>
        <v>821.79300000000012</v>
      </c>
      <c r="U107" s="140">
        <f t="shared" si="15"/>
        <v>75.215000000000003</v>
      </c>
      <c r="V107" s="140">
        <f t="shared" si="15"/>
        <v>4805.6542110000009</v>
      </c>
      <c r="W107" s="140">
        <f t="shared" si="15"/>
        <v>23587.756899999997</v>
      </c>
      <c r="X107" s="140">
        <f t="shared" si="15"/>
        <v>48.815600000000003</v>
      </c>
      <c r="Y107" s="140">
        <f t="shared" si="15"/>
        <v>898.86152000000004</v>
      </c>
      <c r="Z107" s="140">
        <f t="shared" si="15"/>
        <v>1843.0538999999999</v>
      </c>
      <c r="AA107" s="85">
        <f t="shared" ref="AA107" si="16">SUM(Q107:Z107)</f>
        <v>59764.338937</v>
      </c>
    </row>
    <row r="108" spans="1:27" x14ac:dyDescent="0.2">
      <c r="A108" s="139">
        <v>2022</v>
      </c>
      <c r="B108" s="140">
        <f t="shared" ref="B108:H108" si="17">B77+B78+B79+B80</f>
        <v>26462.268429999996</v>
      </c>
      <c r="C108" s="140">
        <f t="shared" si="17"/>
        <v>3904.8638790000005</v>
      </c>
      <c r="D108" s="140">
        <f t="shared" si="17"/>
        <v>4456.6139999999996</v>
      </c>
      <c r="E108" s="140">
        <f t="shared" si="17"/>
        <v>22829.065852</v>
      </c>
      <c r="F108" s="140">
        <f t="shared" si="17"/>
        <v>1205.1390626000002</v>
      </c>
      <c r="G108" s="140">
        <f t="shared" si="17"/>
        <v>1855.0793999999999</v>
      </c>
      <c r="H108" s="140">
        <f t="shared" si="17"/>
        <v>60713.030623600003</v>
      </c>
      <c r="I108" s="85"/>
      <c r="P108" s="139">
        <v>2022</v>
      </c>
      <c r="Q108" s="140">
        <f t="shared" ref="Q108:Z108" si="18">Q77+Q78+Q79+Q80</f>
        <v>14242.856399999999</v>
      </c>
      <c r="R108" s="140">
        <f t="shared" si="18"/>
        <v>3479.1052549999999</v>
      </c>
      <c r="S108" s="140">
        <f t="shared" si="18"/>
        <v>7876.3557749999991</v>
      </c>
      <c r="T108" s="140">
        <f t="shared" si="18"/>
        <v>863.95100000000014</v>
      </c>
      <c r="U108" s="140">
        <f t="shared" si="18"/>
        <v>3904.8638790000005</v>
      </c>
      <c r="V108" s="140">
        <f t="shared" si="18"/>
        <v>4456.6139999999996</v>
      </c>
      <c r="W108" s="140">
        <f t="shared" si="18"/>
        <v>21734.363000000001</v>
      </c>
      <c r="X108" s="140">
        <f t="shared" si="18"/>
        <v>1205.1390626000002</v>
      </c>
      <c r="Y108" s="140">
        <f t="shared" si="18"/>
        <v>1094.7028519999999</v>
      </c>
      <c r="Z108" s="140">
        <f t="shared" si="18"/>
        <v>1855.0793999999999</v>
      </c>
      <c r="AA108" s="85">
        <f>SUM(Q108:Z108)</f>
        <v>60713.030623600011</v>
      </c>
    </row>
    <row r="109" spans="1:27" x14ac:dyDescent="0.2">
      <c r="A109" s="139">
        <v>2023</v>
      </c>
      <c r="B109" s="140">
        <f>B81+B82+B83+B84</f>
        <v>22110.077936000002</v>
      </c>
      <c r="C109" s="140">
        <f t="shared" ref="C109:H109" si="19">C81+C82+C83+C84</f>
        <v>8589.2969869999997</v>
      </c>
      <c r="D109" s="140">
        <f t="shared" si="19"/>
        <v>3698.0919999999996</v>
      </c>
      <c r="E109" s="140">
        <f t="shared" si="19"/>
        <v>20123.272331</v>
      </c>
      <c r="F109" s="140">
        <f t="shared" si="19"/>
        <v>4282.4015797376196</v>
      </c>
      <c r="G109" s="140">
        <f t="shared" si="19"/>
        <v>1862.338</v>
      </c>
      <c r="H109" s="140">
        <f t="shared" si="19"/>
        <v>60665.478833737616</v>
      </c>
      <c r="I109" s="85"/>
      <c r="P109" s="139">
        <v>2023</v>
      </c>
      <c r="Q109" s="140">
        <f t="shared" ref="Q109:Z109" si="20">Q81+Q82+Q83+Q84</f>
        <v>11662.295900000001</v>
      </c>
      <c r="R109" s="140">
        <f t="shared" si="20"/>
        <v>2463.7512360000001</v>
      </c>
      <c r="S109" s="140">
        <f t="shared" si="20"/>
        <v>7140.3347999999996</v>
      </c>
      <c r="T109" s="140">
        <f t="shared" si="20"/>
        <v>843.69600000000003</v>
      </c>
      <c r="U109" s="140">
        <f t="shared" si="20"/>
        <v>8589.2969869999997</v>
      </c>
      <c r="V109" s="140">
        <f t="shared" si="20"/>
        <v>3698.0919999999996</v>
      </c>
      <c r="W109" s="140">
        <f t="shared" si="20"/>
        <v>19000.532200000001</v>
      </c>
      <c r="X109" s="140">
        <f t="shared" si="20"/>
        <v>4282.4015797376196</v>
      </c>
      <c r="Y109" s="140">
        <f t="shared" si="20"/>
        <v>1122.740131</v>
      </c>
      <c r="Z109" s="140">
        <f t="shared" si="20"/>
        <v>1862.338</v>
      </c>
      <c r="AA109" s="85">
        <f>SUM(Q109:Z109)</f>
        <v>60665.478833737623</v>
      </c>
    </row>
    <row r="110" spans="1:27" x14ac:dyDescent="0.2">
      <c r="A110" s="139">
        <v>2024</v>
      </c>
      <c r="B110" s="140">
        <f>B85+B86+B87+B88</f>
        <v>18709.351695000001</v>
      </c>
      <c r="C110" s="140">
        <f t="shared" ref="C110:G110" si="21">C85+C86+C87+C88</f>
        <v>5249.5871239999997</v>
      </c>
      <c r="D110" s="140">
        <f t="shared" si="21"/>
        <v>3388.7848920000001</v>
      </c>
      <c r="E110" s="140">
        <f t="shared" si="21"/>
        <v>20454.304642999999</v>
      </c>
      <c r="F110" s="140">
        <f t="shared" si="21"/>
        <v>5851.7867638920025</v>
      </c>
      <c r="G110" s="140">
        <f t="shared" si="21"/>
        <v>668.84100000000001</v>
      </c>
      <c r="H110" s="140">
        <f>H85+H86+H87+H88</f>
        <v>54322.656117892002</v>
      </c>
      <c r="P110" s="139">
        <v>2024</v>
      </c>
      <c r="Q110" s="140">
        <f>Q85+Q86+Q87+Q88</f>
        <v>9908.7160999999996</v>
      </c>
      <c r="R110" s="140">
        <f t="shared" ref="R110:Z110" si="22">R85+R86+R87+R88</f>
        <v>2356.4702159999997</v>
      </c>
      <c r="S110" s="140">
        <f t="shared" si="22"/>
        <v>5779.2243790000002</v>
      </c>
      <c r="T110" s="140">
        <f t="shared" si="22"/>
        <v>664.94099999999992</v>
      </c>
      <c r="U110" s="140">
        <f t="shared" si="22"/>
        <v>5249.5871239999997</v>
      </c>
      <c r="V110" s="140">
        <f t="shared" si="22"/>
        <v>3388.7848920000001</v>
      </c>
      <c r="W110" s="140">
        <f t="shared" si="22"/>
        <v>19700.3063</v>
      </c>
      <c r="X110" s="140">
        <f t="shared" si="22"/>
        <v>5851.7271608520032</v>
      </c>
      <c r="Y110" s="140">
        <f t="shared" si="22"/>
        <v>754.70234300000004</v>
      </c>
      <c r="Z110" s="140">
        <f t="shared" si="22"/>
        <v>668.84100000000001</v>
      </c>
      <c r="AA110" s="85">
        <f>SUM(Q110:Z110)</f>
        <v>54323.300514851995</v>
      </c>
    </row>
    <row r="111" spans="1:27" x14ac:dyDescent="0.2">
      <c r="A111" s="139" t="s">
        <v>229</v>
      </c>
      <c r="B111" s="140">
        <f>B89+B90</f>
        <v>9641.3522569999986</v>
      </c>
      <c r="C111" s="140">
        <f t="shared" ref="C111:H111" si="23">C89+C90</f>
        <v>2855.9913179999999</v>
      </c>
      <c r="D111" s="140">
        <f t="shared" si="23"/>
        <v>1511.707486</v>
      </c>
      <c r="E111" s="140">
        <f t="shared" si="23"/>
        <v>10866.18161</v>
      </c>
      <c r="F111" s="140">
        <f t="shared" si="23"/>
        <v>3113.6709850000002</v>
      </c>
      <c r="G111" s="140">
        <f t="shared" si="23"/>
        <v>240.45099999999999</v>
      </c>
      <c r="H111" s="140">
        <f t="shared" si="23"/>
        <v>28229.354655999996</v>
      </c>
      <c r="P111" s="139" t="s">
        <v>229</v>
      </c>
      <c r="Q111" s="140">
        <f>Q89+Q90</f>
        <v>5840.4985999999999</v>
      </c>
      <c r="R111" s="140">
        <f t="shared" ref="R111:Z111" si="24">R89+R90</f>
        <v>1251.6128119999998</v>
      </c>
      <c r="S111" s="140">
        <f t="shared" si="24"/>
        <v>2201.0708450000002</v>
      </c>
      <c r="T111" s="140">
        <f t="shared" si="24"/>
        <v>348.17</v>
      </c>
      <c r="U111" s="140">
        <f t="shared" si="24"/>
        <v>2855.9913179999999</v>
      </c>
      <c r="V111" s="140">
        <f>V89+V90</f>
        <v>1511.707486</v>
      </c>
      <c r="W111" s="140">
        <f t="shared" si="24"/>
        <v>10469.962299999999</v>
      </c>
      <c r="X111" s="140">
        <f>X89+X90</f>
        <v>3113.6709850000002</v>
      </c>
      <c r="Y111" s="140">
        <f t="shared" si="24"/>
        <v>396.21931000000001</v>
      </c>
      <c r="Z111" s="140">
        <f t="shared" si="24"/>
        <v>240.45099999999999</v>
      </c>
      <c r="AA111" s="85">
        <f>SUM(Q111:Z111)</f>
        <v>28229.354656</v>
      </c>
    </row>
  </sheetData>
  <mergeCells count="4">
    <mergeCell ref="Q3:V3"/>
    <mergeCell ref="W3:Y3"/>
    <mergeCell ref="Q104:V104"/>
    <mergeCell ref="W104:Y104"/>
  </mergeCells>
  <phoneticPr fontId="59" type="noConversion"/>
  <pageMargins left="0.75" right="0.75" top="1" bottom="1" header="0.5" footer="0.5"/>
  <pageSetup paperSize="9" orientation="portrait" r:id="rId1"/>
  <headerFooter alignWithMargins="0"/>
  <ignoredErrors>
    <ignoredError sqref="H14:H15 H17:H18" unlockedFormula="1"/>
    <ignoredError sqref="H94:H96 H98:H99" formulaRange="1"/>
    <ignoredError sqref="E79:E83 E75:E78 E84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23" transitionEvaluation="1"/>
  <dimension ref="A1:Q358"/>
  <sheetViews>
    <sheetView showGridLines="0" tabSelected="1" zoomScale="115" zoomScaleNormal="115" zoomScaleSheetLayoutView="100" workbookViewId="0">
      <pane ySplit="8" topLeftCell="A23" activePane="bottomLeft" state="frozen"/>
      <selection activeCell="J42" sqref="J42"/>
      <selection pane="bottomLeft" activeCell="I300" sqref="I300"/>
    </sheetView>
  </sheetViews>
  <sheetFormatPr defaultColWidth="3.7109375" defaultRowHeight="15" x14ac:dyDescent="0.2"/>
  <cols>
    <col min="1" max="1" width="11.140625" style="191" customWidth="1"/>
    <col min="2" max="2" width="9" style="191" customWidth="1"/>
    <col min="3" max="3" width="9.5703125" style="45" customWidth="1"/>
    <col min="4" max="4" width="10.85546875" style="45" customWidth="1"/>
    <col min="5" max="5" width="9.85546875" style="45" customWidth="1"/>
    <col min="6" max="7" width="8.5703125" style="45" bestFit="1" customWidth="1"/>
    <col min="8" max="9" width="8.85546875" style="45" customWidth="1"/>
    <col min="10" max="10" width="9.28515625" style="191" customWidth="1"/>
    <col min="11" max="11" width="11.140625" style="191" bestFit="1" customWidth="1"/>
    <col min="12" max="12" width="6.85546875" style="45" customWidth="1"/>
    <col min="13" max="13" width="7.42578125" style="45" customWidth="1"/>
    <col min="14" max="14" width="11" style="45" bestFit="1" customWidth="1"/>
    <col min="15" max="15" width="8.85546875" style="45" bestFit="1" customWidth="1"/>
    <col min="16" max="16" width="11.28515625" style="45" bestFit="1" customWidth="1"/>
    <col min="17" max="17" width="14.28515625" style="45" customWidth="1"/>
    <col min="18" max="16384" width="3.7109375" style="45"/>
  </cols>
  <sheetData>
    <row r="1" spans="1:13" ht="15" customHeight="1" x14ac:dyDescent="0.25">
      <c r="A1" s="205" t="s">
        <v>57</v>
      </c>
      <c r="B1" s="205"/>
      <c r="M1" s="246" t="s">
        <v>171</v>
      </c>
    </row>
    <row r="2" spans="1:13" ht="13.5" customHeight="1" x14ac:dyDescent="0.25">
      <c r="A2" s="205" t="s">
        <v>58</v>
      </c>
      <c r="B2" s="205"/>
      <c r="M2" s="246" t="s">
        <v>172</v>
      </c>
    </row>
    <row r="3" spans="1:13" s="47" customFormat="1" ht="18" customHeight="1" x14ac:dyDescent="0.2">
      <c r="A3" s="206" t="s">
        <v>174</v>
      </c>
      <c r="B3" s="206"/>
      <c r="J3" s="199"/>
      <c r="K3" s="199"/>
      <c r="M3" s="247" t="s">
        <v>193</v>
      </c>
    </row>
    <row r="4" spans="1:13" s="48" customFormat="1" ht="15" customHeight="1" x14ac:dyDescent="0.2">
      <c r="A4" s="95" t="s">
        <v>37</v>
      </c>
      <c r="B4" s="95"/>
      <c r="J4" s="200"/>
      <c r="K4" s="200"/>
      <c r="M4" s="97" t="s">
        <v>173</v>
      </c>
    </row>
    <row r="5" spans="1:13" s="49" customFormat="1" ht="15" customHeight="1" x14ac:dyDescent="0.2">
      <c r="A5" s="234" t="s">
        <v>4</v>
      </c>
      <c r="B5" s="260"/>
      <c r="C5" s="236"/>
      <c r="D5" s="235" t="s">
        <v>164</v>
      </c>
      <c r="E5" s="236"/>
      <c r="F5" s="236"/>
      <c r="G5" s="236"/>
      <c r="H5" s="236"/>
      <c r="I5" s="236"/>
      <c r="J5" s="241" t="s">
        <v>159</v>
      </c>
      <c r="K5" s="234" t="s">
        <v>180</v>
      </c>
      <c r="L5" s="237"/>
      <c r="M5" s="238"/>
    </row>
    <row r="6" spans="1:13" s="49" customFormat="1" ht="12" customHeight="1" x14ac:dyDescent="0.2">
      <c r="A6" s="248" t="s">
        <v>184</v>
      </c>
      <c r="B6" s="337" t="s">
        <v>183</v>
      </c>
      <c r="C6" s="52"/>
      <c r="D6" s="249"/>
      <c r="E6" s="250" t="s">
        <v>182</v>
      </c>
      <c r="F6" s="250"/>
      <c r="G6" s="250"/>
      <c r="H6" s="250"/>
      <c r="I6" s="250"/>
      <c r="J6" s="251"/>
      <c r="K6" s="248" t="s">
        <v>181</v>
      </c>
      <c r="L6" s="239"/>
      <c r="M6" s="240"/>
    </row>
    <row r="7" spans="1:13" s="61" customFormat="1" ht="12" customHeight="1" x14ac:dyDescent="0.2">
      <c r="A7" s="218" t="s">
        <v>169</v>
      </c>
      <c r="B7" s="223" t="s">
        <v>217</v>
      </c>
      <c r="C7" s="219" t="s">
        <v>165</v>
      </c>
      <c r="D7" s="330" t="s">
        <v>219</v>
      </c>
      <c r="E7" s="220" t="s">
        <v>220</v>
      </c>
      <c r="F7" s="221" t="s">
        <v>162</v>
      </c>
      <c r="G7" s="222" t="s">
        <v>161</v>
      </c>
      <c r="H7" s="223" t="s">
        <v>215</v>
      </c>
      <c r="I7" s="222" t="s">
        <v>160</v>
      </c>
      <c r="J7" s="224" t="s">
        <v>163</v>
      </c>
      <c r="K7" s="218"/>
      <c r="L7" s="225" t="s">
        <v>123</v>
      </c>
      <c r="M7" s="220" t="s">
        <v>5</v>
      </c>
    </row>
    <row r="8" spans="1:13" s="61" customFormat="1" ht="12" customHeight="1" x14ac:dyDescent="0.2">
      <c r="A8" s="226" t="s">
        <v>50</v>
      </c>
      <c r="B8" s="228" t="s">
        <v>218</v>
      </c>
      <c r="C8" s="226" t="s">
        <v>189</v>
      </c>
      <c r="D8" s="226" t="s">
        <v>48</v>
      </c>
      <c r="E8" s="227" t="s">
        <v>96</v>
      </c>
      <c r="F8" s="226" t="s">
        <v>166</v>
      </c>
      <c r="G8" s="227" t="s">
        <v>168</v>
      </c>
      <c r="H8" s="228" t="s">
        <v>216</v>
      </c>
      <c r="I8" s="227" t="s">
        <v>167</v>
      </c>
      <c r="J8" s="229" t="s">
        <v>49</v>
      </c>
      <c r="K8" s="226"/>
      <c r="L8" s="230" t="s">
        <v>71</v>
      </c>
      <c r="M8" s="227" t="s">
        <v>70</v>
      </c>
    </row>
    <row r="9" spans="1:13" s="65" customFormat="1" ht="11.25" hidden="1" x14ac:dyDescent="0.2">
      <c r="A9" s="201">
        <v>1799</v>
      </c>
      <c r="B9" s="331"/>
      <c r="C9" s="88"/>
      <c r="D9" s="203">
        <v>15758</v>
      </c>
      <c r="E9" s="195"/>
      <c r="F9" s="195"/>
      <c r="G9" s="195"/>
      <c r="H9" s="195"/>
      <c r="I9" s="195"/>
      <c r="J9" s="233">
        <v>18534</v>
      </c>
      <c r="K9" s="252">
        <v>36091</v>
      </c>
      <c r="L9" s="88"/>
      <c r="M9" s="87">
        <v>2000</v>
      </c>
    </row>
    <row r="10" spans="1:13" s="65" customFormat="1" ht="11.25" hidden="1" x14ac:dyDescent="0.2">
      <c r="A10" s="201">
        <v>1696</v>
      </c>
      <c r="B10" s="331"/>
      <c r="C10" s="88"/>
      <c r="D10" s="203">
        <v>13630</v>
      </c>
      <c r="E10" s="195"/>
      <c r="F10" s="195"/>
      <c r="G10" s="195"/>
      <c r="H10" s="195"/>
      <c r="I10" s="195"/>
      <c r="J10" s="231">
        <v>16731</v>
      </c>
      <c r="K10" s="252">
        <v>32057</v>
      </c>
      <c r="L10" s="88"/>
      <c r="M10" s="87">
        <v>2001</v>
      </c>
    </row>
    <row r="11" spans="1:13" s="65" customFormat="1" ht="11.25" hidden="1" x14ac:dyDescent="0.2">
      <c r="A11" s="201">
        <v>1613</v>
      </c>
      <c r="B11" s="331"/>
      <c r="C11" s="88"/>
      <c r="D11" s="203">
        <v>14722</v>
      </c>
      <c r="E11" s="195"/>
      <c r="F11" s="195"/>
      <c r="G11" s="195"/>
      <c r="H11" s="195"/>
      <c r="I11" s="195"/>
      <c r="J11" s="231">
        <v>17073</v>
      </c>
      <c r="K11" s="252">
        <v>33408</v>
      </c>
      <c r="L11" s="88"/>
      <c r="M11" s="87">
        <v>2002</v>
      </c>
    </row>
    <row r="12" spans="1:13" s="65" customFormat="1" ht="11.25" hidden="1" x14ac:dyDescent="0.2">
      <c r="A12" s="201">
        <v>1995.4318000000001</v>
      </c>
      <c r="B12" s="331"/>
      <c r="C12" s="88"/>
      <c r="D12" s="203">
        <v>14062.295400000001</v>
      </c>
      <c r="E12" s="195"/>
      <c r="F12" s="195"/>
      <c r="G12" s="195"/>
      <c r="H12" s="195"/>
      <c r="I12" s="195"/>
      <c r="J12" s="231">
        <v>18804.9709</v>
      </c>
      <c r="K12" s="252">
        <v>34971.617400000003</v>
      </c>
      <c r="L12" s="88"/>
      <c r="M12" s="87">
        <v>2003</v>
      </c>
    </row>
    <row r="13" spans="1:13" s="65" customFormat="1" ht="11.25" hidden="1" x14ac:dyDescent="0.2">
      <c r="A13" s="201">
        <v>2110.4018999999998</v>
      </c>
      <c r="B13" s="331"/>
      <c r="C13" s="88"/>
      <c r="D13" s="203">
        <v>14449.531499999999</v>
      </c>
      <c r="E13" s="195"/>
      <c r="F13" s="195"/>
      <c r="G13" s="195"/>
      <c r="H13" s="195"/>
      <c r="I13" s="195"/>
      <c r="J13" s="231">
        <v>20538.134599999998</v>
      </c>
      <c r="K13" s="252">
        <v>37098.067999999999</v>
      </c>
      <c r="L13" s="88"/>
      <c r="M13" s="87">
        <v>2004</v>
      </c>
    </row>
    <row r="14" spans="1:13" s="65" customFormat="1" ht="11.25" hidden="1" x14ac:dyDescent="0.2">
      <c r="A14" s="201">
        <v>2494.0769999999998</v>
      </c>
      <c r="B14" s="331"/>
      <c r="C14" s="88"/>
      <c r="D14" s="203">
        <v>14227.938000000002</v>
      </c>
      <c r="E14" s="195"/>
      <c r="F14" s="195"/>
      <c r="G14" s="195"/>
      <c r="H14" s="195"/>
      <c r="I14" s="195"/>
      <c r="J14" s="231">
        <v>20990.6335</v>
      </c>
      <c r="K14" s="252">
        <v>37712.648499999996</v>
      </c>
      <c r="L14" s="88"/>
      <c r="M14" s="87">
        <v>2005</v>
      </c>
    </row>
    <row r="15" spans="1:13" s="65" customFormat="1" ht="11.25" hidden="1" x14ac:dyDescent="0.2">
      <c r="A15" s="201">
        <v>1908.335</v>
      </c>
      <c r="B15" s="331"/>
      <c r="C15" s="88"/>
      <c r="D15" s="203">
        <v>15144</v>
      </c>
      <c r="E15" s="195"/>
      <c r="F15" s="195"/>
      <c r="G15" s="195"/>
      <c r="H15" s="195"/>
      <c r="I15" s="195"/>
      <c r="J15" s="231">
        <v>19202</v>
      </c>
      <c r="K15" s="252">
        <v>36253.334999999999</v>
      </c>
      <c r="L15" s="88"/>
      <c r="M15" s="87">
        <v>2006</v>
      </c>
    </row>
    <row r="16" spans="1:13" s="65" customFormat="1" ht="11.25" hidden="1" x14ac:dyDescent="0.2">
      <c r="A16" s="201">
        <v>2534.6790000000001</v>
      </c>
      <c r="B16" s="331"/>
      <c r="C16" s="88"/>
      <c r="D16" s="203">
        <v>16231.865000000002</v>
      </c>
      <c r="E16" s="195"/>
      <c r="F16" s="195"/>
      <c r="G16" s="195"/>
      <c r="H16" s="195"/>
      <c r="I16" s="195"/>
      <c r="J16" s="231">
        <v>21456.940999999999</v>
      </c>
      <c r="K16" s="252">
        <v>40223.485000000008</v>
      </c>
      <c r="L16" s="88"/>
      <c r="M16" s="87">
        <v>2007</v>
      </c>
    </row>
    <row r="17" spans="1:16" s="65" customFormat="1" ht="11.25" hidden="1" x14ac:dyDescent="0.2">
      <c r="A17" s="201">
        <v>2577.268</v>
      </c>
      <c r="B17" s="331"/>
      <c r="C17" s="88"/>
      <c r="D17" s="203">
        <v>15851.521000000001</v>
      </c>
      <c r="E17" s="195">
        <v>232.33588</v>
      </c>
      <c r="F17" s="195"/>
      <c r="G17" s="195"/>
      <c r="H17" s="195"/>
      <c r="I17" s="195"/>
      <c r="J17" s="231">
        <v>22560.377</v>
      </c>
      <c r="K17" s="252">
        <v>40989.165999999997</v>
      </c>
      <c r="L17" s="88"/>
      <c r="M17" s="87">
        <v>2008</v>
      </c>
    </row>
    <row r="18" spans="1:16" s="65" customFormat="1" ht="11.25" hidden="1" x14ac:dyDescent="0.2">
      <c r="A18" s="201">
        <v>1759.2329999999999</v>
      </c>
      <c r="B18" s="331"/>
      <c r="C18" s="88"/>
      <c r="D18" s="203">
        <v>14915.267</v>
      </c>
      <c r="E18" s="195">
        <v>455.90269999999998</v>
      </c>
      <c r="F18" s="195"/>
      <c r="G18" s="195"/>
      <c r="H18" s="195"/>
      <c r="I18" s="195"/>
      <c r="J18" s="231">
        <v>19812.792000000001</v>
      </c>
      <c r="K18" s="252">
        <v>36943.1947</v>
      </c>
      <c r="L18" s="88"/>
      <c r="M18" s="87">
        <v>2009</v>
      </c>
    </row>
    <row r="19" spans="1:16" s="65" customFormat="1" ht="11.25" hidden="1" x14ac:dyDescent="0.2">
      <c r="A19" s="201">
        <v>2321.0079999999998</v>
      </c>
      <c r="B19" s="331"/>
      <c r="C19" s="86"/>
      <c r="D19" s="203">
        <v>18535.004000000001</v>
      </c>
      <c r="E19" s="195">
        <v>719.05799000000002</v>
      </c>
      <c r="F19" s="195"/>
      <c r="G19" s="195"/>
      <c r="H19" s="195"/>
      <c r="I19" s="195"/>
      <c r="J19" s="231">
        <v>21837.4784</v>
      </c>
      <c r="K19" s="252">
        <v>43412.548389999996</v>
      </c>
      <c r="L19" s="88"/>
      <c r="M19" s="87">
        <v>2010</v>
      </c>
    </row>
    <row r="20" spans="1:16" s="65" customFormat="1" ht="11.25" hidden="1" x14ac:dyDescent="0.2">
      <c r="A20" s="201">
        <v>2280.4449</v>
      </c>
      <c r="B20" s="331"/>
      <c r="C20" s="86"/>
      <c r="D20" s="203">
        <v>19215.433799999999</v>
      </c>
      <c r="E20" s="195">
        <v>1025.3604</v>
      </c>
      <c r="F20" s="195"/>
      <c r="G20" s="195"/>
      <c r="H20" s="195"/>
      <c r="I20" s="195"/>
      <c r="J20" s="231">
        <v>22552.240900000001</v>
      </c>
      <c r="K20" s="252">
        <v>45073.479999999996</v>
      </c>
      <c r="L20" s="88"/>
      <c r="M20" s="87">
        <v>2011</v>
      </c>
    </row>
    <row r="21" spans="1:16" s="65" customFormat="1" ht="11.25" hidden="1" x14ac:dyDescent="0.2">
      <c r="A21" s="201">
        <v>1561.779</v>
      </c>
      <c r="B21" s="331"/>
      <c r="C21" s="86"/>
      <c r="D21" s="203">
        <v>19614.414400000001</v>
      </c>
      <c r="E21" s="195">
        <v>1302.2739999999999</v>
      </c>
      <c r="F21" s="195"/>
      <c r="G21" s="195"/>
      <c r="H21" s="195"/>
      <c r="I21" s="195"/>
      <c r="J21" s="231">
        <v>23988.1162</v>
      </c>
      <c r="K21" s="252">
        <v>46466.583599999998</v>
      </c>
      <c r="L21" s="88"/>
      <c r="M21" s="87">
        <v>2012</v>
      </c>
    </row>
    <row r="22" spans="1:16" s="65" customFormat="1" ht="11.25" hidden="1" x14ac:dyDescent="0.2">
      <c r="A22" s="201">
        <v>2081.927702</v>
      </c>
      <c r="B22" s="331"/>
      <c r="C22" s="86"/>
      <c r="D22" s="203">
        <v>19213.560299999997</v>
      </c>
      <c r="E22" s="195">
        <v>1666.8920000000003</v>
      </c>
      <c r="F22" s="195"/>
      <c r="G22" s="195"/>
      <c r="H22" s="195"/>
      <c r="I22" s="195"/>
      <c r="J22" s="231">
        <v>25787.837700000004</v>
      </c>
      <c r="K22" s="252">
        <v>48750.217702000002</v>
      </c>
      <c r="L22" s="88"/>
      <c r="M22" s="87">
        <v>2013</v>
      </c>
    </row>
    <row r="23" spans="1:16" s="65" customFormat="1" ht="11.25" x14ac:dyDescent="0.2">
      <c r="A23" s="201">
        <v>2310.2189677692309</v>
      </c>
      <c r="B23" s="331"/>
      <c r="C23" s="86"/>
      <c r="D23" s="203">
        <v>21554.738701999999</v>
      </c>
      <c r="E23" s="195">
        <v>1930.758</v>
      </c>
      <c r="F23" s="195"/>
      <c r="G23" s="195"/>
      <c r="H23" s="195"/>
      <c r="I23" s="195"/>
      <c r="J23" s="231">
        <v>27500.156901000002</v>
      </c>
      <c r="K23" s="252">
        <v>53295.872570769236</v>
      </c>
      <c r="L23" s="88"/>
      <c r="M23" s="87">
        <v>2014</v>
      </c>
    </row>
    <row r="24" spans="1:16" s="65" customFormat="1" ht="11.25" x14ac:dyDescent="0.2">
      <c r="A24" s="201">
        <v>2103.1847218362882</v>
      </c>
      <c r="B24" s="331"/>
      <c r="C24" s="86"/>
      <c r="D24" s="203">
        <v>22273.484851999998</v>
      </c>
      <c r="E24" s="195">
        <v>2135.8130000000001</v>
      </c>
      <c r="F24" s="195"/>
      <c r="G24" s="195"/>
      <c r="H24" s="195"/>
      <c r="I24" s="195"/>
      <c r="J24" s="231">
        <v>27259.427251000005</v>
      </c>
      <c r="K24" s="252">
        <v>53771.909824836286</v>
      </c>
      <c r="L24" s="88"/>
      <c r="M24" s="87">
        <v>2015</v>
      </c>
    </row>
    <row r="25" spans="1:16" s="65" customFormat="1" ht="11.25" x14ac:dyDescent="0.2">
      <c r="A25" s="201">
        <v>2109.4162609999998</v>
      </c>
      <c r="B25" s="331"/>
      <c r="C25" s="86"/>
      <c r="D25" s="203">
        <v>24086.417921</v>
      </c>
      <c r="E25" s="195">
        <v>2825.5219999999999</v>
      </c>
      <c r="F25" s="195"/>
      <c r="G25" s="195"/>
      <c r="H25" s="195"/>
      <c r="I25" s="195"/>
      <c r="J25" s="231">
        <v>28026.569905000004</v>
      </c>
      <c r="K25" s="252">
        <v>57047.926087</v>
      </c>
      <c r="L25" s="88"/>
      <c r="M25" s="87">
        <v>2016</v>
      </c>
    </row>
    <row r="26" spans="1:16" s="65" customFormat="1" ht="11.25" x14ac:dyDescent="0.2">
      <c r="A26" s="201">
        <v>2171.4550749999999</v>
      </c>
      <c r="B26" s="331"/>
      <c r="C26" s="86"/>
      <c r="D26" s="203">
        <v>23584.549085999999</v>
      </c>
      <c r="E26" s="195">
        <v>2928.2534403333329</v>
      </c>
      <c r="F26" s="195"/>
      <c r="G26" s="195"/>
      <c r="H26" s="195"/>
      <c r="I26" s="195"/>
      <c r="J26" s="231">
        <v>29251.804170000003</v>
      </c>
      <c r="K26" s="252">
        <v>57936.061771333334</v>
      </c>
      <c r="L26" s="88"/>
      <c r="M26" s="87">
        <v>2017</v>
      </c>
    </row>
    <row r="27" spans="1:16" s="65" customFormat="1" ht="11.25" x14ac:dyDescent="0.2">
      <c r="A27" s="201">
        <v>2290.0649999999996</v>
      </c>
      <c r="B27" s="331"/>
      <c r="C27" s="86"/>
      <c r="D27" s="203">
        <v>23475.047113000001</v>
      </c>
      <c r="E27" s="195">
        <v>3418.8220000000001</v>
      </c>
      <c r="F27" s="195"/>
      <c r="G27" s="195"/>
      <c r="H27" s="195"/>
      <c r="I27" s="195"/>
      <c r="J27" s="231">
        <v>29531.032339000005</v>
      </c>
      <c r="K27" s="252">
        <v>58714.966452000001</v>
      </c>
      <c r="L27" s="88"/>
      <c r="M27" s="87">
        <v>2018</v>
      </c>
    </row>
    <row r="28" spans="1:16" s="65" customFormat="1" ht="11.25" x14ac:dyDescent="0.2">
      <c r="A28" s="201">
        <v>1944.7170999999998</v>
      </c>
      <c r="B28" s="331"/>
      <c r="C28" s="86"/>
      <c r="D28" s="203">
        <v>23589.920326000003</v>
      </c>
      <c r="E28" s="195">
        <v>3074.337023</v>
      </c>
      <c r="F28" s="195"/>
      <c r="G28" s="195"/>
      <c r="H28" s="195"/>
      <c r="I28" s="195"/>
      <c r="J28" s="231">
        <v>29084.26626</v>
      </c>
      <c r="K28" s="252">
        <v>57693.240708999998</v>
      </c>
      <c r="L28" s="88"/>
      <c r="M28" s="87">
        <v>2019</v>
      </c>
    </row>
    <row r="29" spans="1:16" s="65" customFormat="1" ht="11.25" x14ac:dyDescent="0.2">
      <c r="A29" s="201">
        <v>2224.5709999999999</v>
      </c>
      <c r="B29" s="331"/>
      <c r="C29" s="86"/>
      <c r="D29" s="203">
        <v>23973.646384</v>
      </c>
      <c r="E29" s="195">
        <v>4456.55249</v>
      </c>
      <c r="F29" s="195"/>
      <c r="G29" s="195"/>
      <c r="H29" s="195"/>
      <c r="I29" s="195"/>
      <c r="J29" s="231">
        <v>26797.953678999998</v>
      </c>
      <c r="K29" s="252">
        <v>57452.723553000003</v>
      </c>
      <c r="L29" s="88"/>
      <c r="M29" s="87">
        <v>2020</v>
      </c>
    </row>
    <row r="30" spans="1:16" s="65" customFormat="1" ht="11.25" x14ac:dyDescent="0.2">
      <c r="A30" s="271">
        <f>A275+A279+A283+A287</f>
        <v>1843.0538999999999</v>
      </c>
      <c r="B30" s="217">
        <f>B275+B279+B283+B287</f>
        <v>898.86152000000004</v>
      </c>
      <c r="C30" s="217">
        <f>C275+C279+C283+C287</f>
        <v>48.815600000000003</v>
      </c>
      <c r="D30" s="270">
        <f t="shared" ref="D30:K30" si="0">D275+D279+D283+D287</f>
        <v>23587.756899999997</v>
      </c>
      <c r="E30" s="217">
        <f t="shared" si="0"/>
        <v>4805.6542110000009</v>
      </c>
      <c r="F30" s="217">
        <f t="shared" si="0"/>
        <v>75.215000000000003</v>
      </c>
      <c r="G30" s="217">
        <f t="shared" si="0"/>
        <v>821.79300000000012</v>
      </c>
      <c r="H30" s="217">
        <f t="shared" si="0"/>
        <v>6624.5927099999999</v>
      </c>
      <c r="I30" s="217">
        <f t="shared" si="0"/>
        <v>3819.1642959999999</v>
      </c>
      <c r="J30" s="351">
        <f t="shared" si="0"/>
        <v>17239.431499999999</v>
      </c>
      <c r="K30" s="278">
        <f t="shared" si="0"/>
        <v>59764.338637000001</v>
      </c>
      <c r="L30" s="154"/>
      <c r="M30" s="151">
        <v>2021</v>
      </c>
      <c r="N30" s="349"/>
    </row>
    <row r="31" spans="1:16" s="65" customFormat="1" ht="11.25" x14ac:dyDescent="0.2">
      <c r="A31" s="266">
        <f t="shared" ref="A31:J31" si="1">A292+A296+A300+A304</f>
        <v>1855.0793999999999</v>
      </c>
      <c r="B31" s="361">
        <f t="shared" si="1"/>
        <v>1094.7028519999999</v>
      </c>
      <c r="C31" s="217">
        <f t="shared" si="1"/>
        <v>1205.1390626000002</v>
      </c>
      <c r="D31" s="270">
        <f t="shared" si="1"/>
        <v>21734.584999999999</v>
      </c>
      <c r="E31" s="217">
        <f t="shared" si="1"/>
        <v>4456.6139999999996</v>
      </c>
      <c r="F31" s="361">
        <f>F292+F296+F300+F304</f>
        <v>3904.8638790000005</v>
      </c>
      <c r="G31" s="217">
        <f t="shared" si="1"/>
        <v>863.95100000000014</v>
      </c>
      <c r="H31" s="217">
        <f t="shared" si="1"/>
        <v>7876.3557749999991</v>
      </c>
      <c r="I31" s="217">
        <f t="shared" si="1"/>
        <v>3479.1052549999999</v>
      </c>
      <c r="J31" s="351">
        <f t="shared" si="1"/>
        <v>14242.8567</v>
      </c>
      <c r="K31" s="278">
        <f>K292+K296+K300+K304</f>
        <v>60713.252923599997</v>
      </c>
      <c r="L31" s="154"/>
      <c r="M31" s="151">
        <v>2022</v>
      </c>
      <c r="N31" s="353"/>
      <c r="O31" s="353"/>
    </row>
    <row r="32" spans="1:16" s="65" customFormat="1" ht="11.25" x14ac:dyDescent="0.2">
      <c r="A32" s="271">
        <f t="shared" ref="A32:I32" si="2">A309+A313+A317+A321</f>
        <v>1862.338</v>
      </c>
      <c r="B32" s="361">
        <f t="shared" si="2"/>
        <v>1122.740131</v>
      </c>
      <c r="C32" s="217">
        <f t="shared" si="2"/>
        <v>4282.4015797376196</v>
      </c>
      <c r="D32" s="270">
        <f t="shared" si="2"/>
        <v>19000.532200000001</v>
      </c>
      <c r="E32" s="217">
        <f>E309+E313+E317+E321</f>
        <v>3698.0919999999996</v>
      </c>
      <c r="F32" s="217">
        <f>F309+F313+F317+F321</f>
        <v>8589.2969869999997</v>
      </c>
      <c r="G32" s="217">
        <f t="shared" si="2"/>
        <v>843.69600000000003</v>
      </c>
      <c r="H32" s="217">
        <f t="shared" si="2"/>
        <v>7140.3347999999996</v>
      </c>
      <c r="I32" s="217">
        <f t="shared" si="2"/>
        <v>2463.7512360000001</v>
      </c>
      <c r="J32" s="351">
        <f>J309+J313+J317+J321</f>
        <v>11662.295900000001</v>
      </c>
      <c r="K32" s="374">
        <f>K309+K313+K317+K321</f>
        <v>60665.478833737616</v>
      </c>
      <c r="L32" s="348"/>
      <c r="M32" s="151">
        <v>2023</v>
      </c>
      <c r="N32" s="349"/>
      <c r="O32" s="353"/>
      <c r="P32" s="362"/>
    </row>
    <row r="33" spans="1:17" s="65" customFormat="1" ht="11.25" x14ac:dyDescent="0.2">
      <c r="A33" s="384">
        <f>A326+A330+A334+A338</f>
        <v>668.84100000000001</v>
      </c>
      <c r="B33" s="361">
        <f t="shared" ref="B33:J33" si="3">B326+B330+B334+B338</f>
        <v>754.70234300000004</v>
      </c>
      <c r="C33" s="217">
        <f t="shared" si="3"/>
        <v>5851.7867638920025</v>
      </c>
      <c r="D33" s="270">
        <f t="shared" si="3"/>
        <v>19699.602299999999</v>
      </c>
      <c r="E33" s="217">
        <f t="shared" si="3"/>
        <v>3388.7848920000001</v>
      </c>
      <c r="F33" s="217">
        <f t="shared" si="3"/>
        <v>5249.5871239999997</v>
      </c>
      <c r="G33" s="217">
        <f t="shared" si="3"/>
        <v>664.94099999999992</v>
      </c>
      <c r="H33" s="217">
        <f t="shared" si="3"/>
        <v>5779.2243790000002</v>
      </c>
      <c r="I33" s="217">
        <f t="shared" si="3"/>
        <v>2356.4702159999997</v>
      </c>
      <c r="J33" s="270">
        <f t="shared" si="3"/>
        <v>9908.7160999999996</v>
      </c>
      <c r="K33" s="374">
        <f>K326+K330+K334+K338</f>
        <v>54322.656117892002</v>
      </c>
      <c r="L33" s="348"/>
      <c r="M33" s="151">
        <v>2024</v>
      </c>
      <c r="N33" s="353"/>
      <c r="O33" s="353"/>
      <c r="P33" s="353"/>
      <c r="Q33" s="376"/>
    </row>
    <row r="34" spans="1:17" s="65" customFormat="1" ht="11.25" x14ac:dyDescent="0.2">
      <c r="A34" s="383">
        <f t="shared" ref="A34:J34" si="4">A343+A347+A348+A349</f>
        <v>320.21899999999999</v>
      </c>
      <c r="B34" s="375">
        <f t="shared" si="4"/>
        <v>559.27564400000006</v>
      </c>
      <c r="C34" s="216">
        <f t="shared" si="4"/>
        <v>4632.5952649999999</v>
      </c>
      <c r="D34" s="267">
        <f t="shared" si="4"/>
        <v>13949.189999999999</v>
      </c>
      <c r="E34" s="216">
        <f t="shared" si="4"/>
        <v>2179.0176759999999</v>
      </c>
      <c r="F34" s="216">
        <f t="shared" si="4"/>
        <v>3814.0640439999997</v>
      </c>
      <c r="G34" s="216">
        <f t="shared" si="4"/>
        <v>387.23599999999999</v>
      </c>
      <c r="H34" s="216">
        <f t="shared" si="4"/>
        <v>2390.0027240000004</v>
      </c>
      <c r="I34" s="216">
        <f t="shared" si="4"/>
        <v>1624.667696</v>
      </c>
      <c r="J34" s="268">
        <f t="shared" si="4"/>
        <v>7490.8139000000001</v>
      </c>
      <c r="K34" s="372">
        <f>K343+K347+K348+K349</f>
        <v>37347.081949000007</v>
      </c>
      <c r="L34" s="269" t="s">
        <v>230</v>
      </c>
      <c r="M34" s="135">
        <v>2025</v>
      </c>
      <c r="N34" s="353"/>
      <c r="O34" s="353"/>
      <c r="P34" s="353"/>
      <c r="Q34" s="376"/>
    </row>
    <row r="35" spans="1:17" s="65" customFormat="1" ht="11.25" customHeight="1" x14ac:dyDescent="0.2">
      <c r="A35" s="380"/>
      <c r="B35" s="331"/>
      <c r="C35" s="381"/>
      <c r="D35" s="382"/>
      <c r="E35" s="195"/>
      <c r="F35" s="379"/>
      <c r="G35" s="379"/>
      <c r="H35" s="195"/>
      <c r="I35" s="195"/>
      <c r="J35" s="231"/>
      <c r="K35" s="252"/>
      <c r="L35" s="88"/>
      <c r="M35" s="87"/>
      <c r="N35" s="353"/>
      <c r="O35" s="353"/>
      <c r="P35" s="362"/>
    </row>
    <row r="36" spans="1:17" s="65" customFormat="1" ht="11.25" hidden="1" x14ac:dyDescent="0.2">
      <c r="A36" s="201">
        <v>653.99400000000003</v>
      </c>
      <c r="B36" s="331"/>
      <c r="C36" s="86"/>
      <c r="D36" s="203">
        <v>3564.1179999999999</v>
      </c>
      <c r="E36" s="195"/>
      <c r="F36" s="195"/>
      <c r="G36" s="195"/>
      <c r="H36" s="195"/>
      <c r="I36" s="195"/>
      <c r="J36" s="231">
        <v>4867.1175000000003</v>
      </c>
      <c r="K36" s="252">
        <v>9085.2294999999995</v>
      </c>
      <c r="L36" s="88" t="s">
        <v>53</v>
      </c>
      <c r="M36" s="87">
        <v>2005</v>
      </c>
    </row>
    <row r="37" spans="1:17" s="65" customFormat="1" ht="12" hidden="1" customHeight="1" x14ac:dyDescent="0.2">
      <c r="A37" s="201">
        <v>477.06700000000001</v>
      </c>
      <c r="B37" s="331"/>
      <c r="C37" s="86"/>
      <c r="D37" s="203">
        <v>3807.2780000000002</v>
      </c>
      <c r="E37" s="195"/>
      <c r="F37" s="195"/>
      <c r="G37" s="195"/>
      <c r="H37" s="195"/>
      <c r="I37" s="195"/>
      <c r="J37" s="231">
        <v>5645.1270000000004</v>
      </c>
      <c r="K37" s="252">
        <v>9929.4719999999998</v>
      </c>
      <c r="L37" s="88" t="s">
        <v>54</v>
      </c>
      <c r="M37" s="87"/>
    </row>
    <row r="38" spans="1:17" s="65" customFormat="1" ht="12" hidden="1" customHeight="1" x14ac:dyDescent="0.2">
      <c r="A38" s="201">
        <v>728.32099999999991</v>
      </c>
      <c r="B38" s="331"/>
      <c r="C38" s="86"/>
      <c r="D38" s="203">
        <v>3498.0929999999998</v>
      </c>
      <c r="E38" s="195"/>
      <c r="F38" s="195"/>
      <c r="G38" s="195"/>
      <c r="H38" s="195"/>
      <c r="I38" s="195"/>
      <c r="J38" s="231">
        <v>5398.75</v>
      </c>
      <c r="K38" s="252">
        <v>9625.1639999999989</v>
      </c>
      <c r="L38" s="88" t="s">
        <v>55</v>
      </c>
      <c r="M38" s="87"/>
    </row>
    <row r="39" spans="1:17" s="65" customFormat="1" ht="11.25" hidden="1" customHeight="1" x14ac:dyDescent="0.2">
      <c r="A39" s="201">
        <v>634.69499999999994</v>
      </c>
      <c r="B39" s="331"/>
      <c r="C39" s="86"/>
      <c r="D39" s="203">
        <v>3358.4489999999996</v>
      </c>
      <c r="E39" s="195"/>
      <c r="F39" s="195"/>
      <c r="G39" s="195"/>
      <c r="H39" s="195"/>
      <c r="I39" s="195"/>
      <c r="J39" s="231">
        <v>5079.6390000000001</v>
      </c>
      <c r="K39" s="252">
        <v>9072.7829999999994</v>
      </c>
      <c r="L39" s="88" t="s">
        <v>56</v>
      </c>
      <c r="M39" s="87"/>
    </row>
    <row r="40" spans="1:17" s="65" customFormat="1" ht="9.75" hidden="1" customHeight="1" x14ac:dyDescent="0.2">
      <c r="A40" s="201"/>
      <c r="B40" s="331"/>
      <c r="C40" s="86"/>
      <c r="D40" s="203"/>
      <c r="E40" s="195"/>
      <c r="F40" s="195"/>
      <c r="G40" s="195"/>
      <c r="H40" s="195"/>
      <c r="I40" s="195"/>
      <c r="J40" s="231"/>
      <c r="K40" s="252"/>
      <c r="L40" s="88"/>
      <c r="M40" s="87"/>
    </row>
    <row r="41" spans="1:17" s="65" customFormat="1" ht="11.25" hidden="1" x14ac:dyDescent="0.2">
      <c r="A41" s="201">
        <v>302.33499999999998</v>
      </c>
      <c r="B41" s="331"/>
      <c r="C41" s="86"/>
      <c r="D41" s="203">
        <v>3412</v>
      </c>
      <c r="E41" s="195"/>
      <c r="F41" s="195"/>
      <c r="G41" s="195"/>
      <c r="H41" s="195"/>
      <c r="I41" s="195"/>
      <c r="J41" s="231">
        <v>4941</v>
      </c>
      <c r="K41" s="252">
        <v>8654.3349999999991</v>
      </c>
      <c r="L41" s="88" t="s">
        <v>53</v>
      </c>
      <c r="M41" s="87">
        <v>2006</v>
      </c>
    </row>
    <row r="42" spans="1:17" s="65" customFormat="1" ht="11.25" hidden="1" x14ac:dyDescent="0.2">
      <c r="A42" s="201">
        <v>435</v>
      </c>
      <c r="B42" s="331"/>
      <c r="C42" s="86"/>
      <c r="D42" s="203">
        <v>3668</v>
      </c>
      <c r="E42" s="195"/>
      <c r="F42" s="195"/>
      <c r="G42" s="195"/>
      <c r="H42" s="195"/>
      <c r="I42" s="195"/>
      <c r="J42" s="231">
        <v>5525</v>
      </c>
      <c r="K42" s="252">
        <v>9628</v>
      </c>
      <c r="L42" s="88" t="s">
        <v>54</v>
      </c>
      <c r="M42" s="87"/>
    </row>
    <row r="43" spans="1:17" s="65" customFormat="1" ht="11.25" hidden="1" x14ac:dyDescent="0.2">
      <c r="A43" s="201">
        <v>449</v>
      </c>
      <c r="B43" s="331"/>
      <c r="C43" s="86"/>
      <c r="D43" s="203">
        <v>4270</v>
      </c>
      <c r="E43" s="195"/>
      <c r="F43" s="195"/>
      <c r="G43" s="195"/>
      <c r="H43" s="195"/>
      <c r="I43" s="195"/>
      <c r="J43" s="231">
        <v>3934</v>
      </c>
      <c r="K43" s="252">
        <v>8653</v>
      </c>
      <c r="L43" s="88" t="s">
        <v>55</v>
      </c>
      <c r="M43" s="87"/>
    </row>
    <row r="44" spans="1:17" s="65" customFormat="1" ht="11.25" hidden="1" x14ac:dyDescent="0.2">
      <c r="A44" s="201">
        <v>722</v>
      </c>
      <c r="B44" s="331"/>
      <c r="C44" s="86"/>
      <c r="D44" s="203">
        <v>3794</v>
      </c>
      <c r="E44" s="195"/>
      <c r="F44" s="195"/>
      <c r="G44" s="195"/>
      <c r="H44" s="195"/>
      <c r="I44" s="195"/>
      <c r="J44" s="231">
        <v>4802</v>
      </c>
      <c r="K44" s="252">
        <v>9318</v>
      </c>
      <c r="L44" s="88" t="s">
        <v>56</v>
      </c>
      <c r="M44" s="87"/>
    </row>
    <row r="45" spans="1:17" s="65" customFormat="1" ht="11.25" hidden="1" x14ac:dyDescent="0.2">
      <c r="A45" s="201"/>
      <c r="B45" s="331"/>
      <c r="C45" s="86"/>
      <c r="D45" s="203"/>
      <c r="E45" s="195"/>
      <c r="F45" s="195"/>
      <c r="G45" s="195"/>
      <c r="H45" s="195"/>
      <c r="I45" s="195"/>
      <c r="J45" s="231"/>
      <c r="K45" s="252"/>
      <c r="L45" s="88"/>
      <c r="M45" s="87"/>
    </row>
    <row r="46" spans="1:17" s="65" customFormat="1" ht="11.25" hidden="1" x14ac:dyDescent="0.2">
      <c r="A46" s="201">
        <v>558.78600000000006</v>
      </c>
      <c r="B46" s="331"/>
      <c r="C46" s="86"/>
      <c r="D46" s="203">
        <v>3672.3780000000002</v>
      </c>
      <c r="E46" s="195"/>
      <c r="F46" s="195"/>
      <c r="G46" s="195"/>
      <c r="H46" s="195"/>
      <c r="I46" s="195"/>
      <c r="J46" s="231">
        <v>5197.7240000000002</v>
      </c>
      <c r="K46" s="252">
        <v>9428.8880000000008</v>
      </c>
      <c r="L46" s="88" t="s">
        <v>53</v>
      </c>
      <c r="M46" s="87">
        <v>2007</v>
      </c>
    </row>
    <row r="47" spans="1:17" s="65" customFormat="1" ht="11.25" hidden="1" x14ac:dyDescent="0.2">
      <c r="A47" s="201">
        <v>559.93799999999999</v>
      </c>
      <c r="B47" s="331"/>
      <c r="C47" s="86"/>
      <c r="D47" s="203">
        <v>4157.7710000000006</v>
      </c>
      <c r="E47" s="195"/>
      <c r="F47" s="195"/>
      <c r="G47" s="195"/>
      <c r="H47" s="195"/>
      <c r="I47" s="195"/>
      <c r="J47" s="231">
        <v>5308.9230000000007</v>
      </c>
      <c r="K47" s="252">
        <v>10026.632000000001</v>
      </c>
      <c r="L47" s="88" t="s">
        <v>54</v>
      </c>
      <c r="M47" s="87"/>
    </row>
    <row r="48" spans="1:17" s="65" customFormat="1" ht="11.25" hidden="1" x14ac:dyDescent="0.2">
      <c r="A48" s="201">
        <v>746.75700000000006</v>
      </c>
      <c r="B48" s="331"/>
      <c r="C48" s="86"/>
      <c r="D48" s="203">
        <v>3986.1890000000003</v>
      </c>
      <c r="E48" s="195"/>
      <c r="F48" s="195"/>
      <c r="G48" s="195"/>
      <c r="H48" s="195"/>
      <c r="I48" s="195"/>
      <c r="J48" s="231">
        <v>5270.6170000000002</v>
      </c>
      <c r="K48" s="252">
        <v>10003.563</v>
      </c>
      <c r="L48" s="88" t="s">
        <v>55</v>
      </c>
      <c r="M48" s="87"/>
    </row>
    <row r="49" spans="1:13" s="65" customFormat="1" ht="11.25" hidden="1" x14ac:dyDescent="0.2">
      <c r="A49" s="201">
        <v>669.19799999999998</v>
      </c>
      <c r="B49" s="331"/>
      <c r="C49" s="86"/>
      <c r="D49" s="203">
        <v>4415.527</v>
      </c>
      <c r="E49" s="195"/>
      <c r="F49" s="195"/>
      <c r="G49" s="195"/>
      <c r="H49" s="195"/>
      <c r="I49" s="195"/>
      <c r="J49" s="231">
        <v>5679.6769999999997</v>
      </c>
      <c r="K49" s="252">
        <v>10764.402</v>
      </c>
      <c r="L49" s="88" t="s">
        <v>56</v>
      </c>
      <c r="M49" s="87"/>
    </row>
    <row r="50" spans="1:13" s="65" customFormat="1" ht="11.25" hidden="1" x14ac:dyDescent="0.2">
      <c r="A50" s="201"/>
      <c r="B50" s="331"/>
      <c r="C50" s="86"/>
      <c r="D50" s="203"/>
      <c r="E50" s="195"/>
      <c r="F50" s="195"/>
      <c r="G50" s="195"/>
      <c r="H50" s="195"/>
      <c r="I50" s="195"/>
      <c r="J50" s="231"/>
      <c r="K50" s="252"/>
      <c r="L50" s="88"/>
      <c r="M50" s="87"/>
    </row>
    <row r="51" spans="1:13" s="65" customFormat="1" ht="11.25" hidden="1" x14ac:dyDescent="0.2">
      <c r="A51" s="201">
        <v>268.93399999999997</v>
      </c>
      <c r="B51" s="331"/>
      <c r="C51" s="86"/>
      <c r="D51" s="203">
        <v>1222.1399999999999</v>
      </c>
      <c r="E51" s="195"/>
      <c r="F51" s="195"/>
      <c r="G51" s="195"/>
      <c r="H51" s="195"/>
      <c r="I51" s="195"/>
      <c r="J51" s="231">
        <v>1856.057</v>
      </c>
      <c r="K51" s="252">
        <v>3347.1309999999999</v>
      </c>
      <c r="L51" s="88" t="s">
        <v>78</v>
      </c>
      <c r="M51" s="87">
        <v>2008</v>
      </c>
    </row>
    <row r="52" spans="1:13" s="65" customFormat="1" ht="11.25" hidden="1" x14ac:dyDescent="0.2">
      <c r="A52" s="201">
        <v>201.19900000000001</v>
      </c>
      <c r="B52" s="331"/>
      <c r="C52" s="86"/>
      <c r="D52" s="203">
        <v>1471.8530000000001</v>
      </c>
      <c r="E52" s="195"/>
      <c r="F52" s="195"/>
      <c r="G52" s="195"/>
      <c r="H52" s="195"/>
      <c r="I52" s="195"/>
      <c r="J52" s="231">
        <v>2053.846</v>
      </c>
      <c r="K52" s="252">
        <v>3726.8980000000001</v>
      </c>
      <c r="L52" s="88" t="s">
        <v>79</v>
      </c>
      <c r="M52" s="87"/>
    </row>
    <row r="53" spans="1:13" s="65" customFormat="1" ht="11.25" hidden="1" x14ac:dyDescent="0.2">
      <c r="A53" s="201">
        <v>257.78500000000003</v>
      </c>
      <c r="B53" s="331"/>
      <c r="C53" s="86"/>
      <c r="D53" s="203">
        <v>1536.7629999999999</v>
      </c>
      <c r="E53" s="195"/>
      <c r="F53" s="195"/>
      <c r="G53" s="195"/>
      <c r="H53" s="195"/>
      <c r="I53" s="195"/>
      <c r="J53" s="231">
        <v>2022.991</v>
      </c>
      <c r="K53" s="252">
        <v>3817.5389999999998</v>
      </c>
      <c r="L53" s="88" t="s">
        <v>80</v>
      </c>
      <c r="M53" s="87"/>
    </row>
    <row r="54" spans="1:13" s="65" customFormat="1" ht="11.25" hidden="1" x14ac:dyDescent="0.2">
      <c r="A54" s="201">
        <v>727.91800000000001</v>
      </c>
      <c r="B54" s="331"/>
      <c r="C54" s="86"/>
      <c r="D54" s="203">
        <v>4230.7559999999994</v>
      </c>
      <c r="E54" s="195"/>
      <c r="F54" s="195"/>
      <c r="G54" s="195"/>
      <c r="H54" s="195"/>
      <c r="I54" s="195"/>
      <c r="J54" s="231">
        <v>5932.8940000000002</v>
      </c>
      <c r="K54" s="252">
        <v>10891.567999999999</v>
      </c>
      <c r="L54" s="88" t="s">
        <v>53</v>
      </c>
      <c r="M54" s="87">
        <v>2008</v>
      </c>
    </row>
    <row r="55" spans="1:13" s="65" customFormat="1" ht="11.25" hidden="1" x14ac:dyDescent="0.2">
      <c r="A55" s="201">
        <v>236.261</v>
      </c>
      <c r="B55" s="331"/>
      <c r="C55" s="86"/>
      <c r="D55" s="203">
        <v>1444.498</v>
      </c>
      <c r="E55" s="195"/>
      <c r="F55" s="195"/>
      <c r="G55" s="195"/>
      <c r="H55" s="195"/>
      <c r="I55" s="195"/>
      <c r="J55" s="231">
        <v>2137.7449999999999</v>
      </c>
      <c r="K55" s="252">
        <v>3818.5039999999999</v>
      </c>
      <c r="L55" s="88" t="s">
        <v>68</v>
      </c>
      <c r="M55" s="87"/>
    </row>
    <row r="56" spans="1:13" s="65" customFormat="1" ht="11.25" hidden="1" x14ac:dyDescent="0.2">
      <c r="A56" s="201">
        <v>223.41</v>
      </c>
      <c r="B56" s="331"/>
      <c r="C56" s="86"/>
      <c r="D56" s="203">
        <v>1366.88</v>
      </c>
      <c r="E56" s="195"/>
      <c r="F56" s="195"/>
      <c r="G56" s="195"/>
      <c r="H56" s="195"/>
      <c r="I56" s="195"/>
      <c r="J56" s="231">
        <v>2005.8810000000001</v>
      </c>
      <c r="K56" s="252">
        <v>3596.1710000000003</v>
      </c>
      <c r="L56" s="88" t="s">
        <v>82</v>
      </c>
      <c r="M56" s="87"/>
    </row>
    <row r="57" spans="1:13" s="65" customFormat="1" ht="11.25" hidden="1" x14ac:dyDescent="0.2">
      <c r="A57" s="201">
        <v>265.50900000000001</v>
      </c>
      <c r="B57" s="331"/>
      <c r="C57" s="86"/>
      <c r="D57" s="203">
        <v>1437.048</v>
      </c>
      <c r="E57" s="195"/>
      <c r="F57" s="195"/>
      <c r="G57" s="195"/>
      <c r="H57" s="195"/>
      <c r="I57" s="195"/>
      <c r="J57" s="231">
        <v>2095.2130000000002</v>
      </c>
      <c r="K57" s="252">
        <v>3797.77</v>
      </c>
      <c r="L57" s="88" t="s">
        <v>83</v>
      </c>
      <c r="M57" s="87"/>
    </row>
    <row r="58" spans="1:13" s="65" customFormat="1" ht="11.25" hidden="1" x14ac:dyDescent="0.2">
      <c r="A58" s="201">
        <v>725.18000000000006</v>
      </c>
      <c r="B58" s="331"/>
      <c r="C58" s="86"/>
      <c r="D58" s="203">
        <v>4248.4260000000004</v>
      </c>
      <c r="E58" s="195"/>
      <c r="F58" s="195"/>
      <c r="G58" s="195"/>
      <c r="H58" s="195"/>
      <c r="I58" s="195"/>
      <c r="J58" s="231">
        <v>6238.8389999999999</v>
      </c>
      <c r="K58" s="252">
        <v>11212.445</v>
      </c>
      <c r="L58" s="88" t="s">
        <v>54</v>
      </c>
      <c r="M58" s="87"/>
    </row>
    <row r="59" spans="1:13" s="65" customFormat="1" ht="11.25" hidden="1" x14ac:dyDescent="0.2">
      <c r="A59" s="201">
        <v>214.203</v>
      </c>
      <c r="B59" s="331"/>
      <c r="C59" s="86"/>
      <c r="D59" s="203">
        <v>1331.5920000000001</v>
      </c>
      <c r="E59" s="195"/>
      <c r="F59" s="195"/>
      <c r="G59" s="195"/>
      <c r="H59" s="195"/>
      <c r="I59" s="195"/>
      <c r="J59" s="231">
        <v>2129.1779999999999</v>
      </c>
      <c r="K59" s="252">
        <v>3674.973</v>
      </c>
      <c r="L59" s="88" t="s">
        <v>85</v>
      </c>
      <c r="M59" s="87"/>
    </row>
    <row r="60" spans="1:13" s="65" customFormat="1" ht="11.25" hidden="1" x14ac:dyDescent="0.2">
      <c r="A60" s="201">
        <v>253.655</v>
      </c>
      <c r="B60" s="331"/>
      <c r="C60" s="86"/>
      <c r="D60" s="203">
        <v>1364.9590000000001</v>
      </c>
      <c r="E60" s="195"/>
      <c r="F60" s="195"/>
      <c r="G60" s="195"/>
      <c r="H60" s="195"/>
      <c r="I60" s="195"/>
      <c r="J60" s="231">
        <v>1711.6950000000002</v>
      </c>
      <c r="K60" s="252">
        <v>3330.3090000000002</v>
      </c>
      <c r="L60" s="88" t="s">
        <v>86</v>
      </c>
      <c r="M60" s="87"/>
    </row>
    <row r="61" spans="1:13" s="65" customFormat="1" ht="11.25" hidden="1" x14ac:dyDescent="0.2">
      <c r="A61" s="201">
        <v>214.86500000000001</v>
      </c>
      <c r="B61" s="331"/>
      <c r="C61" s="86"/>
      <c r="D61" s="203">
        <v>1125.1420000000001</v>
      </c>
      <c r="E61" s="195"/>
      <c r="F61" s="195"/>
      <c r="G61" s="195"/>
      <c r="H61" s="195"/>
      <c r="I61" s="195"/>
      <c r="J61" s="231">
        <v>1408.8809999999999</v>
      </c>
      <c r="K61" s="252">
        <v>2748.8879999999999</v>
      </c>
      <c r="L61" s="88" t="s">
        <v>87</v>
      </c>
      <c r="M61" s="87"/>
    </row>
    <row r="62" spans="1:13" s="65" customFormat="1" ht="11.25" hidden="1" x14ac:dyDescent="0.2">
      <c r="A62" s="201">
        <v>682.72299999999996</v>
      </c>
      <c r="B62" s="331"/>
      <c r="C62" s="86"/>
      <c r="D62" s="203">
        <v>3821.6930000000002</v>
      </c>
      <c r="E62" s="195"/>
      <c r="F62" s="195"/>
      <c r="G62" s="195"/>
      <c r="H62" s="195"/>
      <c r="I62" s="195"/>
      <c r="J62" s="231">
        <v>5249.7539999999999</v>
      </c>
      <c r="K62" s="252">
        <v>9754.17</v>
      </c>
      <c r="L62" s="88" t="s">
        <v>55</v>
      </c>
      <c r="M62" s="87"/>
    </row>
    <row r="63" spans="1:13" s="65" customFormat="1" ht="11.25" hidden="1" x14ac:dyDescent="0.2">
      <c r="A63" s="201">
        <v>174.679</v>
      </c>
      <c r="B63" s="331"/>
      <c r="C63" s="86"/>
      <c r="D63" s="203">
        <v>1338.972</v>
      </c>
      <c r="E63" s="195"/>
      <c r="F63" s="195"/>
      <c r="G63" s="195"/>
      <c r="H63" s="195"/>
      <c r="I63" s="195"/>
      <c r="J63" s="231">
        <v>1686.8319999999999</v>
      </c>
      <c r="K63" s="252">
        <v>3200.4830000000002</v>
      </c>
      <c r="L63" s="88" t="s">
        <v>89</v>
      </c>
      <c r="M63" s="87"/>
    </row>
    <row r="64" spans="1:13" s="65" customFormat="1" ht="11.25" hidden="1" x14ac:dyDescent="0.2">
      <c r="A64" s="201">
        <v>164.18600000000001</v>
      </c>
      <c r="B64" s="331"/>
      <c r="C64" s="86"/>
      <c r="D64" s="203">
        <v>1240.3499999999999</v>
      </c>
      <c r="E64" s="195"/>
      <c r="F64" s="195"/>
      <c r="G64" s="195"/>
      <c r="H64" s="195"/>
      <c r="I64" s="195"/>
      <c r="J64" s="231">
        <v>1714.6759999999999</v>
      </c>
      <c r="K64" s="252">
        <v>3119.212</v>
      </c>
      <c r="L64" s="88" t="s">
        <v>90</v>
      </c>
      <c r="M64" s="87"/>
    </row>
    <row r="65" spans="1:13" s="65" customFormat="1" ht="11.25" hidden="1" x14ac:dyDescent="0.2">
      <c r="A65" s="201">
        <v>102.58199999999999</v>
      </c>
      <c r="B65" s="331"/>
      <c r="C65" s="86"/>
      <c r="D65" s="203">
        <v>971.32400000000007</v>
      </c>
      <c r="E65" s="195"/>
      <c r="F65" s="195"/>
      <c r="G65" s="195"/>
      <c r="H65" s="195"/>
      <c r="I65" s="195"/>
      <c r="J65" s="231">
        <v>1737.3820000000001</v>
      </c>
      <c r="K65" s="252">
        <v>2811.288</v>
      </c>
      <c r="L65" s="88" t="s">
        <v>91</v>
      </c>
      <c r="M65" s="87"/>
    </row>
    <row r="66" spans="1:13" s="65" customFormat="1" ht="11.25" hidden="1" x14ac:dyDescent="0.2">
      <c r="A66" s="201">
        <v>441.447</v>
      </c>
      <c r="B66" s="331"/>
      <c r="C66" s="86"/>
      <c r="D66" s="203">
        <v>3550.6460000000002</v>
      </c>
      <c r="E66" s="195"/>
      <c r="F66" s="195"/>
      <c r="G66" s="195"/>
      <c r="H66" s="195"/>
      <c r="I66" s="195"/>
      <c r="J66" s="231">
        <v>5138.8899999999994</v>
      </c>
      <c r="K66" s="252">
        <v>9130.9830000000002</v>
      </c>
      <c r="L66" s="88" t="s">
        <v>56</v>
      </c>
      <c r="M66" s="87"/>
    </row>
    <row r="67" spans="1:13" s="65" customFormat="1" ht="11.25" hidden="1" x14ac:dyDescent="0.2">
      <c r="A67" s="201"/>
      <c r="B67" s="331"/>
      <c r="C67" s="86"/>
      <c r="D67" s="203"/>
      <c r="E67" s="195"/>
      <c r="F67" s="195"/>
      <c r="G67" s="195"/>
      <c r="H67" s="195"/>
      <c r="I67" s="195"/>
      <c r="J67" s="231"/>
      <c r="K67" s="252"/>
      <c r="L67" s="88"/>
      <c r="M67" s="87"/>
    </row>
    <row r="68" spans="1:13" s="65" customFormat="1" ht="11.25" hidden="1" x14ac:dyDescent="0.2">
      <c r="A68" s="201">
        <v>85.045000000000002</v>
      </c>
      <c r="B68" s="331"/>
      <c r="C68" s="86"/>
      <c r="D68" s="203">
        <v>789.32400000000007</v>
      </c>
      <c r="E68" s="195">
        <v>25.102</v>
      </c>
      <c r="F68" s="195"/>
      <c r="G68" s="195"/>
      <c r="H68" s="195"/>
      <c r="I68" s="195"/>
      <c r="J68" s="231">
        <v>1575.3430000000001</v>
      </c>
      <c r="K68" s="252">
        <v>2474.8140000000003</v>
      </c>
      <c r="L68" s="88" t="s">
        <v>78</v>
      </c>
      <c r="M68" s="87"/>
    </row>
    <row r="69" spans="1:13" s="65" customFormat="1" ht="11.25" hidden="1" x14ac:dyDescent="0.2">
      <c r="A69" s="201">
        <v>50.495000000000005</v>
      </c>
      <c r="B69" s="331"/>
      <c r="C69" s="86"/>
      <c r="D69" s="203">
        <v>967.40699999999993</v>
      </c>
      <c r="E69" s="195">
        <v>40.991</v>
      </c>
      <c r="F69" s="195"/>
      <c r="G69" s="195"/>
      <c r="H69" s="195"/>
      <c r="I69" s="195"/>
      <c r="J69" s="231">
        <v>1212.8380000000002</v>
      </c>
      <c r="K69" s="252">
        <v>2271.7310000000002</v>
      </c>
      <c r="L69" s="88" t="s">
        <v>79</v>
      </c>
      <c r="M69" s="87"/>
    </row>
    <row r="70" spans="1:13" s="65" customFormat="1" ht="11.25" hidden="1" x14ac:dyDescent="0.2">
      <c r="A70" s="201">
        <v>163.35899999999998</v>
      </c>
      <c r="B70" s="331"/>
      <c r="C70" s="86"/>
      <c r="D70" s="203">
        <v>1331.155</v>
      </c>
      <c r="E70" s="195">
        <v>36.109000000000002</v>
      </c>
      <c r="F70" s="195"/>
      <c r="G70" s="195"/>
      <c r="H70" s="195"/>
      <c r="I70" s="195"/>
      <c r="J70" s="231">
        <v>1785.0729999999999</v>
      </c>
      <c r="K70" s="252">
        <v>3315.6959999999999</v>
      </c>
      <c r="L70" s="88" t="s">
        <v>80</v>
      </c>
      <c r="M70" s="87"/>
    </row>
    <row r="71" spans="1:13" s="65" customFormat="1" ht="11.25" hidden="1" x14ac:dyDescent="0.2">
      <c r="A71" s="201">
        <v>298.899</v>
      </c>
      <c r="B71" s="331"/>
      <c r="C71" s="86"/>
      <c r="D71" s="203">
        <v>3087.886</v>
      </c>
      <c r="E71" s="195">
        <v>102.202</v>
      </c>
      <c r="F71" s="195"/>
      <c r="G71" s="195"/>
      <c r="H71" s="195"/>
      <c r="I71" s="195"/>
      <c r="J71" s="231">
        <v>4573.2540000000008</v>
      </c>
      <c r="K71" s="252">
        <v>8062.241</v>
      </c>
      <c r="L71" s="88" t="s">
        <v>53</v>
      </c>
      <c r="M71" s="87">
        <v>2009</v>
      </c>
    </row>
    <row r="72" spans="1:13" s="65" customFormat="1" ht="11.25" hidden="1" x14ac:dyDescent="0.2">
      <c r="A72" s="201">
        <v>125.26900000000001</v>
      </c>
      <c r="B72" s="331"/>
      <c r="C72" s="86"/>
      <c r="D72" s="203">
        <v>1169.886</v>
      </c>
      <c r="E72" s="195">
        <v>54.352999999999994</v>
      </c>
      <c r="F72" s="195"/>
      <c r="G72" s="195"/>
      <c r="H72" s="195"/>
      <c r="I72" s="195"/>
      <c r="J72" s="231">
        <v>1769.23</v>
      </c>
      <c r="K72" s="252">
        <v>3118.7379999999998</v>
      </c>
      <c r="L72" s="88" t="s">
        <v>68</v>
      </c>
      <c r="M72" s="87"/>
    </row>
    <row r="73" spans="1:13" s="65" customFormat="1" ht="11.25" hidden="1" x14ac:dyDescent="0.2">
      <c r="A73" s="201">
        <v>117.119</v>
      </c>
      <c r="B73" s="331"/>
      <c r="C73" s="86"/>
      <c r="D73" s="203">
        <v>1214.213</v>
      </c>
      <c r="E73" s="195">
        <v>34.298000000000002</v>
      </c>
      <c r="F73" s="195"/>
      <c r="G73" s="195"/>
      <c r="H73" s="195"/>
      <c r="I73" s="195"/>
      <c r="J73" s="231">
        <v>1813.838</v>
      </c>
      <c r="K73" s="252">
        <v>3179.4679999999998</v>
      </c>
      <c r="L73" s="88" t="s">
        <v>82</v>
      </c>
      <c r="M73" s="87"/>
    </row>
    <row r="74" spans="1:13" s="65" customFormat="1" ht="11.25" hidden="1" x14ac:dyDescent="0.2">
      <c r="A74" s="201">
        <v>106.398</v>
      </c>
      <c r="B74" s="331"/>
      <c r="C74" s="86"/>
      <c r="D74" s="203">
        <v>1225.1460000000002</v>
      </c>
      <c r="E74" s="195">
        <v>42.329000000000001</v>
      </c>
      <c r="F74" s="195"/>
      <c r="G74" s="195"/>
      <c r="H74" s="195"/>
      <c r="I74" s="195"/>
      <c r="J74" s="231">
        <v>1688.4659999999999</v>
      </c>
      <c r="K74" s="252">
        <v>3062.3389999999999</v>
      </c>
      <c r="L74" s="88" t="s">
        <v>83</v>
      </c>
      <c r="M74" s="87"/>
    </row>
    <row r="75" spans="1:13" s="65" customFormat="1" ht="11.25" hidden="1" x14ac:dyDescent="0.2">
      <c r="A75" s="201">
        <v>348.786</v>
      </c>
      <c r="B75" s="331"/>
      <c r="C75" s="86"/>
      <c r="D75" s="203">
        <v>3609.2450000000003</v>
      </c>
      <c r="E75" s="195">
        <v>130.97999999999999</v>
      </c>
      <c r="F75" s="195"/>
      <c r="G75" s="195"/>
      <c r="H75" s="195"/>
      <c r="I75" s="195"/>
      <c r="J75" s="231">
        <v>5271.5339999999997</v>
      </c>
      <c r="K75" s="252">
        <v>9360.5450000000001</v>
      </c>
      <c r="L75" s="88" t="s">
        <v>54</v>
      </c>
      <c r="M75" s="87"/>
    </row>
    <row r="76" spans="1:13" s="65" customFormat="1" ht="11.25" hidden="1" x14ac:dyDescent="0.2">
      <c r="A76" s="201">
        <v>31.594000000000001</v>
      </c>
      <c r="B76" s="331"/>
      <c r="C76" s="86"/>
      <c r="D76" s="203">
        <v>1488.748</v>
      </c>
      <c r="E76" s="195">
        <v>38.158000000000001</v>
      </c>
      <c r="F76" s="195"/>
      <c r="G76" s="195"/>
      <c r="H76" s="195"/>
      <c r="I76" s="195"/>
      <c r="J76" s="231">
        <v>1763.8130000000001</v>
      </c>
      <c r="K76" s="252">
        <v>3322.3130000000001</v>
      </c>
      <c r="L76" s="88" t="s">
        <v>85</v>
      </c>
      <c r="M76" s="87"/>
    </row>
    <row r="77" spans="1:13" s="65" customFormat="1" ht="11.25" hidden="1" x14ac:dyDescent="0.2">
      <c r="A77" s="201">
        <v>242.15099999999998</v>
      </c>
      <c r="B77" s="331"/>
      <c r="C77" s="86"/>
      <c r="D77" s="203">
        <v>1447.61</v>
      </c>
      <c r="E77" s="195">
        <v>58.637999999999998</v>
      </c>
      <c r="F77" s="195"/>
      <c r="G77" s="195"/>
      <c r="H77" s="195"/>
      <c r="I77" s="195"/>
      <c r="J77" s="231">
        <v>1733.596</v>
      </c>
      <c r="K77" s="252">
        <v>3481.9949999999999</v>
      </c>
      <c r="L77" s="88" t="s">
        <v>86</v>
      </c>
      <c r="M77" s="87"/>
    </row>
    <row r="78" spans="1:13" s="65" customFormat="1" ht="11.25" hidden="1" x14ac:dyDescent="0.2">
      <c r="A78" s="201">
        <v>199.81</v>
      </c>
      <c r="B78" s="331"/>
      <c r="C78" s="86"/>
      <c r="D78" s="203">
        <v>1232.5309999999999</v>
      </c>
      <c r="E78" s="195">
        <v>21.324999999999999</v>
      </c>
      <c r="F78" s="195"/>
      <c r="G78" s="195"/>
      <c r="H78" s="195"/>
      <c r="I78" s="195"/>
      <c r="J78" s="231">
        <v>1469.086</v>
      </c>
      <c r="K78" s="252">
        <v>2922.752</v>
      </c>
      <c r="L78" s="88" t="s">
        <v>87</v>
      </c>
      <c r="M78" s="87"/>
    </row>
    <row r="79" spans="1:13" s="65" customFormat="1" ht="11.25" hidden="1" x14ac:dyDescent="0.2">
      <c r="A79" s="201">
        <v>473.55500000000001</v>
      </c>
      <c r="B79" s="331"/>
      <c r="C79" s="86"/>
      <c r="D79" s="203">
        <v>4168.8890000000001</v>
      </c>
      <c r="E79" s="195">
        <v>118.121</v>
      </c>
      <c r="F79" s="195"/>
      <c r="G79" s="195"/>
      <c r="H79" s="195"/>
      <c r="I79" s="195"/>
      <c r="J79" s="231">
        <v>4966.4949999999999</v>
      </c>
      <c r="K79" s="252">
        <v>9727.06</v>
      </c>
      <c r="L79" s="88" t="s">
        <v>55</v>
      </c>
      <c r="M79" s="87"/>
    </row>
    <row r="80" spans="1:13" s="65" customFormat="1" ht="11.25" hidden="1" x14ac:dyDescent="0.2">
      <c r="A80" s="201">
        <v>215.732</v>
      </c>
      <c r="B80" s="331"/>
      <c r="C80" s="86"/>
      <c r="D80" s="203">
        <v>1254.5030000000002</v>
      </c>
      <c r="E80" s="195">
        <v>26.047999999999998</v>
      </c>
      <c r="F80" s="195"/>
      <c r="G80" s="195"/>
      <c r="H80" s="195"/>
      <c r="I80" s="195"/>
      <c r="J80" s="231">
        <v>1692.932</v>
      </c>
      <c r="K80" s="252">
        <v>3189.2150000000001</v>
      </c>
      <c r="L80" s="88" t="s">
        <v>89</v>
      </c>
      <c r="M80" s="87"/>
    </row>
    <row r="81" spans="1:13" s="65" customFormat="1" ht="11.25" hidden="1" x14ac:dyDescent="0.2">
      <c r="A81" s="201">
        <v>238.12</v>
      </c>
      <c r="B81" s="331"/>
      <c r="C81" s="86"/>
      <c r="D81" s="203">
        <v>1408.462</v>
      </c>
      <c r="E81" s="195">
        <v>39.192700000000002</v>
      </c>
      <c r="F81" s="195"/>
      <c r="G81" s="195"/>
      <c r="H81" s="195"/>
      <c r="I81" s="195"/>
      <c r="J81" s="231">
        <v>1596.6890000000001</v>
      </c>
      <c r="K81" s="252">
        <v>3282.4637000000002</v>
      </c>
      <c r="L81" s="88" t="s">
        <v>90</v>
      </c>
      <c r="M81" s="87"/>
    </row>
    <row r="82" spans="1:13" s="65" customFormat="1" ht="11.25" hidden="1" x14ac:dyDescent="0.2">
      <c r="A82" s="201">
        <v>184.14099999999999</v>
      </c>
      <c r="B82" s="331"/>
      <c r="C82" s="86"/>
      <c r="D82" s="203">
        <v>1386.2819999999999</v>
      </c>
      <c r="E82" s="195">
        <v>39.359000000000002</v>
      </c>
      <c r="F82" s="195"/>
      <c r="G82" s="195"/>
      <c r="H82" s="195"/>
      <c r="I82" s="195"/>
      <c r="J82" s="231">
        <v>1711.8879999999999</v>
      </c>
      <c r="K82" s="252">
        <v>3321.67</v>
      </c>
      <c r="L82" s="88" t="s">
        <v>91</v>
      </c>
      <c r="M82" s="87"/>
    </row>
    <row r="83" spans="1:13" s="65" customFormat="1" ht="11.25" hidden="1" x14ac:dyDescent="0.2">
      <c r="A83" s="201">
        <v>637.99299999999994</v>
      </c>
      <c r="B83" s="331"/>
      <c r="C83" s="86"/>
      <c r="D83" s="203">
        <v>4049.2470000000003</v>
      </c>
      <c r="E83" s="195">
        <v>104.59970000000001</v>
      </c>
      <c r="F83" s="195"/>
      <c r="G83" s="195"/>
      <c r="H83" s="195"/>
      <c r="I83" s="195"/>
      <c r="J83" s="231">
        <v>5001.509</v>
      </c>
      <c r="K83" s="252">
        <v>9793.3487000000005</v>
      </c>
      <c r="L83" s="88" t="s">
        <v>56</v>
      </c>
      <c r="M83" s="87"/>
    </row>
    <row r="84" spans="1:13" s="65" customFormat="1" ht="11.25" hidden="1" x14ac:dyDescent="0.2">
      <c r="A84" s="201"/>
      <c r="B84" s="331"/>
      <c r="C84" s="86"/>
      <c r="D84" s="203"/>
      <c r="E84" s="195"/>
      <c r="F84" s="195"/>
      <c r="G84" s="195"/>
      <c r="H84" s="195"/>
      <c r="I84" s="195"/>
      <c r="J84" s="231"/>
      <c r="K84" s="252"/>
      <c r="L84" s="88"/>
      <c r="M84" s="87"/>
    </row>
    <row r="85" spans="1:13" s="65" customFormat="1" ht="11.25" hidden="1" x14ac:dyDescent="0.2">
      <c r="A85" s="201">
        <v>194.636</v>
      </c>
      <c r="B85" s="331"/>
      <c r="C85" s="86"/>
      <c r="D85" s="203">
        <v>1487.386</v>
      </c>
      <c r="E85" s="195">
        <v>31.879470000000001</v>
      </c>
      <c r="F85" s="195"/>
      <c r="G85" s="195"/>
      <c r="H85" s="195"/>
      <c r="I85" s="195"/>
      <c r="J85" s="231">
        <v>1674.912</v>
      </c>
      <c r="K85" s="252">
        <v>3388.8134700000001</v>
      </c>
      <c r="L85" s="88" t="s">
        <v>78</v>
      </c>
      <c r="M85" s="87">
        <v>2010</v>
      </c>
    </row>
    <row r="86" spans="1:13" s="65" customFormat="1" ht="11.25" hidden="1" x14ac:dyDescent="0.2">
      <c r="A86" s="201">
        <v>159.852</v>
      </c>
      <c r="B86" s="331"/>
      <c r="C86" s="86"/>
      <c r="D86" s="203">
        <v>1507.9739999999999</v>
      </c>
      <c r="E86" s="195">
        <v>29.617999999999999</v>
      </c>
      <c r="F86" s="195"/>
      <c r="G86" s="195"/>
      <c r="H86" s="195"/>
      <c r="I86" s="195"/>
      <c r="J86" s="231">
        <v>1615.8400000000001</v>
      </c>
      <c r="K86" s="252">
        <v>3313.2840000000001</v>
      </c>
      <c r="L86" s="88" t="s">
        <v>79</v>
      </c>
      <c r="M86" s="87"/>
    </row>
    <row r="87" spans="1:13" s="65" customFormat="1" ht="11.25" hidden="1" x14ac:dyDescent="0.2">
      <c r="A87" s="201">
        <v>237.36799999999999</v>
      </c>
      <c r="B87" s="331"/>
      <c r="C87" s="86"/>
      <c r="D87" s="203">
        <v>1677.5140000000001</v>
      </c>
      <c r="E87" s="195">
        <v>64.650000000000006</v>
      </c>
      <c r="F87" s="195"/>
      <c r="G87" s="195"/>
      <c r="H87" s="195"/>
      <c r="I87" s="195"/>
      <c r="J87" s="231">
        <v>1954.48</v>
      </c>
      <c r="K87" s="252">
        <v>3934.0120000000006</v>
      </c>
      <c r="L87" s="88" t="s">
        <v>80</v>
      </c>
      <c r="M87" s="87"/>
    </row>
    <row r="88" spans="1:13" s="65" customFormat="1" ht="11.25" hidden="1" x14ac:dyDescent="0.2">
      <c r="A88" s="201">
        <v>591.85599999999999</v>
      </c>
      <c r="B88" s="331"/>
      <c r="C88" s="86"/>
      <c r="D88" s="203">
        <v>4672.8739999999998</v>
      </c>
      <c r="E88" s="195">
        <v>126.14747</v>
      </c>
      <c r="F88" s="195"/>
      <c r="G88" s="195"/>
      <c r="H88" s="195"/>
      <c r="I88" s="195"/>
      <c r="J88" s="231">
        <v>5245.232</v>
      </c>
      <c r="K88" s="252">
        <v>10636.109469999999</v>
      </c>
      <c r="L88" s="88" t="s">
        <v>53</v>
      </c>
      <c r="M88" s="87">
        <v>2010</v>
      </c>
    </row>
    <row r="89" spans="1:13" s="65" customFormat="1" ht="11.25" hidden="1" x14ac:dyDescent="0.2">
      <c r="A89" s="201">
        <v>152.88900000000001</v>
      </c>
      <c r="B89" s="331"/>
      <c r="C89" s="86"/>
      <c r="D89" s="203">
        <v>1634.874</v>
      </c>
      <c r="E89" s="195">
        <v>91.537000000000006</v>
      </c>
      <c r="F89" s="195"/>
      <c r="G89" s="195"/>
      <c r="H89" s="195"/>
      <c r="I89" s="195"/>
      <c r="J89" s="231">
        <v>1877.8090000000002</v>
      </c>
      <c r="K89" s="252">
        <v>3757.1090000000004</v>
      </c>
      <c r="L89" s="88" t="s">
        <v>68</v>
      </c>
      <c r="M89" s="87"/>
    </row>
    <row r="90" spans="1:13" s="65" customFormat="1" ht="11.25" hidden="1" x14ac:dyDescent="0.2">
      <c r="A90" s="201">
        <v>256.97300000000001</v>
      </c>
      <c r="B90" s="331"/>
      <c r="C90" s="86"/>
      <c r="D90" s="203">
        <v>1653.914</v>
      </c>
      <c r="E90" s="195">
        <v>48.515819999999998</v>
      </c>
      <c r="F90" s="195"/>
      <c r="G90" s="195"/>
      <c r="H90" s="195"/>
      <c r="I90" s="195"/>
      <c r="J90" s="231">
        <v>1899.701</v>
      </c>
      <c r="K90" s="252">
        <v>3859.1038200000003</v>
      </c>
      <c r="L90" s="88" t="s">
        <v>82</v>
      </c>
      <c r="M90" s="87"/>
    </row>
    <row r="91" spans="1:13" s="65" customFormat="1" ht="11.25" hidden="1" x14ac:dyDescent="0.2">
      <c r="A91" s="201">
        <v>217.66800000000001</v>
      </c>
      <c r="B91" s="331"/>
      <c r="C91" s="86"/>
      <c r="D91" s="203">
        <v>1640.1010000000001</v>
      </c>
      <c r="E91" s="195">
        <v>53.642000000000003</v>
      </c>
      <c r="F91" s="195"/>
      <c r="G91" s="195"/>
      <c r="H91" s="195"/>
      <c r="I91" s="195"/>
      <c r="J91" s="231">
        <v>1939.1979999999999</v>
      </c>
      <c r="K91" s="252">
        <v>3850.6089999999999</v>
      </c>
      <c r="L91" s="88" t="s">
        <v>83</v>
      </c>
      <c r="M91" s="87"/>
    </row>
    <row r="92" spans="1:13" s="65" customFormat="1" ht="11.25" hidden="1" x14ac:dyDescent="0.2">
      <c r="A92" s="201">
        <v>627.53</v>
      </c>
      <c r="B92" s="331"/>
      <c r="C92" s="86"/>
      <c r="D92" s="203">
        <v>4928.8890000000001</v>
      </c>
      <c r="E92" s="195">
        <v>193.69481999999999</v>
      </c>
      <c r="F92" s="195"/>
      <c r="G92" s="195"/>
      <c r="H92" s="195"/>
      <c r="I92" s="195"/>
      <c r="J92" s="231">
        <v>5716.7080000000005</v>
      </c>
      <c r="K92" s="252">
        <v>11466.821820000001</v>
      </c>
      <c r="L92" s="88" t="s">
        <v>54</v>
      </c>
      <c r="M92" s="87"/>
    </row>
    <row r="93" spans="1:13" s="65" customFormat="1" ht="11.25" hidden="1" x14ac:dyDescent="0.2">
      <c r="A93" s="201">
        <v>114.29</v>
      </c>
      <c r="B93" s="331"/>
      <c r="C93" s="86"/>
      <c r="D93" s="203">
        <v>1443.5889999999999</v>
      </c>
      <c r="E93" s="195">
        <v>54.974930000000001</v>
      </c>
      <c r="F93" s="195"/>
      <c r="G93" s="195"/>
      <c r="H93" s="195"/>
      <c r="I93" s="195"/>
      <c r="J93" s="231">
        <v>1990.7469999999998</v>
      </c>
      <c r="K93" s="252">
        <v>3603.6009299999996</v>
      </c>
      <c r="L93" s="88" t="s">
        <v>85</v>
      </c>
      <c r="M93" s="87"/>
    </row>
    <row r="94" spans="1:13" s="65" customFormat="1" ht="11.25" hidden="1" x14ac:dyDescent="0.2">
      <c r="A94" s="201">
        <v>234.05</v>
      </c>
      <c r="B94" s="331"/>
      <c r="C94" s="86"/>
      <c r="D94" s="203">
        <v>1589.6590000000001</v>
      </c>
      <c r="E94" s="195">
        <v>66.744</v>
      </c>
      <c r="F94" s="195"/>
      <c r="G94" s="195"/>
      <c r="H94" s="195"/>
      <c r="I94" s="195"/>
      <c r="J94" s="231">
        <v>1936.8470000000002</v>
      </c>
      <c r="K94" s="252">
        <v>3827.3</v>
      </c>
      <c r="L94" s="88" t="s">
        <v>86</v>
      </c>
      <c r="M94" s="87"/>
    </row>
    <row r="95" spans="1:13" s="65" customFormat="1" ht="11.25" hidden="1" x14ac:dyDescent="0.2">
      <c r="A95" s="201">
        <v>196.00200000000001</v>
      </c>
      <c r="B95" s="331"/>
      <c r="C95" s="86"/>
      <c r="D95" s="203">
        <v>1201.7550000000001</v>
      </c>
      <c r="E95" s="195">
        <v>49.436</v>
      </c>
      <c r="F95" s="195"/>
      <c r="G95" s="195"/>
      <c r="H95" s="195"/>
      <c r="I95" s="195"/>
      <c r="J95" s="231">
        <v>1774.3720000000001</v>
      </c>
      <c r="K95" s="252">
        <v>3221.5650000000001</v>
      </c>
      <c r="L95" s="88" t="s">
        <v>87</v>
      </c>
      <c r="M95" s="87"/>
    </row>
    <row r="96" spans="1:13" s="65" customFormat="1" ht="11.25" hidden="1" x14ac:dyDescent="0.2">
      <c r="A96" s="201">
        <v>544.3420000000001</v>
      </c>
      <c r="B96" s="331"/>
      <c r="C96" s="86"/>
      <c r="D96" s="203">
        <v>4235.0030000000006</v>
      </c>
      <c r="E96" s="195">
        <v>171.15493000000001</v>
      </c>
      <c r="F96" s="195"/>
      <c r="G96" s="195"/>
      <c r="H96" s="195"/>
      <c r="I96" s="195"/>
      <c r="J96" s="231">
        <v>5701.9660000000003</v>
      </c>
      <c r="K96" s="252">
        <v>10652.46593</v>
      </c>
      <c r="L96" s="88" t="s">
        <v>55</v>
      </c>
      <c r="M96" s="87"/>
    </row>
    <row r="97" spans="1:13" s="65" customFormat="1" ht="11.25" hidden="1" x14ac:dyDescent="0.2">
      <c r="A97" s="201">
        <v>226.90299999999999</v>
      </c>
      <c r="B97" s="331"/>
      <c r="C97" s="86"/>
      <c r="D97" s="203">
        <v>1581.2620000000002</v>
      </c>
      <c r="E97" s="195">
        <v>67.763239999999996</v>
      </c>
      <c r="F97" s="195"/>
      <c r="G97" s="195"/>
      <c r="H97" s="195"/>
      <c r="I97" s="195"/>
      <c r="J97" s="231">
        <v>1767.6993</v>
      </c>
      <c r="K97" s="252">
        <v>3643.62754</v>
      </c>
      <c r="L97" s="88" t="s">
        <v>89</v>
      </c>
      <c r="M97" s="87"/>
    </row>
    <row r="98" spans="1:13" s="65" customFormat="1" ht="11.25" hidden="1" x14ac:dyDescent="0.2">
      <c r="A98" s="201">
        <v>227.31700000000001</v>
      </c>
      <c r="B98" s="331"/>
      <c r="C98" s="86"/>
      <c r="D98" s="203">
        <v>1548.865</v>
      </c>
      <c r="E98" s="195">
        <v>78.908000000000001</v>
      </c>
      <c r="F98" s="195"/>
      <c r="G98" s="195"/>
      <c r="H98" s="195"/>
      <c r="I98" s="195"/>
      <c r="J98" s="231">
        <v>1721.2411999999999</v>
      </c>
      <c r="K98" s="252">
        <v>3576.3311999999996</v>
      </c>
      <c r="L98" s="88" t="s">
        <v>90</v>
      </c>
      <c r="M98" s="87"/>
    </row>
    <row r="99" spans="1:13" s="65" customFormat="1" ht="11.25" hidden="1" x14ac:dyDescent="0.2">
      <c r="A99" s="201">
        <v>103.06</v>
      </c>
      <c r="B99" s="331"/>
      <c r="C99" s="86"/>
      <c r="D99" s="203">
        <v>1568.1110000000001</v>
      </c>
      <c r="E99" s="195">
        <v>81.389529999999993</v>
      </c>
      <c r="F99" s="195"/>
      <c r="G99" s="195"/>
      <c r="H99" s="195"/>
      <c r="I99" s="195"/>
      <c r="J99" s="231">
        <v>1684.6318999999999</v>
      </c>
      <c r="K99" s="252">
        <v>3437.1924300000001</v>
      </c>
      <c r="L99" s="88" t="s">
        <v>91</v>
      </c>
      <c r="M99" s="87"/>
    </row>
    <row r="100" spans="1:13" s="65" customFormat="1" ht="11.25" hidden="1" x14ac:dyDescent="0.2">
      <c r="A100" s="201">
        <v>557.28</v>
      </c>
      <c r="B100" s="331"/>
      <c r="C100" s="86"/>
      <c r="D100" s="203">
        <v>4698.2380000000003</v>
      </c>
      <c r="E100" s="195">
        <v>228.06076999999999</v>
      </c>
      <c r="F100" s="195"/>
      <c r="G100" s="195"/>
      <c r="H100" s="195"/>
      <c r="I100" s="195"/>
      <c r="J100" s="231">
        <v>5173.5723999999991</v>
      </c>
      <c r="K100" s="252">
        <v>10657.151170000001</v>
      </c>
      <c r="L100" s="88" t="s">
        <v>56</v>
      </c>
      <c r="M100" s="87"/>
    </row>
    <row r="101" spans="1:13" s="65" customFormat="1" ht="11.25" hidden="1" x14ac:dyDescent="0.2">
      <c r="A101" s="201"/>
      <c r="B101" s="331"/>
      <c r="C101" s="86"/>
      <c r="D101" s="203"/>
      <c r="E101" s="195"/>
      <c r="F101" s="195"/>
      <c r="G101" s="195"/>
      <c r="H101" s="195"/>
      <c r="I101" s="195"/>
      <c r="J101" s="231"/>
      <c r="K101" s="252"/>
      <c r="L101" s="88"/>
      <c r="M101" s="87"/>
    </row>
    <row r="102" spans="1:13" s="65" customFormat="1" ht="11.25" hidden="1" x14ac:dyDescent="0.2">
      <c r="A102" s="201">
        <v>119.0712</v>
      </c>
      <c r="B102" s="331"/>
      <c r="C102" s="86"/>
      <c r="D102" s="203">
        <v>1448.7051999999999</v>
      </c>
      <c r="E102" s="195">
        <v>82.436000000000007</v>
      </c>
      <c r="F102" s="195"/>
      <c r="G102" s="195"/>
      <c r="H102" s="195"/>
      <c r="I102" s="195"/>
      <c r="J102" s="231">
        <v>1525.1705000000002</v>
      </c>
      <c r="K102" s="252">
        <v>3175.3829000000005</v>
      </c>
      <c r="L102" s="88" t="s">
        <v>78</v>
      </c>
      <c r="M102" s="87">
        <v>2011</v>
      </c>
    </row>
    <row r="103" spans="1:13" s="65" customFormat="1" ht="11.25" hidden="1" x14ac:dyDescent="0.2">
      <c r="A103" s="201">
        <v>105.30800000000001</v>
      </c>
      <c r="B103" s="331"/>
      <c r="C103" s="86"/>
      <c r="D103" s="203">
        <v>1526.4292</v>
      </c>
      <c r="E103" s="195">
        <v>75.199399999999997</v>
      </c>
      <c r="F103" s="195"/>
      <c r="G103" s="195"/>
      <c r="H103" s="195"/>
      <c r="I103" s="195"/>
      <c r="J103" s="231">
        <v>1737.4248</v>
      </c>
      <c r="K103" s="252">
        <v>3444.3614000000002</v>
      </c>
      <c r="L103" s="88" t="s">
        <v>79</v>
      </c>
      <c r="M103" s="87"/>
    </row>
    <row r="104" spans="1:13" s="65" customFormat="1" ht="11.25" hidden="1" x14ac:dyDescent="0.2">
      <c r="A104" s="201">
        <v>228.59200000000001</v>
      </c>
      <c r="B104" s="331"/>
      <c r="C104" s="86"/>
      <c r="D104" s="203">
        <v>1992.5983999999999</v>
      </c>
      <c r="E104" s="195">
        <v>79.988</v>
      </c>
      <c r="F104" s="195"/>
      <c r="G104" s="195"/>
      <c r="H104" s="195"/>
      <c r="I104" s="195"/>
      <c r="J104" s="231">
        <v>2080.6367999999998</v>
      </c>
      <c r="K104" s="252">
        <v>4381.8152</v>
      </c>
      <c r="L104" s="88" t="s">
        <v>80</v>
      </c>
      <c r="M104" s="87"/>
    </row>
    <row r="105" spans="1:13" s="65" customFormat="1" ht="11.25" hidden="1" x14ac:dyDescent="0.2">
      <c r="A105" s="201">
        <v>452.97120000000007</v>
      </c>
      <c r="B105" s="331"/>
      <c r="C105" s="86"/>
      <c r="D105" s="203">
        <v>4967.7327999999998</v>
      </c>
      <c r="E105" s="195">
        <v>237.6234</v>
      </c>
      <c r="F105" s="195"/>
      <c r="G105" s="195"/>
      <c r="H105" s="195"/>
      <c r="I105" s="195"/>
      <c r="J105" s="231">
        <v>5343.2320999999993</v>
      </c>
      <c r="K105" s="252">
        <v>11001.559499999999</v>
      </c>
      <c r="L105" s="88" t="s">
        <v>53</v>
      </c>
      <c r="M105" s="87">
        <v>2011</v>
      </c>
    </row>
    <row r="106" spans="1:13" s="65" customFormat="1" ht="11.25" hidden="1" x14ac:dyDescent="0.2">
      <c r="A106" s="201">
        <v>141.89699999999999</v>
      </c>
      <c r="B106" s="331"/>
      <c r="C106" s="86"/>
      <c r="D106" s="203">
        <v>1612.1251</v>
      </c>
      <c r="E106" s="195">
        <v>62.813000000000002</v>
      </c>
      <c r="F106" s="195"/>
      <c r="G106" s="195"/>
      <c r="H106" s="195"/>
      <c r="I106" s="195"/>
      <c r="J106" s="231">
        <v>1911.0605</v>
      </c>
      <c r="K106" s="252">
        <v>3727.8955999999998</v>
      </c>
      <c r="L106" s="88" t="s">
        <v>68</v>
      </c>
      <c r="M106" s="87"/>
    </row>
    <row r="107" spans="1:13" s="65" customFormat="1" ht="11.25" hidden="1" x14ac:dyDescent="0.2">
      <c r="A107" s="201">
        <v>195.91499999999999</v>
      </c>
      <c r="B107" s="331"/>
      <c r="C107" s="86"/>
      <c r="D107" s="203">
        <v>1639.2177999999999</v>
      </c>
      <c r="E107" s="195">
        <v>115.36</v>
      </c>
      <c r="F107" s="195"/>
      <c r="G107" s="195"/>
      <c r="H107" s="195"/>
      <c r="I107" s="195"/>
      <c r="J107" s="231">
        <v>2014.7001</v>
      </c>
      <c r="K107" s="252">
        <v>3965.1929</v>
      </c>
      <c r="L107" s="88" t="s">
        <v>82</v>
      </c>
      <c r="M107" s="87"/>
    </row>
    <row r="108" spans="1:13" s="65" customFormat="1" ht="11.25" hidden="1" x14ac:dyDescent="0.2">
      <c r="A108" s="201">
        <v>194.64670000000001</v>
      </c>
      <c r="B108" s="331"/>
      <c r="C108" s="86"/>
      <c r="D108" s="203">
        <v>1607.7855999999999</v>
      </c>
      <c r="E108" s="195">
        <v>95.238</v>
      </c>
      <c r="F108" s="195"/>
      <c r="G108" s="195"/>
      <c r="H108" s="195"/>
      <c r="I108" s="195"/>
      <c r="J108" s="231">
        <v>2141.5379000000003</v>
      </c>
      <c r="K108" s="252">
        <v>4039.2082</v>
      </c>
      <c r="L108" s="88" t="s">
        <v>83</v>
      </c>
      <c r="M108" s="87"/>
    </row>
    <row r="109" spans="1:13" s="65" customFormat="1" ht="11.25" hidden="1" x14ac:dyDescent="0.2">
      <c r="A109" s="201">
        <v>532.45870000000002</v>
      </c>
      <c r="B109" s="331"/>
      <c r="C109" s="86"/>
      <c r="D109" s="203">
        <v>4859.1284999999998</v>
      </c>
      <c r="E109" s="195">
        <v>273.411</v>
      </c>
      <c r="F109" s="195"/>
      <c r="G109" s="195"/>
      <c r="H109" s="195"/>
      <c r="I109" s="195"/>
      <c r="J109" s="231">
        <v>6067.2985000000008</v>
      </c>
      <c r="K109" s="252">
        <v>11732.296699999999</v>
      </c>
      <c r="L109" s="88" t="s">
        <v>54</v>
      </c>
      <c r="M109" s="87"/>
    </row>
    <row r="110" spans="1:13" s="65" customFormat="1" ht="11.25" hidden="1" x14ac:dyDescent="0.2">
      <c r="A110" s="201">
        <v>167.98599999999999</v>
      </c>
      <c r="B110" s="331"/>
      <c r="C110" s="86"/>
      <c r="D110" s="203">
        <v>1577.8413999999998</v>
      </c>
      <c r="E110" s="195">
        <v>82.42</v>
      </c>
      <c r="F110" s="195"/>
      <c r="G110" s="195"/>
      <c r="H110" s="195"/>
      <c r="I110" s="195"/>
      <c r="J110" s="231">
        <v>1949.4211</v>
      </c>
      <c r="K110" s="252">
        <v>3777.6684999999998</v>
      </c>
      <c r="L110" s="88" t="s">
        <v>85</v>
      </c>
      <c r="M110" s="87"/>
    </row>
    <row r="111" spans="1:13" s="65" customFormat="1" ht="11.25" hidden="1" x14ac:dyDescent="0.2">
      <c r="A111" s="201">
        <v>282.56100000000004</v>
      </c>
      <c r="B111" s="331"/>
      <c r="C111" s="86"/>
      <c r="D111" s="203">
        <v>1750.6768000000002</v>
      </c>
      <c r="E111" s="195">
        <v>115.69499999999999</v>
      </c>
      <c r="F111" s="195"/>
      <c r="G111" s="195"/>
      <c r="H111" s="195"/>
      <c r="I111" s="195"/>
      <c r="J111" s="231">
        <v>2038.212</v>
      </c>
      <c r="K111" s="252">
        <v>4187.1448</v>
      </c>
      <c r="L111" s="88" t="s">
        <v>86</v>
      </c>
      <c r="M111" s="87"/>
    </row>
    <row r="112" spans="1:13" s="65" customFormat="1" ht="11.25" hidden="1" x14ac:dyDescent="0.2">
      <c r="A112" s="201">
        <v>202.39</v>
      </c>
      <c r="B112" s="331"/>
      <c r="C112" s="86"/>
      <c r="D112" s="203">
        <v>1464.8638999999998</v>
      </c>
      <c r="E112" s="195">
        <v>58.637</v>
      </c>
      <c r="F112" s="195"/>
      <c r="G112" s="195"/>
      <c r="H112" s="195"/>
      <c r="I112" s="195"/>
      <c r="J112" s="231">
        <v>1656.8881000000001</v>
      </c>
      <c r="K112" s="252">
        <v>3382.779</v>
      </c>
      <c r="L112" s="88" t="s">
        <v>87</v>
      </c>
      <c r="M112" s="87"/>
    </row>
    <row r="113" spans="1:13" s="65" customFormat="1" ht="11.25" hidden="1" x14ac:dyDescent="0.2">
      <c r="A113" s="201">
        <v>652.93700000000001</v>
      </c>
      <c r="B113" s="331"/>
      <c r="C113" s="86"/>
      <c r="D113" s="203">
        <v>4793.3820999999998</v>
      </c>
      <c r="E113" s="195">
        <v>256.75200000000001</v>
      </c>
      <c r="F113" s="195"/>
      <c r="G113" s="195"/>
      <c r="H113" s="195"/>
      <c r="I113" s="195"/>
      <c r="J113" s="231">
        <v>5644.5212000000001</v>
      </c>
      <c r="K113" s="252">
        <v>11347.5923</v>
      </c>
      <c r="L113" s="88" t="s">
        <v>55</v>
      </c>
      <c r="M113" s="87"/>
    </row>
    <row r="114" spans="1:13" s="65" customFormat="1" ht="11.25" hidden="1" x14ac:dyDescent="0.2">
      <c r="A114" s="201">
        <v>172.46100000000001</v>
      </c>
      <c r="B114" s="331"/>
      <c r="C114" s="86"/>
      <c r="D114" s="203">
        <v>1552.1590999999999</v>
      </c>
      <c r="E114" s="195">
        <v>115.9</v>
      </c>
      <c r="F114" s="195"/>
      <c r="G114" s="195"/>
      <c r="H114" s="195"/>
      <c r="I114" s="195"/>
      <c r="J114" s="231">
        <v>2000.2853</v>
      </c>
      <c r="K114" s="252">
        <v>3840.8054000000002</v>
      </c>
      <c r="L114" s="88" t="s">
        <v>89</v>
      </c>
      <c r="M114" s="87"/>
    </row>
    <row r="115" spans="1:13" s="65" customFormat="1" ht="11.25" hidden="1" x14ac:dyDescent="0.2">
      <c r="A115" s="201">
        <v>246.87</v>
      </c>
      <c r="B115" s="331"/>
      <c r="C115" s="86"/>
      <c r="D115" s="203">
        <v>1478.6455000000001</v>
      </c>
      <c r="E115" s="195">
        <v>82.716999999999999</v>
      </c>
      <c r="F115" s="195"/>
      <c r="G115" s="195"/>
      <c r="H115" s="195"/>
      <c r="I115" s="195"/>
      <c r="J115" s="231">
        <v>1854.5201999999999</v>
      </c>
      <c r="K115" s="252">
        <v>3662.7527</v>
      </c>
      <c r="L115" s="88" t="s">
        <v>90</v>
      </c>
      <c r="M115" s="87"/>
    </row>
    <row r="116" spans="1:13" s="65" customFormat="1" ht="11.25" hidden="1" x14ac:dyDescent="0.2">
      <c r="A116" s="201">
        <v>222.74699999999999</v>
      </c>
      <c r="B116" s="331"/>
      <c r="C116" s="86"/>
      <c r="D116" s="203">
        <v>1564.3858</v>
      </c>
      <c r="E116" s="195">
        <v>58.957000000000001</v>
      </c>
      <c r="F116" s="195"/>
      <c r="G116" s="195"/>
      <c r="H116" s="195"/>
      <c r="I116" s="195"/>
      <c r="J116" s="231">
        <v>1642.3836000000001</v>
      </c>
      <c r="K116" s="252">
        <v>3488.4733999999999</v>
      </c>
      <c r="L116" s="88" t="s">
        <v>91</v>
      </c>
      <c r="M116" s="87"/>
    </row>
    <row r="117" spans="1:13" s="65" customFormat="1" ht="11.25" hidden="1" x14ac:dyDescent="0.2">
      <c r="A117" s="201">
        <v>642.07799999999997</v>
      </c>
      <c r="B117" s="331"/>
      <c r="C117" s="86"/>
      <c r="D117" s="203">
        <v>4595.1903999999995</v>
      </c>
      <c r="E117" s="195">
        <v>257.57400000000001</v>
      </c>
      <c r="F117" s="195"/>
      <c r="G117" s="195"/>
      <c r="H117" s="195"/>
      <c r="I117" s="195"/>
      <c r="J117" s="231">
        <v>5497.1890999999996</v>
      </c>
      <c r="K117" s="252">
        <v>10992.031500000001</v>
      </c>
      <c r="L117" s="88" t="s">
        <v>56</v>
      </c>
      <c r="M117" s="87"/>
    </row>
    <row r="118" spans="1:13" s="65" customFormat="1" ht="11.25" hidden="1" x14ac:dyDescent="0.2">
      <c r="A118" s="201"/>
      <c r="B118" s="331"/>
      <c r="C118" s="86"/>
      <c r="D118" s="203"/>
      <c r="E118" s="195"/>
      <c r="F118" s="195"/>
      <c r="G118" s="195"/>
      <c r="H118" s="195"/>
      <c r="I118" s="195"/>
      <c r="J118" s="231"/>
      <c r="K118" s="252"/>
      <c r="L118" s="88"/>
      <c r="M118" s="87"/>
    </row>
    <row r="119" spans="1:13" s="65" customFormat="1" ht="11.25" hidden="1" x14ac:dyDescent="0.2">
      <c r="A119" s="201">
        <v>48.302999999999997</v>
      </c>
      <c r="B119" s="331"/>
      <c r="C119" s="86"/>
      <c r="D119" s="203">
        <v>1654.6669999999999</v>
      </c>
      <c r="E119" s="195">
        <v>89.525999999999996</v>
      </c>
      <c r="F119" s="195"/>
      <c r="G119" s="195"/>
      <c r="H119" s="195"/>
      <c r="I119" s="195"/>
      <c r="J119" s="231">
        <v>2052.1334999999999</v>
      </c>
      <c r="K119" s="252">
        <v>3844.6295</v>
      </c>
      <c r="L119" s="88" t="s">
        <v>78</v>
      </c>
      <c r="M119" s="87">
        <v>2012</v>
      </c>
    </row>
    <row r="120" spans="1:13" s="65" customFormat="1" ht="11.25" hidden="1" x14ac:dyDescent="0.2">
      <c r="A120" s="201">
        <v>130.15100000000001</v>
      </c>
      <c r="B120" s="331"/>
      <c r="C120" s="86"/>
      <c r="D120" s="203">
        <v>1303.3137000000002</v>
      </c>
      <c r="E120" s="195">
        <v>80.786000000000001</v>
      </c>
      <c r="F120" s="195"/>
      <c r="G120" s="195"/>
      <c r="H120" s="195"/>
      <c r="I120" s="195"/>
      <c r="J120" s="231">
        <v>1620.4159</v>
      </c>
      <c r="K120" s="252">
        <v>3134.6666</v>
      </c>
      <c r="L120" s="88" t="s">
        <v>79</v>
      </c>
      <c r="M120" s="87"/>
    </row>
    <row r="121" spans="1:13" s="65" customFormat="1" ht="11.25" hidden="1" x14ac:dyDescent="0.2">
      <c r="A121" s="201">
        <v>178.87099999999998</v>
      </c>
      <c r="B121" s="331"/>
      <c r="C121" s="86"/>
      <c r="D121" s="203">
        <v>1624.4531999999999</v>
      </c>
      <c r="E121" s="195">
        <v>129.17699999999999</v>
      </c>
      <c r="F121" s="195"/>
      <c r="G121" s="195"/>
      <c r="H121" s="195"/>
      <c r="I121" s="195"/>
      <c r="J121" s="231">
        <v>2278.5645</v>
      </c>
      <c r="K121" s="252">
        <v>4211.0657000000001</v>
      </c>
      <c r="L121" s="88" t="s">
        <v>80</v>
      </c>
      <c r="M121" s="87"/>
    </row>
    <row r="122" spans="1:13" s="65" customFormat="1" ht="10.5" hidden="1" customHeight="1" x14ac:dyDescent="0.2">
      <c r="A122" s="201">
        <v>357.32499999999999</v>
      </c>
      <c r="B122" s="331"/>
      <c r="C122" s="86"/>
      <c r="D122" s="203">
        <v>4582.4339</v>
      </c>
      <c r="E122" s="195">
        <v>299.48900000000003</v>
      </c>
      <c r="F122" s="195"/>
      <c r="G122" s="195"/>
      <c r="H122" s="195"/>
      <c r="I122" s="195"/>
      <c r="J122" s="231">
        <v>5951.1139000000003</v>
      </c>
      <c r="K122" s="252">
        <v>11190.361799999999</v>
      </c>
      <c r="L122" s="88" t="s">
        <v>53</v>
      </c>
      <c r="M122" s="87">
        <v>2012</v>
      </c>
    </row>
    <row r="123" spans="1:13" s="65" customFormat="1" ht="11.25" hidden="1" x14ac:dyDescent="0.2">
      <c r="A123" s="201">
        <v>166.56299999999999</v>
      </c>
      <c r="B123" s="331"/>
      <c r="C123" s="86"/>
      <c r="D123" s="203">
        <v>1735.5977</v>
      </c>
      <c r="E123" s="195">
        <v>116.991</v>
      </c>
      <c r="F123" s="195"/>
      <c r="G123" s="195"/>
      <c r="H123" s="195"/>
      <c r="I123" s="195"/>
      <c r="J123" s="231">
        <v>2064.3991999999998</v>
      </c>
      <c r="K123" s="252">
        <v>4083.5508999999997</v>
      </c>
      <c r="L123" s="88" t="s">
        <v>68</v>
      </c>
      <c r="M123" s="87"/>
    </row>
    <row r="124" spans="1:13" s="65" customFormat="1" ht="11.25" hidden="1" x14ac:dyDescent="0.2">
      <c r="A124" s="201">
        <v>155.191</v>
      </c>
      <c r="B124" s="331"/>
      <c r="C124" s="86"/>
      <c r="D124" s="203">
        <v>1934.6219000000001</v>
      </c>
      <c r="E124" s="195">
        <v>109.63200000000001</v>
      </c>
      <c r="F124" s="195"/>
      <c r="G124" s="195"/>
      <c r="H124" s="195"/>
      <c r="I124" s="195"/>
      <c r="J124" s="231">
        <v>2277.2826999999997</v>
      </c>
      <c r="K124" s="252">
        <v>4476.7276000000002</v>
      </c>
      <c r="L124" s="88" t="s">
        <v>82</v>
      </c>
      <c r="M124" s="87"/>
    </row>
    <row r="125" spans="1:13" s="65" customFormat="1" ht="11.25" hidden="1" x14ac:dyDescent="0.2">
      <c r="A125" s="201">
        <v>178.82499999999999</v>
      </c>
      <c r="B125" s="331"/>
      <c r="C125" s="86"/>
      <c r="D125" s="203">
        <v>1653.7575999999999</v>
      </c>
      <c r="E125" s="195">
        <v>116.89</v>
      </c>
      <c r="F125" s="195"/>
      <c r="G125" s="195"/>
      <c r="H125" s="195"/>
      <c r="I125" s="195"/>
      <c r="J125" s="231">
        <v>1909.4087999999999</v>
      </c>
      <c r="K125" s="252">
        <v>3858.8813999999998</v>
      </c>
      <c r="L125" s="88" t="s">
        <v>83</v>
      </c>
      <c r="M125" s="87"/>
    </row>
    <row r="126" spans="1:13" s="65" customFormat="1" ht="11.25" hidden="1" x14ac:dyDescent="0.2">
      <c r="A126" s="201">
        <v>500.57900000000001</v>
      </c>
      <c r="B126" s="331"/>
      <c r="C126" s="86"/>
      <c r="D126" s="203">
        <v>5323.9772000000003</v>
      </c>
      <c r="E126" s="195">
        <v>343.51299999999998</v>
      </c>
      <c r="F126" s="195"/>
      <c r="G126" s="195"/>
      <c r="H126" s="195"/>
      <c r="I126" s="195"/>
      <c r="J126" s="231">
        <v>6251.0906999999997</v>
      </c>
      <c r="K126" s="252">
        <v>12419.159900000001</v>
      </c>
      <c r="L126" s="88" t="s">
        <v>54</v>
      </c>
      <c r="M126" s="87"/>
    </row>
    <row r="127" spans="1:13" s="65" customFormat="1" ht="11.25" hidden="1" x14ac:dyDescent="0.2">
      <c r="A127" s="201">
        <v>156.37100000000001</v>
      </c>
      <c r="B127" s="331"/>
      <c r="C127" s="86"/>
      <c r="D127" s="203">
        <v>1885.3409000000001</v>
      </c>
      <c r="E127" s="195">
        <v>154.29400000000001</v>
      </c>
      <c r="F127" s="195"/>
      <c r="G127" s="195"/>
      <c r="H127" s="195"/>
      <c r="I127" s="195"/>
      <c r="J127" s="231">
        <v>2015.1073000000001</v>
      </c>
      <c r="K127" s="252">
        <v>4211.1131999999998</v>
      </c>
      <c r="L127" s="88" t="s">
        <v>85</v>
      </c>
      <c r="M127" s="87"/>
    </row>
    <row r="128" spans="1:13" s="65" customFormat="1" ht="11.25" hidden="1" x14ac:dyDescent="0.2">
      <c r="A128" s="201">
        <v>131.23599999999999</v>
      </c>
      <c r="B128" s="331"/>
      <c r="C128" s="86"/>
      <c r="D128" s="203">
        <v>1937.9164000000001</v>
      </c>
      <c r="E128" s="195">
        <v>105.051</v>
      </c>
      <c r="F128" s="195"/>
      <c r="G128" s="195"/>
      <c r="H128" s="195"/>
      <c r="I128" s="195"/>
      <c r="J128" s="231">
        <v>2057.2285999999999</v>
      </c>
      <c r="K128" s="252">
        <v>4231.4319999999998</v>
      </c>
      <c r="L128" s="88" t="s">
        <v>86</v>
      </c>
      <c r="M128" s="87"/>
    </row>
    <row r="129" spans="1:13" s="65" customFormat="1" ht="11.25" hidden="1" x14ac:dyDescent="0.2">
      <c r="A129" s="201">
        <v>132.76499999999999</v>
      </c>
      <c r="B129" s="331"/>
      <c r="C129" s="86"/>
      <c r="D129" s="203">
        <v>1377.0412999999999</v>
      </c>
      <c r="E129" s="195">
        <v>89.108000000000004</v>
      </c>
      <c r="F129" s="195"/>
      <c r="G129" s="195"/>
      <c r="H129" s="195"/>
      <c r="I129" s="195"/>
      <c r="J129" s="231">
        <v>1826.9068000000002</v>
      </c>
      <c r="K129" s="252">
        <v>3425.8211000000001</v>
      </c>
      <c r="L129" s="88" t="s">
        <v>87</v>
      </c>
      <c r="M129" s="87"/>
    </row>
    <row r="130" spans="1:13" s="65" customFormat="1" ht="11.25" hidden="1" x14ac:dyDescent="0.2">
      <c r="A130" s="201">
        <v>420.37199999999996</v>
      </c>
      <c r="B130" s="331"/>
      <c r="C130" s="86"/>
      <c r="D130" s="203">
        <v>5200.2986000000001</v>
      </c>
      <c r="E130" s="195">
        <v>348.45300000000003</v>
      </c>
      <c r="F130" s="195"/>
      <c r="G130" s="195"/>
      <c r="H130" s="195"/>
      <c r="I130" s="195"/>
      <c r="J130" s="231">
        <v>5899.2427000000007</v>
      </c>
      <c r="K130" s="252">
        <v>11868.366300000002</v>
      </c>
      <c r="L130" s="88" t="s">
        <v>55</v>
      </c>
      <c r="M130" s="87"/>
    </row>
    <row r="131" spans="1:13" s="65" customFormat="1" ht="11.25" hidden="1" x14ac:dyDescent="0.2">
      <c r="A131" s="201">
        <v>95.003</v>
      </c>
      <c r="B131" s="331"/>
      <c r="C131" s="86"/>
      <c r="D131" s="203">
        <v>1616.4207000000001</v>
      </c>
      <c r="E131" s="195">
        <v>106.342</v>
      </c>
      <c r="F131" s="195"/>
      <c r="G131" s="195"/>
      <c r="H131" s="195"/>
      <c r="I131" s="195"/>
      <c r="J131" s="231">
        <v>1994.1320000000001</v>
      </c>
      <c r="K131" s="252">
        <v>3811.8977</v>
      </c>
      <c r="L131" s="88" t="s">
        <v>89</v>
      </c>
      <c r="M131" s="87"/>
    </row>
    <row r="132" spans="1:13" s="65" customFormat="1" ht="11.25" hidden="1" x14ac:dyDescent="0.2">
      <c r="A132" s="201">
        <v>64.619</v>
      </c>
      <c r="B132" s="331"/>
      <c r="C132" s="86"/>
      <c r="D132" s="203">
        <v>1380.1592000000001</v>
      </c>
      <c r="E132" s="195">
        <v>95.090999999999994</v>
      </c>
      <c r="F132" s="195"/>
      <c r="G132" s="195"/>
      <c r="H132" s="195"/>
      <c r="I132" s="195"/>
      <c r="J132" s="231">
        <v>1874.5255</v>
      </c>
      <c r="K132" s="252">
        <v>3414.3946999999998</v>
      </c>
      <c r="L132" s="88" t="s">
        <v>90</v>
      </c>
      <c r="M132" s="87"/>
    </row>
    <row r="133" spans="1:13" s="65" customFormat="1" ht="11.25" hidden="1" x14ac:dyDescent="0.2">
      <c r="A133" s="201">
        <v>123.881</v>
      </c>
      <c r="B133" s="331"/>
      <c r="C133" s="86"/>
      <c r="D133" s="203">
        <v>1511.1248000000001</v>
      </c>
      <c r="E133" s="195">
        <v>109.386</v>
      </c>
      <c r="F133" s="195"/>
      <c r="G133" s="195"/>
      <c r="H133" s="195"/>
      <c r="I133" s="195"/>
      <c r="J133" s="231">
        <v>2018.0113999999999</v>
      </c>
      <c r="K133" s="252">
        <v>3762.4031999999997</v>
      </c>
      <c r="L133" s="88" t="s">
        <v>91</v>
      </c>
      <c r="M133" s="87"/>
    </row>
    <row r="134" spans="1:13" s="65" customFormat="1" ht="11.25" hidden="1" x14ac:dyDescent="0.2">
      <c r="A134" s="201">
        <v>283.50300000000004</v>
      </c>
      <c r="B134" s="331"/>
      <c r="C134" s="86"/>
      <c r="D134" s="203">
        <v>4507.7047000000002</v>
      </c>
      <c r="E134" s="195">
        <v>310.81899999999996</v>
      </c>
      <c r="F134" s="195"/>
      <c r="G134" s="195"/>
      <c r="H134" s="195"/>
      <c r="I134" s="195"/>
      <c r="J134" s="231">
        <v>5886.6689000000006</v>
      </c>
      <c r="K134" s="252">
        <v>10988.695599999999</v>
      </c>
      <c r="L134" s="88" t="s">
        <v>56</v>
      </c>
      <c r="M134" s="87"/>
    </row>
    <row r="135" spans="1:13" s="65" customFormat="1" ht="11.25" hidden="1" x14ac:dyDescent="0.2">
      <c r="A135" s="201"/>
      <c r="B135" s="331"/>
      <c r="C135" s="86"/>
      <c r="D135" s="203"/>
      <c r="E135" s="195"/>
      <c r="F135" s="195"/>
      <c r="G135" s="195"/>
      <c r="H135" s="195"/>
      <c r="I135" s="195"/>
      <c r="J135" s="231"/>
      <c r="K135" s="252"/>
      <c r="L135" s="88"/>
      <c r="M135" s="87"/>
    </row>
    <row r="136" spans="1:13" s="65" customFormat="1" ht="11.25" hidden="1" x14ac:dyDescent="0.2">
      <c r="A136" s="201">
        <v>106.901</v>
      </c>
      <c r="B136" s="331"/>
      <c r="C136" s="86"/>
      <c r="D136" s="203">
        <v>1484.3517999999999</v>
      </c>
      <c r="E136" s="195">
        <v>105.068</v>
      </c>
      <c r="F136" s="195"/>
      <c r="G136" s="195"/>
      <c r="H136" s="195"/>
      <c r="I136" s="195"/>
      <c r="J136" s="231">
        <v>2187.5713999999998</v>
      </c>
      <c r="K136" s="252">
        <v>3883.8921999999998</v>
      </c>
      <c r="L136" s="88" t="s">
        <v>78</v>
      </c>
      <c r="M136" s="87">
        <v>2013</v>
      </c>
    </row>
    <row r="137" spans="1:13" s="65" customFormat="1" ht="11.25" hidden="1" x14ac:dyDescent="0.2">
      <c r="A137" s="201">
        <v>163.9776</v>
      </c>
      <c r="B137" s="331"/>
      <c r="C137" s="86"/>
      <c r="D137" s="203">
        <v>1608.6084000000001</v>
      </c>
      <c r="E137" s="195">
        <v>128.41200000000001</v>
      </c>
      <c r="F137" s="195"/>
      <c r="G137" s="195"/>
      <c r="H137" s="195"/>
      <c r="I137" s="195"/>
      <c r="J137" s="231">
        <v>2106.7278999999999</v>
      </c>
      <c r="K137" s="252">
        <v>4007.7258999999999</v>
      </c>
      <c r="L137" s="88" t="s">
        <v>79</v>
      </c>
      <c r="M137" s="87"/>
    </row>
    <row r="138" spans="1:13" s="65" customFormat="1" ht="11.25" hidden="1" x14ac:dyDescent="0.2">
      <c r="A138" s="201">
        <v>193.79679999999999</v>
      </c>
      <c r="B138" s="331"/>
      <c r="C138" s="86"/>
      <c r="D138" s="203">
        <v>1513.0499</v>
      </c>
      <c r="E138" s="195">
        <v>130.227</v>
      </c>
      <c r="F138" s="195"/>
      <c r="G138" s="195"/>
      <c r="H138" s="195"/>
      <c r="I138" s="195"/>
      <c r="J138" s="231">
        <v>2219.355</v>
      </c>
      <c r="K138" s="252">
        <v>4056.4286999999999</v>
      </c>
      <c r="L138" s="88" t="s">
        <v>80</v>
      </c>
      <c r="M138" s="87"/>
    </row>
    <row r="139" spans="1:13" s="65" customFormat="1" ht="11.25" hidden="1" x14ac:dyDescent="0.2">
      <c r="A139" s="201">
        <v>464.67539999999997</v>
      </c>
      <c r="B139" s="331"/>
      <c r="C139" s="86"/>
      <c r="D139" s="203">
        <v>4606.0100999999995</v>
      </c>
      <c r="E139" s="195">
        <v>363.70699999999999</v>
      </c>
      <c r="F139" s="195"/>
      <c r="G139" s="195"/>
      <c r="H139" s="195"/>
      <c r="I139" s="195"/>
      <c r="J139" s="231">
        <v>6513.6543000000001</v>
      </c>
      <c r="K139" s="252">
        <v>11948.0468</v>
      </c>
      <c r="L139" s="88" t="s">
        <v>53</v>
      </c>
      <c r="M139" s="87">
        <v>2013</v>
      </c>
    </row>
    <row r="140" spans="1:13" s="65" customFormat="1" ht="11.25" hidden="1" x14ac:dyDescent="0.2">
      <c r="A140" s="201">
        <v>174.816092</v>
      </c>
      <c r="B140" s="331"/>
      <c r="C140" s="86"/>
      <c r="D140" s="203">
        <v>1760.9866999999999</v>
      </c>
      <c r="E140" s="195">
        <v>123.88499999999999</v>
      </c>
      <c r="F140" s="195"/>
      <c r="G140" s="195"/>
      <c r="H140" s="195"/>
      <c r="I140" s="195"/>
      <c r="J140" s="231">
        <v>2419.2726000000002</v>
      </c>
      <c r="K140" s="252">
        <v>4478.9603920000009</v>
      </c>
      <c r="L140" s="88" t="s">
        <v>68</v>
      </c>
      <c r="M140" s="87"/>
    </row>
    <row r="141" spans="1:13" s="65" customFormat="1" ht="11.25" hidden="1" x14ac:dyDescent="0.2">
      <c r="A141" s="201">
        <v>245.63056599999999</v>
      </c>
      <c r="B141" s="331"/>
      <c r="C141" s="86"/>
      <c r="D141" s="203">
        <v>1807.9820999999999</v>
      </c>
      <c r="E141" s="195">
        <v>127.623</v>
      </c>
      <c r="F141" s="195"/>
      <c r="G141" s="195"/>
      <c r="H141" s="195"/>
      <c r="I141" s="195"/>
      <c r="J141" s="231">
        <v>2464.0144</v>
      </c>
      <c r="K141" s="252">
        <v>4645.2500660000005</v>
      </c>
      <c r="L141" s="88" t="s">
        <v>82</v>
      </c>
      <c r="M141" s="87"/>
    </row>
    <row r="142" spans="1:13" s="65" customFormat="1" ht="11.25" hidden="1" x14ac:dyDescent="0.2">
      <c r="A142" s="201">
        <v>250.75577999999999</v>
      </c>
      <c r="B142" s="331"/>
      <c r="C142" s="86"/>
      <c r="D142" s="203">
        <v>1711.8458000000001</v>
      </c>
      <c r="E142" s="195">
        <v>140.31100000000001</v>
      </c>
      <c r="F142" s="195"/>
      <c r="G142" s="195"/>
      <c r="H142" s="195"/>
      <c r="I142" s="195"/>
      <c r="J142" s="231">
        <v>2137.9809</v>
      </c>
      <c r="K142" s="252">
        <v>4240.8934799999997</v>
      </c>
      <c r="L142" s="88" t="s">
        <v>83</v>
      </c>
      <c r="M142" s="87"/>
    </row>
    <row r="143" spans="1:13" s="65" customFormat="1" ht="11.25" hidden="1" x14ac:dyDescent="0.2">
      <c r="A143" s="201">
        <v>671.20243799999992</v>
      </c>
      <c r="B143" s="331"/>
      <c r="C143" s="86"/>
      <c r="D143" s="203">
        <v>5280.8145999999997</v>
      </c>
      <c r="E143" s="195">
        <v>391.81899999999996</v>
      </c>
      <c r="F143" s="195"/>
      <c r="G143" s="195"/>
      <c r="H143" s="195"/>
      <c r="I143" s="195"/>
      <c r="J143" s="231">
        <v>7021.2679000000007</v>
      </c>
      <c r="K143" s="252">
        <v>13365.103938</v>
      </c>
      <c r="L143" s="88" t="s">
        <v>54</v>
      </c>
      <c r="M143" s="87"/>
    </row>
    <row r="144" spans="1:13" s="65" customFormat="1" ht="11.25" hidden="1" x14ac:dyDescent="0.2">
      <c r="A144" s="201">
        <v>142.53899999999999</v>
      </c>
      <c r="B144" s="331"/>
      <c r="C144" s="86"/>
      <c r="D144" s="203">
        <v>1821.0237</v>
      </c>
      <c r="E144" s="195">
        <v>167.54599999999999</v>
      </c>
      <c r="F144" s="195"/>
      <c r="G144" s="195"/>
      <c r="H144" s="195"/>
      <c r="I144" s="195"/>
      <c r="J144" s="231">
        <v>2271.8384000000001</v>
      </c>
      <c r="K144" s="252">
        <v>4402.9471000000003</v>
      </c>
      <c r="L144" s="88" t="s">
        <v>85</v>
      </c>
      <c r="M144" s="87"/>
    </row>
    <row r="145" spans="1:13" s="65" customFormat="1" ht="11.25" hidden="1" x14ac:dyDescent="0.2">
      <c r="A145" s="201">
        <v>124.268081</v>
      </c>
      <c r="B145" s="331"/>
      <c r="C145" s="86"/>
      <c r="D145" s="203">
        <v>1579.6963000000001</v>
      </c>
      <c r="E145" s="195">
        <v>183.28800000000001</v>
      </c>
      <c r="F145" s="195"/>
      <c r="G145" s="195"/>
      <c r="H145" s="195"/>
      <c r="I145" s="195"/>
      <c r="J145" s="231">
        <v>2358.9081999999999</v>
      </c>
      <c r="K145" s="252">
        <v>4246.1605810000001</v>
      </c>
      <c r="L145" s="88" t="s">
        <v>86</v>
      </c>
      <c r="M145" s="87"/>
    </row>
    <row r="146" spans="1:13" s="65" customFormat="1" ht="11.25" hidden="1" x14ac:dyDescent="0.2">
      <c r="A146" s="201">
        <v>118.396766</v>
      </c>
      <c r="B146" s="331"/>
      <c r="C146" s="86"/>
      <c r="D146" s="203">
        <v>1322.8226999999999</v>
      </c>
      <c r="E146" s="195">
        <v>111.29900000000001</v>
      </c>
      <c r="F146" s="195"/>
      <c r="G146" s="195"/>
      <c r="H146" s="195"/>
      <c r="I146" s="195"/>
      <c r="J146" s="231">
        <v>1915.9230000000002</v>
      </c>
      <c r="K146" s="252">
        <v>3468.4414660000002</v>
      </c>
      <c r="L146" s="88" t="s">
        <v>87</v>
      </c>
      <c r="M146" s="87"/>
    </row>
    <row r="147" spans="1:13" s="65" customFormat="1" ht="11.25" hidden="1" x14ac:dyDescent="0.2">
      <c r="A147" s="201">
        <v>385.203847</v>
      </c>
      <c r="B147" s="331"/>
      <c r="C147" s="86"/>
      <c r="D147" s="203">
        <v>4723.5427</v>
      </c>
      <c r="E147" s="195">
        <v>462.13300000000004</v>
      </c>
      <c r="F147" s="195"/>
      <c r="G147" s="195"/>
      <c r="H147" s="195"/>
      <c r="I147" s="195"/>
      <c r="J147" s="231">
        <v>6546.6696000000011</v>
      </c>
      <c r="K147" s="252">
        <v>12117.549147000002</v>
      </c>
      <c r="L147" s="88" t="s">
        <v>55</v>
      </c>
      <c r="M147" s="87"/>
    </row>
    <row r="148" spans="1:13" s="65" customFormat="1" ht="11.25" hidden="1" x14ac:dyDescent="0.2">
      <c r="A148" s="201">
        <v>181.01236</v>
      </c>
      <c r="B148" s="331"/>
      <c r="C148" s="86"/>
      <c r="D148" s="203">
        <v>1568.7143000000001</v>
      </c>
      <c r="E148" s="195">
        <v>162.65700000000001</v>
      </c>
      <c r="F148" s="195"/>
      <c r="G148" s="195"/>
      <c r="H148" s="195"/>
      <c r="I148" s="195"/>
      <c r="J148" s="231">
        <v>1745.3618999999999</v>
      </c>
      <c r="K148" s="252">
        <v>3657.7455600000003</v>
      </c>
      <c r="L148" s="88" t="s">
        <v>89</v>
      </c>
      <c r="M148" s="87"/>
    </row>
    <row r="149" spans="1:13" s="65" customFormat="1" ht="11.25" hidden="1" x14ac:dyDescent="0.2">
      <c r="A149" s="201">
        <v>153.791166</v>
      </c>
      <c r="B149" s="331"/>
      <c r="C149" s="86"/>
      <c r="D149" s="203">
        <v>1530.2755</v>
      </c>
      <c r="E149" s="195">
        <v>113.048</v>
      </c>
      <c r="F149" s="195"/>
      <c r="G149" s="195"/>
      <c r="H149" s="195"/>
      <c r="I149" s="195"/>
      <c r="J149" s="231">
        <v>1842.2824000000001</v>
      </c>
      <c r="K149" s="252">
        <v>3639.3970660000005</v>
      </c>
      <c r="L149" s="88" t="s">
        <v>90</v>
      </c>
      <c r="M149" s="87"/>
    </row>
    <row r="150" spans="1:13" s="65" customFormat="1" ht="11.25" hidden="1" x14ac:dyDescent="0.2">
      <c r="A150" s="201">
        <v>226.04249100000001</v>
      </c>
      <c r="B150" s="331"/>
      <c r="C150" s="86"/>
      <c r="D150" s="203">
        <v>1504.2030999999999</v>
      </c>
      <c r="E150" s="195">
        <v>173.52799999999999</v>
      </c>
      <c r="F150" s="195"/>
      <c r="G150" s="195"/>
      <c r="H150" s="195"/>
      <c r="I150" s="195"/>
      <c r="J150" s="231">
        <v>2118.6016</v>
      </c>
      <c r="K150" s="252">
        <v>4022.3751910000001</v>
      </c>
      <c r="L150" s="88" t="s">
        <v>91</v>
      </c>
      <c r="M150" s="87"/>
    </row>
    <row r="151" spans="1:13" s="65" customFormat="1" ht="11.25" hidden="1" x14ac:dyDescent="0.2">
      <c r="A151" s="201">
        <v>560.84601700000007</v>
      </c>
      <c r="B151" s="331"/>
      <c r="C151" s="86"/>
      <c r="D151" s="203">
        <v>4603.1929</v>
      </c>
      <c r="E151" s="195">
        <v>449.23300000000006</v>
      </c>
      <c r="F151" s="195"/>
      <c r="G151" s="195"/>
      <c r="H151" s="195"/>
      <c r="I151" s="195"/>
      <c r="J151" s="231">
        <v>5706.2458999999999</v>
      </c>
      <c r="K151" s="252">
        <v>11319.517817</v>
      </c>
      <c r="L151" s="88" t="s">
        <v>56</v>
      </c>
      <c r="M151" s="87"/>
    </row>
    <row r="152" spans="1:13" s="65" customFormat="1" ht="11.25" hidden="1" x14ac:dyDescent="0.2">
      <c r="A152" s="201"/>
      <c r="B152" s="331"/>
      <c r="C152" s="86"/>
      <c r="D152" s="203"/>
      <c r="E152" s="195"/>
      <c r="F152" s="195"/>
      <c r="G152" s="195"/>
      <c r="H152" s="195"/>
      <c r="I152" s="195"/>
      <c r="J152" s="231"/>
      <c r="K152" s="252"/>
      <c r="L152" s="88"/>
      <c r="M152" s="87"/>
    </row>
    <row r="153" spans="1:13" s="65" customFormat="1" ht="11.25" hidden="1" x14ac:dyDescent="0.2">
      <c r="A153" s="201">
        <v>190.06930199999999</v>
      </c>
      <c r="B153" s="331"/>
      <c r="C153" s="86"/>
      <c r="D153" s="203">
        <v>1920.064883</v>
      </c>
      <c r="E153" s="195">
        <v>182.58799999999999</v>
      </c>
      <c r="F153" s="195"/>
      <c r="G153" s="195"/>
      <c r="H153" s="195"/>
      <c r="I153" s="195"/>
      <c r="J153" s="231">
        <v>2205.2129359999999</v>
      </c>
      <c r="K153" s="252">
        <v>4497.9351210000004</v>
      </c>
      <c r="L153" s="88" t="s">
        <v>78</v>
      </c>
      <c r="M153" s="87">
        <v>2014</v>
      </c>
    </row>
    <row r="154" spans="1:13" s="65" customFormat="1" ht="11.25" hidden="1" x14ac:dyDescent="0.2">
      <c r="A154" s="201">
        <v>228.89929000000001</v>
      </c>
      <c r="B154" s="331"/>
      <c r="C154" s="86"/>
      <c r="D154" s="203">
        <v>1837.7240959999999</v>
      </c>
      <c r="E154" s="195">
        <v>119.02900000000001</v>
      </c>
      <c r="F154" s="195"/>
      <c r="G154" s="195"/>
      <c r="H154" s="195"/>
      <c r="I154" s="195"/>
      <c r="J154" s="231">
        <v>1830.651171</v>
      </c>
      <c r="K154" s="252">
        <v>4016.3035570000002</v>
      </c>
      <c r="L154" s="88" t="s">
        <v>79</v>
      </c>
      <c r="M154" s="87"/>
    </row>
    <row r="155" spans="1:13" s="65" customFormat="1" ht="11.25" hidden="1" x14ac:dyDescent="0.2">
      <c r="A155" s="201">
        <v>231.590419</v>
      </c>
      <c r="B155" s="331"/>
      <c r="C155" s="86"/>
      <c r="D155" s="203">
        <v>1921.768161</v>
      </c>
      <c r="E155" s="195">
        <v>196.71699999999998</v>
      </c>
      <c r="F155" s="195"/>
      <c r="G155" s="195"/>
      <c r="H155" s="195"/>
      <c r="I155" s="195"/>
      <c r="J155" s="231">
        <v>2272.5641869999999</v>
      </c>
      <c r="K155" s="252">
        <v>4622.6397669999997</v>
      </c>
      <c r="L155" s="88" t="s">
        <v>80</v>
      </c>
      <c r="M155" s="87"/>
    </row>
    <row r="156" spans="1:13" s="65" customFormat="1" ht="11.25" hidden="1" x14ac:dyDescent="0.2">
      <c r="A156" s="201">
        <v>650.55901100000005</v>
      </c>
      <c r="B156" s="331"/>
      <c r="C156" s="86"/>
      <c r="D156" s="203">
        <v>5679.5571399999999</v>
      </c>
      <c r="E156" s="195">
        <v>498.334</v>
      </c>
      <c r="F156" s="195"/>
      <c r="G156" s="195"/>
      <c r="H156" s="195"/>
      <c r="I156" s="195"/>
      <c r="J156" s="231">
        <v>6308.4282939999994</v>
      </c>
      <c r="K156" s="252">
        <v>13136.878445000002</v>
      </c>
      <c r="L156" s="88" t="s">
        <v>53</v>
      </c>
      <c r="M156" s="87">
        <v>2014</v>
      </c>
    </row>
    <row r="157" spans="1:13" s="65" customFormat="1" ht="11.25" hidden="1" x14ac:dyDescent="0.2">
      <c r="A157" s="201">
        <v>235.29566800000001</v>
      </c>
      <c r="B157" s="331"/>
      <c r="C157" s="86"/>
      <c r="D157" s="203">
        <v>1454.0770480000001</v>
      </c>
      <c r="E157" s="195">
        <v>186.91800000000001</v>
      </c>
      <c r="F157" s="195"/>
      <c r="G157" s="195"/>
      <c r="H157" s="195"/>
      <c r="I157" s="195"/>
      <c r="J157" s="231">
        <v>2433.0225069999997</v>
      </c>
      <c r="K157" s="252">
        <v>4309.3132230000001</v>
      </c>
      <c r="L157" s="88" t="s">
        <v>68</v>
      </c>
      <c r="M157" s="87"/>
    </row>
    <row r="158" spans="1:13" s="65" customFormat="1" ht="11.25" hidden="1" x14ac:dyDescent="0.2">
      <c r="A158" s="201">
        <v>227.44423076923078</v>
      </c>
      <c r="B158" s="331"/>
      <c r="C158" s="86"/>
      <c r="D158" s="203">
        <v>1832.2082209999999</v>
      </c>
      <c r="E158" s="195">
        <v>173.93299999999999</v>
      </c>
      <c r="F158" s="195"/>
      <c r="G158" s="195"/>
      <c r="H158" s="195"/>
      <c r="I158" s="195"/>
      <c r="J158" s="231">
        <v>2412.0020479999998</v>
      </c>
      <c r="K158" s="252">
        <v>4645.5874997692308</v>
      </c>
      <c r="L158" s="88" t="s">
        <v>82</v>
      </c>
      <c r="M158" s="87"/>
    </row>
    <row r="159" spans="1:13" s="65" customFormat="1" ht="11.25" hidden="1" x14ac:dyDescent="0.2">
      <c r="A159" s="201">
        <v>169.96775</v>
      </c>
      <c r="B159" s="331"/>
      <c r="C159" s="86"/>
      <c r="D159" s="203">
        <v>1814.1639009999999</v>
      </c>
      <c r="E159" s="195">
        <v>150.679</v>
      </c>
      <c r="F159" s="195"/>
      <c r="G159" s="195"/>
      <c r="H159" s="195"/>
      <c r="I159" s="195"/>
      <c r="J159" s="231">
        <v>2387.7100839999998</v>
      </c>
      <c r="K159" s="252">
        <v>4522.5207350000001</v>
      </c>
      <c r="L159" s="88" t="s">
        <v>83</v>
      </c>
      <c r="M159" s="87"/>
    </row>
    <row r="160" spans="1:13" s="65" customFormat="1" ht="11.25" hidden="1" x14ac:dyDescent="0.2">
      <c r="A160" s="201">
        <v>632.70764876923079</v>
      </c>
      <c r="B160" s="331"/>
      <c r="C160" s="86"/>
      <c r="D160" s="203">
        <v>5100.4491699999999</v>
      </c>
      <c r="E160" s="195">
        <v>511.53</v>
      </c>
      <c r="F160" s="195"/>
      <c r="G160" s="195"/>
      <c r="H160" s="195"/>
      <c r="I160" s="195"/>
      <c r="J160" s="231">
        <v>7232.7346390000002</v>
      </c>
      <c r="K160" s="252">
        <v>13477.421457769231</v>
      </c>
      <c r="L160" s="88" t="s">
        <v>54</v>
      </c>
      <c r="M160" s="87"/>
    </row>
    <row r="161" spans="1:13" s="65" customFormat="1" ht="11.25" hidden="1" x14ac:dyDescent="0.2">
      <c r="A161" s="201">
        <v>101.149</v>
      </c>
      <c r="B161" s="331"/>
      <c r="C161" s="86"/>
      <c r="D161" s="203">
        <v>1669.554369</v>
      </c>
      <c r="E161" s="195">
        <v>168.03399999999999</v>
      </c>
      <c r="F161" s="195"/>
      <c r="G161" s="195"/>
      <c r="H161" s="195"/>
      <c r="I161" s="195"/>
      <c r="J161" s="231">
        <v>2627.396197</v>
      </c>
      <c r="K161" s="252">
        <v>4566.1335660000004</v>
      </c>
      <c r="L161" s="88" t="s">
        <v>85</v>
      </c>
      <c r="M161" s="87"/>
    </row>
    <row r="162" spans="1:13" s="65" customFormat="1" ht="11.25" hidden="1" x14ac:dyDescent="0.2">
      <c r="A162" s="201">
        <v>168.511608</v>
      </c>
      <c r="B162" s="331"/>
      <c r="C162" s="86"/>
      <c r="D162" s="203">
        <v>1855.6312049999999</v>
      </c>
      <c r="E162" s="195">
        <v>178.75899999999999</v>
      </c>
      <c r="F162" s="195"/>
      <c r="G162" s="195"/>
      <c r="H162" s="195"/>
      <c r="I162" s="195"/>
      <c r="J162" s="231">
        <v>2257.762444</v>
      </c>
      <c r="K162" s="252">
        <v>4460.6642570000004</v>
      </c>
      <c r="L162" s="88" t="s">
        <v>86</v>
      </c>
      <c r="M162" s="87"/>
    </row>
    <row r="163" spans="1:13" s="65" customFormat="1" ht="11.25" hidden="1" x14ac:dyDescent="0.2">
      <c r="A163" s="201">
        <v>243.89</v>
      </c>
      <c r="B163" s="331"/>
      <c r="C163" s="86"/>
      <c r="D163" s="203">
        <v>1830.4135679999999</v>
      </c>
      <c r="E163" s="195">
        <v>121.468</v>
      </c>
      <c r="F163" s="195"/>
      <c r="G163" s="195"/>
      <c r="H163" s="195"/>
      <c r="I163" s="195"/>
      <c r="J163" s="231">
        <v>2234.9858330000002</v>
      </c>
      <c r="K163" s="252">
        <v>4430.7574010000008</v>
      </c>
      <c r="L163" s="88" t="s">
        <v>87</v>
      </c>
      <c r="M163" s="87"/>
    </row>
    <row r="164" spans="1:13" s="65" customFormat="1" ht="11.25" hidden="1" x14ac:dyDescent="0.2">
      <c r="A164" s="201">
        <v>513.55060800000001</v>
      </c>
      <c r="B164" s="331"/>
      <c r="C164" s="86"/>
      <c r="D164" s="203">
        <v>5355.599142</v>
      </c>
      <c r="E164" s="195">
        <v>468.26100000000002</v>
      </c>
      <c r="F164" s="195"/>
      <c r="G164" s="195"/>
      <c r="H164" s="195"/>
      <c r="I164" s="195"/>
      <c r="J164" s="231">
        <v>7120.1444740000006</v>
      </c>
      <c r="K164" s="252">
        <v>13457.555224000002</v>
      </c>
      <c r="L164" s="88" t="s">
        <v>55</v>
      </c>
      <c r="M164" s="87"/>
    </row>
    <row r="165" spans="1:13" s="65" customFormat="1" ht="11.25" hidden="1" x14ac:dyDescent="0.2">
      <c r="A165" s="201">
        <v>188.40600000000001</v>
      </c>
      <c r="B165" s="331"/>
      <c r="C165" s="86"/>
      <c r="D165" s="203">
        <v>1705.707701</v>
      </c>
      <c r="E165" s="195">
        <v>141.488</v>
      </c>
      <c r="F165" s="195"/>
      <c r="G165" s="195"/>
      <c r="H165" s="195"/>
      <c r="I165" s="195"/>
      <c r="J165" s="231">
        <v>2264.1572980000001</v>
      </c>
      <c r="K165" s="252">
        <v>4299.7589989999997</v>
      </c>
      <c r="L165" s="88" t="s">
        <v>89</v>
      </c>
      <c r="M165" s="87"/>
    </row>
    <row r="166" spans="1:13" s="65" customFormat="1" ht="11.25" hidden="1" x14ac:dyDescent="0.2">
      <c r="A166" s="201">
        <v>133.66300000000001</v>
      </c>
      <c r="B166" s="331"/>
      <c r="C166" s="86"/>
      <c r="D166" s="203">
        <v>1659.022872</v>
      </c>
      <c r="E166" s="195">
        <v>156.05699999999999</v>
      </c>
      <c r="F166" s="195"/>
      <c r="G166" s="195"/>
      <c r="H166" s="195"/>
      <c r="I166" s="195"/>
      <c r="J166" s="231">
        <v>2147.5117169999999</v>
      </c>
      <c r="K166" s="252">
        <v>4096.2545890000001</v>
      </c>
      <c r="L166" s="88" t="s">
        <v>90</v>
      </c>
      <c r="M166" s="87"/>
    </row>
    <row r="167" spans="1:13" s="65" customFormat="1" ht="11.25" hidden="1" x14ac:dyDescent="0.2">
      <c r="A167" s="201">
        <v>191.33269999999999</v>
      </c>
      <c r="B167" s="331"/>
      <c r="C167" s="86"/>
      <c r="D167" s="203">
        <v>2054.402677</v>
      </c>
      <c r="E167" s="195">
        <v>155.08800000000002</v>
      </c>
      <c r="F167" s="195"/>
      <c r="G167" s="195"/>
      <c r="H167" s="195"/>
      <c r="I167" s="195"/>
      <c r="J167" s="231">
        <v>2427.1804790000001</v>
      </c>
      <c r="K167" s="252">
        <v>4828.0038560000003</v>
      </c>
      <c r="L167" s="88" t="s">
        <v>91</v>
      </c>
      <c r="M167" s="87"/>
    </row>
    <row r="168" spans="1:13" s="65" customFormat="1" ht="11.25" hidden="1" x14ac:dyDescent="0.2">
      <c r="A168" s="201">
        <v>513.40170000000001</v>
      </c>
      <c r="B168" s="331"/>
      <c r="C168" s="86"/>
      <c r="D168" s="203">
        <v>5419.1332499999999</v>
      </c>
      <c r="E168" s="195">
        <v>452.63299999999998</v>
      </c>
      <c r="F168" s="195"/>
      <c r="G168" s="195"/>
      <c r="H168" s="195"/>
      <c r="I168" s="195"/>
      <c r="J168" s="231">
        <v>6838.849494</v>
      </c>
      <c r="K168" s="252">
        <v>13224.017444000001</v>
      </c>
      <c r="L168" s="88" t="s">
        <v>56</v>
      </c>
      <c r="M168" s="87"/>
    </row>
    <row r="169" spans="1:13" s="65" customFormat="1" ht="11.25" hidden="1" x14ac:dyDescent="0.2">
      <c r="A169" s="201"/>
      <c r="B169" s="331"/>
      <c r="C169" s="86"/>
      <c r="D169" s="203"/>
      <c r="E169" s="195"/>
      <c r="F169" s="195"/>
      <c r="G169" s="195"/>
      <c r="H169" s="195"/>
      <c r="I169" s="195"/>
      <c r="J169" s="231"/>
      <c r="K169" s="252"/>
      <c r="L169" s="88"/>
      <c r="M169" s="87"/>
    </row>
    <row r="170" spans="1:13" s="65" customFormat="1" ht="11.25" hidden="1" x14ac:dyDescent="0.2">
      <c r="A170" s="201">
        <v>195.553</v>
      </c>
      <c r="B170" s="331"/>
      <c r="C170" s="86"/>
      <c r="D170" s="203">
        <v>1752.3765530000001</v>
      </c>
      <c r="E170" s="195">
        <v>136.51599999999999</v>
      </c>
      <c r="F170" s="195"/>
      <c r="G170" s="195"/>
      <c r="H170" s="195"/>
      <c r="I170" s="195"/>
      <c r="J170" s="231">
        <v>2221.024496</v>
      </c>
      <c r="K170" s="252">
        <v>4305.4700490000005</v>
      </c>
      <c r="L170" s="88" t="s">
        <v>78</v>
      </c>
      <c r="M170" s="87">
        <v>2015</v>
      </c>
    </row>
    <row r="171" spans="1:13" s="65" customFormat="1" ht="11.25" hidden="1" x14ac:dyDescent="0.2">
      <c r="A171" s="201">
        <v>181.52100000000002</v>
      </c>
      <c r="B171" s="331"/>
      <c r="C171" s="86"/>
      <c r="D171" s="203">
        <v>1546.442546</v>
      </c>
      <c r="E171" s="195">
        <v>122.93899999999999</v>
      </c>
      <c r="F171" s="195"/>
      <c r="G171" s="195"/>
      <c r="H171" s="195"/>
      <c r="I171" s="195"/>
      <c r="J171" s="231">
        <v>2162.0301250000002</v>
      </c>
      <c r="K171" s="252">
        <v>4012.932671</v>
      </c>
      <c r="L171" s="88" t="s">
        <v>79</v>
      </c>
      <c r="M171" s="87"/>
    </row>
    <row r="172" spans="1:13" s="65" customFormat="1" ht="11.25" hidden="1" x14ac:dyDescent="0.2">
      <c r="A172" s="201">
        <v>75.133259999999993</v>
      </c>
      <c r="B172" s="331"/>
      <c r="C172" s="86"/>
      <c r="D172" s="203">
        <v>2052.6554500000002</v>
      </c>
      <c r="E172" s="195">
        <v>200.70400000000001</v>
      </c>
      <c r="F172" s="195"/>
      <c r="G172" s="195"/>
      <c r="H172" s="195"/>
      <c r="I172" s="195"/>
      <c r="J172" s="231">
        <v>2712.24233</v>
      </c>
      <c r="K172" s="252">
        <v>5040.7350400000005</v>
      </c>
      <c r="L172" s="88" t="s">
        <v>80</v>
      </c>
      <c r="M172" s="87"/>
    </row>
    <row r="173" spans="1:13" s="65" customFormat="1" ht="11.25" hidden="1" x14ac:dyDescent="0.2">
      <c r="A173" s="201">
        <v>452.20726000000002</v>
      </c>
      <c r="B173" s="331"/>
      <c r="C173" s="86"/>
      <c r="D173" s="203">
        <v>5351.4745490000005</v>
      </c>
      <c r="E173" s="195">
        <v>460.15899999999999</v>
      </c>
      <c r="F173" s="195"/>
      <c r="G173" s="195"/>
      <c r="H173" s="195"/>
      <c r="I173" s="195"/>
      <c r="J173" s="231">
        <v>7095.2969510000003</v>
      </c>
      <c r="K173" s="252">
        <v>13359.137760000001</v>
      </c>
      <c r="L173" s="88" t="s">
        <v>53</v>
      </c>
      <c r="M173" s="87">
        <v>2015</v>
      </c>
    </row>
    <row r="174" spans="1:13" s="65" customFormat="1" ht="11.25" hidden="1" x14ac:dyDescent="0.2">
      <c r="A174" s="201">
        <v>18.689550000000001</v>
      </c>
      <c r="B174" s="331"/>
      <c r="C174" s="86"/>
      <c r="D174" s="203">
        <v>1594.15753</v>
      </c>
      <c r="E174" s="195">
        <v>176.91</v>
      </c>
      <c r="F174" s="195"/>
      <c r="G174" s="195"/>
      <c r="H174" s="195"/>
      <c r="I174" s="195"/>
      <c r="J174" s="231">
        <v>2200.9416000000001</v>
      </c>
      <c r="K174" s="252">
        <v>3990.6986799999995</v>
      </c>
      <c r="L174" s="88" t="s">
        <v>68</v>
      </c>
      <c r="M174" s="87"/>
    </row>
    <row r="175" spans="1:13" s="65" customFormat="1" ht="11.25" hidden="1" x14ac:dyDescent="0.2">
      <c r="A175" s="201">
        <v>20.215</v>
      </c>
      <c r="B175" s="331"/>
      <c r="C175" s="86"/>
      <c r="D175" s="203">
        <v>1938.2238629999999</v>
      </c>
      <c r="E175" s="195">
        <v>165.65900000000002</v>
      </c>
      <c r="F175" s="195"/>
      <c r="G175" s="195"/>
      <c r="H175" s="195"/>
      <c r="I175" s="195"/>
      <c r="J175" s="231">
        <v>2276.6903000000002</v>
      </c>
      <c r="K175" s="252">
        <v>4400.7881629999993</v>
      </c>
      <c r="L175" s="88" t="s">
        <v>82</v>
      </c>
      <c r="M175" s="87"/>
    </row>
    <row r="176" spans="1:13" s="65" customFormat="1" ht="11.25" hidden="1" x14ac:dyDescent="0.2">
      <c r="A176" s="201">
        <v>224.006</v>
      </c>
      <c r="B176" s="331"/>
      <c r="C176" s="86"/>
      <c r="D176" s="203">
        <v>2029.90166</v>
      </c>
      <c r="E176" s="195">
        <v>202.042</v>
      </c>
      <c r="F176" s="195"/>
      <c r="G176" s="195"/>
      <c r="H176" s="195"/>
      <c r="I176" s="195"/>
      <c r="J176" s="231">
        <v>2253.8384000000001</v>
      </c>
      <c r="K176" s="252">
        <v>4709.7880600000008</v>
      </c>
      <c r="L176" s="88" t="s">
        <v>83</v>
      </c>
      <c r="M176" s="87"/>
    </row>
    <row r="177" spans="1:13" s="65" customFormat="1" ht="11.25" hidden="1" x14ac:dyDescent="0.2">
      <c r="A177" s="201">
        <v>262.91055</v>
      </c>
      <c r="B177" s="331"/>
      <c r="C177" s="86"/>
      <c r="D177" s="203">
        <v>5562.2830529999992</v>
      </c>
      <c r="E177" s="195">
        <v>544.61099999999999</v>
      </c>
      <c r="F177" s="195"/>
      <c r="G177" s="195"/>
      <c r="H177" s="195"/>
      <c r="I177" s="195"/>
      <c r="J177" s="231">
        <v>6731.4703000000009</v>
      </c>
      <c r="K177" s="252">
        <v>13101.274903</v>
      </c>
      <c r="L177" s="88" t="s">
        <v>54</v>
      </c>
      <c r="M177" s="87"/>
    </row>
    <row r="178" spans="1:13" s="65" customFormat="1" ht="11.25" hidden="1" x14ac:dyDescent="0.2">
      <c r="A178" s="201">
        <v>314.45751999999999</v>
      </c>
      <c r="B178" s="331"/>
      <c r="C178" s="86"/>
      <c r="D178" s="203">
        <v>1931.9781330000001</v>
      </c>
      <c r="E178" s="195">
        <v>165.75399999999999</v>
      </c>
      <c r="F178" s="195"/>
      <c r="G178" s="195"/>
      <c r="H178" s="195"/>
      <c r="I178" s="195"/>
      <c r="J178" s="231">
        <v>2174.0535</v>
      </c>
      <c r="K178" s="252">
        <v>4586.2431529999994</v>
      </c>
      <c r="L178" s="88" t="s">
        <v>85</v>
      </c>
      <c r="M178" s="87"/>
    </row>
    <row r="179" spans="1:13" s="65" customFormat="1" ht="11.25" hidden="1" x14ac:dyDescent="0.2">
      <c r="A179" s="201">
        <v>246.21600000000001</v>
      </c>
      <c r="B179" s="331"/>
      <c r="C179" s="86"/>
      <c r="D179" s="203">
        <v>1944.7134430000001</v>
      </c>
      <c r="E179" s="195">
        <v>213.04300000000001</v>
      </c>
      <c r="F179" s="195"/>
      <c r="G179" s="195"/>
      <c r="H179" s="195"/>
      <c r="I179" s="195"/>
      <c r="J179" s="231">
        <v>2025.9070999999999</v>
      </c>
      <c r="K179" s="252">
        <v>4429.879543</v>
      </c>
      <c r="L179" s="88" t="s">
        <v>86</v>
      </c>
      <c r="M179" s="87"/>
    </row>
    <row r="180" spans="1:13" s="65" customFormat="1" ht="11.25" hidden="1" x14ac:dyDescent="0.2">
      <c r="A180" s="201">
        <v>86.743424523693207</v>
      </c>
      <c r="B180" s="331"/>
      <c r="C180" s="86"/>
      <c r="D180" s="203">
        <v>1667.770489</v>
      </c>
      <c r="E180" s="195">
        <v>181.82799999999997</v>
      </c>
      <c r="F180" s="195"/>
      <c r="G180" s="195"/>
      <c r="H180" s="195"/>
      <c r="I180" s="195"/>
      <c r="J180" s="231">
        <v>2190.4899</v>
      </c>
      <c r="K180" s="252">
        <v>4126.8318135236932</v>
      </c>
      <c r="L180" s="88" t="s">
        <v>87</v>
      </c>
      <c r="M180" s="87"/>
    </row>
    <row r="181" spans="1:13" s="65" customFormat="1" ht="11.25" hidden="1" x14ac:dyDescent="0.2">
      <c r="A181" s="201">
        <v>647.41694452369325</v>
      </c>
      <c r="B181" s="331"/>
      <c r="C181" s="86"/>
      <c r="D181" s="203">
        <v>5544.4620649999997</v>
      </c>
      <c r="E181" s="195">
        <v>560.625</v>
      </c>
      <c r="F181" s="195"/>
      <c r="G181" s="195"/>
      <c r="H181" s="195"/>
      <c r="I181" s="195"/>
      <c r="J181" s="231">
        <v>6390.4505000000008</v>
      </c>
      <c r="K181" s="252">
        <v>13142.954509523692</v>
      </c>
      <c r="L181" s="88" t="s">
        <v>55</v>
      </c>
      <c r="M181" s="87"/>
    </row>
    <row r="182" spans="1:13" s="65" customFormat="1" ht="11.25" hidden="1" x14ac:dyDescent="0.2">
      <c r="A182" s="201">
        <v>262.66300000000001</v>
      </c>
      <c r="B182" s="331"/>
      <c r="C182" s="86"/>
      <c r="D182" s="203">
        <v>1884.5512429999999</v>
      </c>
      <c r="E182" s="195">
        <v>178.80600000000001</v>
      </c>
      <c r="F182" s="195"/>
      <c r="G182" s="195"/>
      <c r="H182" s="195"/>
      <c r="I182" s="195"/>
      <c r="J182" s="231">
        <v>2365.0333000000001</v>
      </c>
      <c r="K182" s="252">
        <v>4691.053543</v>
      </c>
      <c r="L182" s="88" t="s">
        <v>89</v>
      </c>
      <c r="M182" s="87"/>
    </row>
    <row r="183" spans="1:13" s="65" customFormat="1" ht="11.25" hidden="1" x14ac:dyDescent="0.2">
      <c r="A183" s="201">
        <v>225.68516631259484</v>
      </c>
      <c r="B183" s="331"/>
      <c r="C183" s="86"/>
      <c r="D183" s="203">
        <v>1913.449846</v>
      </c>
      <c r="E183" s="195">
        <v>191.071</v>
      </c>
      <c r="F183" s="195"/>
      <c r="G183" s="195"/>
      <c r="H183" s="195"/>
      <c r="I183" s="195"/>
      <c r="J183" s="231">
        <v>2279.4775</v>
      </c>
      <c r="K183" s="252">
        <v>4609.6835123125948</v>
      </c>
      <c r="L183" s="88" t="s">
        <v>90</v>
      </c>
      <c r="M183" s="87"/>
    </row>
    <row r="184" spans="1:13" s="65" customFormat="1" ht="11.25" hidden="1" x14ac:dyDescent="0.2">
      <c r="A184" s="201">
        <v>252.30180100000001</v>
      </c>
      <c r="B184" s="331"/>
      <c r="C184" s="86"/>
      <c r="D184" s="203">
        <v>2017.2640959999999</v>
      </c>
      <c r="E184" s="195">
        <v>200.541</v>
      </c>
      <c r="F184" s="195"/>
      <c r="G184" s="195"/>
      <c r="H184" s="195"/>
      <c r="I184" s="195"/>
      <c r="J184" s="231">
        <v>2397.6986999999999</v>
      </c>
      <c r="K184" s="252">
        <v>4867.8055970000005</v>
      </c>
      <c r="L184" s="88" t="s">
        <v>91</v>
      </c>
      <c r="M184" s="87"/>
    </row>
    <row r="185" spans="1:13" s="65" customFormat="1" ht="11.25" hidden="1" x14ac:dyDescent="0.2">
      <c r="A185" s="201">
        <v>740.64996731259487</v>
      </c>
      <c r="B185" s="331"/>
      <c r="C185" s="86"/>
      <c r="D185" s="203">
        <v>5815.2651850000002</v>
      </c>
      <c r="E185" s="195">
        <v>570.41800000000001</v>
      </c>
      <c r="F185" s="195"/>
      <c r="G185" s="195"/>
      <c r="H185" s="195"/>
      <c r="I185" s="195"/>
      <c r="J185" s="231">
        <v>7042.2094999999999</v>
      </c>
      <c r="K185" s="252">
        <v>14168.542652312595</v>
      </c>
      <c r="L185" s="88" t="s">
        <v>56</v>
      </c>
      <c r="M185" s="87"/>
    </row>
    <row r="186" spans="1:13" s="65" customFormat="1" ht="11.25" hidden="1" x14ac:dyDescent="0.2">
      <c r="A186" s="201"/>
      <c r="B186" s="331"/>
      <c r="C186" s="86"/>
      <c r="D186" s="203"/>
      <c r="E186" s="195"/>
      <c r="F186" s="195"/>
      <c r="G186" s="195"/>
      <c r="H186" s="195"/>
      <c r="I186" s="195"/>
      <c r="J186" s="231"/>
      <c r="K186" s="252"/>
      <c r="L186" s="88"/>
      <c r="M186" s="87"/>
    </row>
    <row r="187" spans="1:13" s="65" customFormat="1" ht="11.25" hidden="1" x14ac:dyDescent="0.2">
      <c r="A187" s="201"/>
      <c r="B187" s="331"/>
      <c r="C187" s="86"/>
      <c r="D187" s="203"/>
      <c r="E187" s="195"/>
      <c r="F187" s="195"/>
      <c r="G187" s="195"/>
      <c r="H187" s="195"/>
      <c r="I187" s="195"/>
      <c r="J187" s="231"/>
      <c r="K187" s="252"/>
      <c r="L187" s="88"/>
      <c r="M187" s="87"/>
    </row>
    <row r="188" spans="1:13" s="65" customFormat="1" ht="11.25" hidden="1" x14ac:dyDescent="0.2">
      <c r="A188" s="201">
        <v>66.574999999999989</v>
      </c>
      <c r="B188" s="331"/>
      <c r="C188" s="86"/>
      <c r="D188" s="203">
        <v>1850.0747369999999</v>
      </c>
      <c r="E188" s="195">
        <v>213.934</v>
      </c>
      <c r="F188" s="195"/>
      <c r="G188" s="195"/>
      <c r="H188" s="195"/>
      <c r="I188" s="195"/>
      <c r="J188" s="231">
        <v>2313.4536109999999</v>
      </c>
      <c r="K188" s="252">
        <v>4444.0373479999998</v>
      </c>
      <c r="L188" s="88" t="s">
        <v>78</v>
      </c>
      <c r="M188" s="87">
        <v>2016</v>
      </c>
    </row>
    <row r="189" spans="1:13" s="65" customFormat="1" ht="11.25" hidden="1" x14ac:dyDescent="0.2">
      <c r="A189" s="201">
        <v>31.603000000000002</v>
      </c>
      <c r="B189" s="331"/>
      <c r="C189" s="86"/>
      <c r="D189" s="203">
        <v>1876.3052929999999</v>
      </c>
      <c r="E189" s="195">
        <v>219.93299999999999</v>
      </c>
      <c r="F189" s="195"/>
      <c r="G189" s="195"/>
      <c r="H189" s="195"/>
      <c r="I189" s="195"/>
      <c r="J189" s="231">
        <v>2313.5372459999999</v>
      </c>
      <c r="K189" s="252">
        <v>4441.3785390000003</v>
      </c>
      <c r="L189" s="88" t="s">
        <v>79</v>
      </c>
      <c r="M189" s="87"/>
    </row>
    <row r="190" spans="1:13" s="65" customFormat="1" ht="11.25" hidden="1" x14ac:dyDescent="0.2">
      <c r="A190" s="201">
        <v>82.012</v>
      </c>
      <c r="B190" s="331"/>
      <c r="C190" s="86"/>
      <c r="D190" s="203">
        <v>2190.3408749999999</v>
      </c>
      <c r="E190" s="195">
        <v>248.46</v>
      </c>
      <c r="F190" s="195"/>
      <c r="G190" s="195"/>
      <c r="H190" s="195"/>
      <c r="I190" s="195"/>
      <c r="J190" s="231">
        <v>2523.9870390000001</v>
      </c>
      <c r="K190" s="252">
        <v>5044.7999140000002</v>
      </c>
      <c r="L190" s="88" t="s">
        <v>80</v>
      </c>
      <c r="M190" s="87"/>
    </row>
    <row r="191" spans="1:13" s="65" customFormat="1" ht="11.25" hidden="1" x14ac:dyDescent="0.2">
      <c r="A191" s="201">
        <v>180.19</v>
      </c>
      <c r="B191" s="331"/>
      <c r="C191" s="86"/>
      <c r="D191" s="203">
        <v>5916.7209050000001</v>
      </c>
      <c r="E191" s="195">
        <v>682.327</v>
      </c>
      <c r="F191" s="195"/>
      <c r="G191" s="195"/>
      <c r="H191" s="195"/>
      <c r="I191" s="195"/>
      <c r="J191" s="231">
        <v>7150.9778960000003</v>
      </c>
      <c r="K191" s="252">
        <v>13930.215800999998</v>
      </c>
      <c r="L191" s="88" t="s">
        <v>53</v>
      </c>
      <c r="M191" s="87">
        <v>2016</v>
      </c>
    </row>
    <row r="192" spans="1:13" s="65" customFormat="1" ht="11.25" hidden="1" x14ac:dyDescent="0.2">
      <c r="A192" s="201">
        <v>134.91300000000001</v>
      </c>
      <c r="B192" s="331"/>
      <c r="C192" s="86"/>
      <c r="D192" s="203">
        <v>1900.095204</v>
      </c>
      <c r="E192" s="195">
        <v>239.86600000000001</v>
      </c>
      <c r="F192" s="195"/>
      <c r="G192" s="195"/>
      <c r="H192" s="195"/>
      <c r="I192" s="195"/>
      <c r="J192" s="231">
        <v>2223.569113</v>
      </c>
      <c r="K192" s="252">
        <v>4498.4433170000002</v>
      </c>
      <c r="L192" s="88" t="s">
        <v>68</v>
      </c>
      <c r="M192" s="87"/>
    </row>
    <row r="193" spans="1:13" s="65" customFormat="1" ht="11.25" hidden="1" x14ac:dyDescent="0.2">
      <c r="A193" s="201">
        <v>81.14626100000001</v>
      </c>
      <c r="B193" s="331"/>
      <c r="C193" s="86"/>
      <c r="D193" s="203">
        <v>2343.7298060000003</v>
      </c>
      <c r="E193" s="195">
        <v>274.202</v>
      </c>
      <c r="F193" s="195"/>
      <c r="G193" s="195"/>
      <c r="H193" s="195"/>
      <c r="I193" s="195"/>
      <c r="J193" s="231">
        <v>2663.6243800000002</v>
      </c>
      <c r="K193" s="252">
        <v>5362.7024469999997</v>
      </c>
      <c r="L193" s="88" t="s">
        <v>82</v>
      </c>
      <c r="M193" s="87"/>
    </row>
    <row r="194" spans="1:13" s="65" customFormat="1" ht="11.25" hidden="1" x14ac:dyDescent="0.2">
      <c r="A194" s="201">
        <v>109.438</v>
      </c>
      <c r="B194" s="331"/>
      <c r="C194" s="86"/>
      <c r="D194" s="203">
        <v>2160.0760319999999</v>
      </c>
      <c r="E194" s="195">
        <v>247.614</v>
      </c>
      <c r="F194" s="195"/>
      <c r="G194" s="195"/>
      <c r="H194" s="195"/>
      <c r="I194" s="195"/>
      <c r="J194" s="231">
        <v>2309.4995570000001</v>
      </c>
      <c r="K194" s="252">
        <v>4826.6275889999997</v>
      </c>
      <c r="L194" s="88" t="s">
        <v>83</v>
      </c>
      <c r="M194" s="87"/>
    </row>
    <row r="195" spans="1:13" s="65" customFormat="1" ht="11.25" hidden="1" x14ac:dyDescent="0.2">
      <c r="A195" s="201">
        <v>325.49726100000004</v>
      </c>
      <c r="B195" s="331"/>
      <c r="C195" s="86"/>
      <c r="D195" s="203">
        <v>6403.9010420000004</v>
      </c>
      <c r="E195" s="195">
        <v>761.68200000000002</v>
      </c>
      <c r="F195" s="195"/>
      <c r="G195" s="195"/>
      <c r="H195" s="195"/>
      <c r="I195" s="195"/>
      <c r="J195" s="231">
        <v>7196.6930500000008</v>
      </c>
      <c r="K195" s="252">
        <v>14687.773353</v>
      </c>
      <c r="L195" s="88" t="s">
        <v>54</v>
      </c>
      <c r="M195" s="87"/>
    </row>
    <row r="196" spans="1:13" s="65" customFormat="1" ht="11.25" hidden="1" x14ac:dyDescent="0.2">
      <c r="A196" s="201">
        <v>230.52600000000001</v>
      </c>
      <c r="B196" s="331"/>
      <c r="C196" s="86"/>
      <c r="D196" s="203">
        <v>1969.651699</v>
      </c>
      <c r="E196" s="195">
        <v>246.00200000000001</v>
      </c>
      <c r="F196" s="195"/>
      <c r="G196" s="195"/>
      <c r="H196" s="195"/>
      <c r="I196" s="195"/>
      <c r="J196" s="231">
        <v>2242.2658030000002</v>
      </c>
      <c r="K196" s="252">
        <v>4688.4455019999996</v>
      </c>
      <c r="L196" s="88" t="s">
        <v>85</v>
      </c>
      <c r="M196" s="87"/>
    </row>
    <row r="197" spans="1:13" s="65" customFormat="1" ht="11.25" hidden="1" x14ac:dyDescent="0.2">
      <c r="A197" s="201">
        <v>300.29399999999998</v>
      </c>
      <c r="B197" s="331"/>
      <c r="C197" s="86"/>
      <c r="D197" s="203">
        <v>2200.0692300000001</v>
      </c>
      <c r="E197" s="195">
        <v>229.517</v>
      </c>
      <c r="F197" s="195"/>
      <c r="G197" s="195"/>
      <c r="H197" s="195"/>
      <c r="I197" s="195"/>
      <c r="J197" s="231">
        <v>2184.1769999999997</v>
      </c>
      <c r="K197" s="252">
        <v>4914.0572299999994</v>
      </c>
      <c r="L197" s="88" t="s">
        <v>86</v>
      </c>
      <c r="M197" s="87"/>
    </row>
    <row r="198" spans="1:13" s="65" customFormat="1" ht="11.25" hidden="1" x14ac:dyDescent="0.2">
      <c r="A198" s="201">
        <v>273.66399999999999</v>
      </c>
      <c r="B198" s="331"/>
      <c r="C198" s="86"/>
      <c r="D198" s="203">
        <v>2060.654845</v>
      </c>
      <c r="E198" s="195">
        <v>241.58399999999997</v>
      </c>
      <c r="F198" s="195"/>
      <c r="G198" s="195"/>
      <c r="H198" s="195"/>
      <c r="I198" s="195"/>
      <c r="J198" s="231">
        <v>2149.087297</v>
      </c>
      <c r="K198" s="252">
        <v>4724.9901420000006</v>
      </c>
      <c r="L198" s="88" t="s">
        <v>87</v>
      </c>
      <c r="M198" s="87"/>
    </row>
    <row r="199" spans="1:13" s="65" customFormat="1" ht="11.25" hidden="1" x14ac:dyDescent="0.2">
      <c r="A199" s="201">
        <v>804.48399999999992</v>
      </c>
      <c r="B199" s="331"/>
      <c r="C199" s="86"/>
      <c r="D199" s="203">
        <v>6230.3757740000001</v>
      </c>
      <c r="E199" s="195">
        <v>717.10299999999995</v>
      </c>
      <c r="F199" s="195"/>
      <c r="G199" s="195"/>
      <c r="H199" s="195"/>
      <c r="I199" s="195"/>
      <c r="J199" s="231">
        <v>6575.5300999999999</v>
      </c>
      <c r="K199" s="252">
        <v>14327.492874</v>
      </c>
      <c r="L199" s="88" t="s">
        <v>55</v>
      </c>
      <c r="M199" s="87"/>
    </row>
    <row r="200" spans="1:13" s="65" customFormat="1" ht="11.25" hidden="1" x14ac:dyDescent="0.2">
      <c r="A200" s="201">
        <v>153.28699999999998</v>
      </c>
      <c r="B200" s="331"/>
      <c r="C200" s="86"/>
      <c r="D200" s="203">
        <v>1535.3624</v>
      </c>
      <c r="E200" s="195">
        <v>194.488</v>
      </c>
      <c r="F200" s="195"/>
      <c r="G200" s="195"/>
      <c r="H200" s="195"/>
      <c r="I200" s="195"/>
      <c r="J200" s="231">
        <v>2329.7873</v>
      </c>
      <c r="K200" s="252">
        <v>4212.9246999999996</v>
      </c>
      <c r="L200" s="88" t="s">
        <v>89</v>
      </c>
      <c r="M200" s="87"/>
    </row>
    <row r="201" spans="1:13" s="65" customFormat="1" ht="11.25" hidden="1" x14ac:dyDescent="0.2">
      <c r="A201" s="201">
        <v>321.73199999999997</v>
      </c>
      <c r="B201" s="331"/>
      <c r="C201" s="86"/>
      <c r="D201" s="203">
        <v>2083.3009999999999</v>
      </c>
      <c r="E201" s="195">
        <v>238.98500000000001</v>
      </c>
      <c r="F201" s="195"/>
      <c r="G201" s="195"/>
      <c r="H201" s="195"/>
      <c r="I201" s="195"/>
      <c r="J201" s="231">
        <v>2305.6553359999998</v>
      </c>
      <c r="K201" s="252">
        <v>4949.6733359999998</v>
      </c>
      <c r="L201" s="88" t="s">
        <v>90</v>
      </c>
      <c r="M201" s="87"/>
    </row>
    <row r="202" spans="1:13" s="65" customFormat="1" ht="11.25" hidden="1" x14ac:dyDescent="0.2">
      <c r="A202" s="201">
        <v>324.226</v>
      </c>
      <c r="B202" s="331"/>
      <c r="C202" s="86"/>
      <c r="D202" s="203">
        <v>1916.7567999999999</v>
      </c>
      <c r="E202" s="195">
        <v>230.93700000000001</v>
      </c>
      <c r="F202" s="195"/>
      <c r="G202" s="195"/>
      <c r="H202" s="195"/>
      <c r="I202" s="195"/>
      <c r="J202" s="231">
        <v>2467.9262229999999</v>
      </c>
      <c r="K202" s="252">
        <v>4939.8460230000001</v>
      </c>
      <c r="L202" s="88" t="s">
        <v>91</v>
      </c>
      <c r="M202" s="87"/>
    </row>
    <row r="203" spans="1:13" s="65" customFormat="1" ht="11.25" hidden="1" x14ac:dyDescent="0.2">
      <c r="A203" s="201">
        <v>799.24499999999989</v>
      </c>
      <c r="B203" s="331"/>
      <c r="C203" s="86"/>
      <c r="D203" s="203">
        <v>5535.4201999999996</v>
      </c>
      <c r="E203" s="195">
        <v>664.41000000000008</v>
      </c>
      <c r="F203" s="195"/>
      <c r="G203" s="195"/>
      <c r="H203" s="195"/>
      <c r="I203" s="195"/>
      <c r="J203" s="231">
        <v>7103.3688590000002</v>
      </c>
      <c r="K203" s="252">
        <v>14102.444058999999</v>
      </c>
      <c r="L203" s="88" t="s">
        <v>56</v>
      </c>
      <c r="M203" s="87"/>
    </row>
    <row r="204" spans="1:13" s="65" customFormat="1" ht="11.25" hidden="1" x14ac:dyDescent="0.2">
      <c r="A204" s="201">
        <v>104.170075</v>
      </c>
      <c r="B204" s="331"/>
      <c r="C204" s="86"/>
      <c r="D204" s="203">
        <v>2046.0102999999999</v>
      </c>
      <c r="E204" s="195">
        <v>225.291</v>
      </c>
      <c r="F204" s="195"/>
      <c r="G204" s="195"/>
      <c r="H204" s="195"/>
      <c r="I204" s="195"/>
      <c r="J204" s="231">
        <v>2463.6030099999998</v>
      </c>
      <c r="K204" s="252">
        <v>4839.0743849999999</v>
      </c>
      <c r="L204" s="88" t="s">
        <v>78</v>
      </c>
      <c r="M204" s="87">
        <v>2017</v>
      </c>
    </row>
    <row r="205" spans="1:13" s="65" customFormat="1" ht="11.25" hidden="1" x14ac:dyDescent="0.2">
      <c r="A205" s="201">
        <v>82.012500000000003</v>
      </c>
      <c r="B205" s="331"/>
      <c r="C205" s="86"/>
      <c r="D205" s="203">
        <v>1859.2658000000001</v>
      </c>
      <c r="E205" s="195">
        <v>265.42400000000004</v>
      </c>
      <c r="F205" s="195"/>
      <c r="G205" s="195"/>
      <c r="H205" s="195"/>
      <c r="I205" s="195"/>
      <c r="J205" s="231">
        <v>2122.7825229999999</v>
      </c>
      <c r="K205" s="252">
        <v>4329.4848229999998</v>
      </c>
      <c r="L205" s="88" t="s">
        <v>79</v>
      </c>
      <c r="M205" s="87"/>
    </row>
    <row r="206" spans="1:13" s="65" customFormat="1" ht="11.25" hidden="1" x14ac:dyDescent="0.2">
      <c r="A206" s="201">
        <v>99.277999999999992</v>
      </c>
      <c r="B206" s="331"/>
      <c r="C206" s="86"/>
      <c r="D206" s="203">
        <v>2044.8303999999998</v>
      </c>
      <c r="E206" s="195">
        <v>252.471</v>
      </c>
      <c r="F206" s="195"/>
      <c r="G206" s="195"/>
      <c r="H206" s="195"/>
      <c r="I206" s="195"/>
      <c r="J206" s="231">
        <v>2557.7669099999998</v>
      </c>
      <c r="K206" s="252">
        <v>4954.3463099999999</v>
      </c>
      <c r="L206" s="88" t="s">
        <v>80</v>
      </c>
      <c r="M206" s="87"/>
    </row>
    <row r="207" spans="1:13" s="65" customFormat="1" ht="11.25" hidden="1" x14ac:dyDescent="0.2">
      <c r="A207" s="201">
        <v>285.46057499999995</v>
      </c>
      <c r="B207" s="331"/>
      <c r="C207" s="86"/>
      <c r="D207" s="203">
        <v>5950.1064999999999</v>
      </c>
      <c r="E207" s="195">
        <v>743.18600000000004</v>
      </c>
      <c r="F207" s="195"/>
      <c r="G207" s="195"/>
      <c r="H207" s="195"/>
      <c r="I207" s="195"/>
      <c r="J207" s="231">
        <v>7144.152442999999</v>
      </c>
      <c r="K207" s="252">
        <v>14122.905518</v>
      </c>
      <c r="L207" s="88" t="s">
        <v>53</v>
      </c>
      <c r="M207" s="87">
        <v>2017</v>
      </c>
    </row>
    <row r="208" spans="1:13" s="65" customFormat="1" ht="11.25" hidden="1" x14ac:dyDescent="0.2">
      <c r="A208" s="201">
        <v>124.35900000000001</v>
      </c>
      <c r="B208" s="331"/>
      <c r="C208" s="86"/>
      <c r="D208" s="203">
        <v>1860.419625</v>
      </c>
      <c r="E208" s="195">
        <v>274.96899999999999</v>
      </c>
      <c r="F208" s="195"/>
      <c r="G208" s="195"/>
      <c r="H208" s="195"/>
      <c r="I208" s="195"/>
      <c r="J208" s="231">
        <v>2611.9913000000001</v>
      </c>
      <c r="K208" s="252">
        <v>4871.7389249999997</v>
      </c>
      <c r="L208" s="88" t="s">
        <v>68</v>
      </c>
      <c r="M208" s="87"/>
    </row>
    <row r="209" spans="1:13" s="65" customFormat="1" ht="11.25" hidden="1" x14ac:dyDescent="0.2">
      <c r="A209" s="201">
        <v>190.489</v>
      </c>
      <c r="B209" s="331"/>
      <c r="C209" s="86"/>
      <c r="D209" s="203">
        <v>2052.0463</v>
      </c>
      <c r="E209" s="195">
        <v>281.35199999999998</v>
      </c>
      <c r="F209" s="195"/>
      <c r="G209" s="195"/>
      <c r="H209" s="195"/>
      <c r="I209" s="195"/>
      <c r="J209" s="231">
        <v>2493.6741400000001</v>
      </c>
      <c r="K209" s="252">
        <v>5017.5614399999995</v>
      </c>
      <c r="L209" s="88" t="s">
        <v>82</v>
      </c>
      <c r="M209" s="87"/>
    </row>
    <row r="210" spans="1:13" s="65" customFormat="1" ht="11.25" hidden="1" x14ac:dyDescent="0.2">
      <c r="A210" s="201">
        <v>220.03700000000001</v>
      </c>
      <c r="B210" s="331"/>
      <c r="C210" s="86"/>
      <c r="D210" s="203">
        <v>1974.3510000000001</v>
      </c>
      <c r="E210" s="195">
        <v>252.01900000000001</v>
      </c>
      <c r="F210" s="195"/>
      <c r="G210" s="195"/>
      <c r="H210" s="195"/>
      <c r="I210" s="195"/>
      <c r="J210" s="231">
        <v>2588.7122719999998</v>
      </c>
      <c r="K210" s="252">
        <v>5035.1192719999999</v>
      </c>
      <c r="L210" s="88" t="s">
        <v>83</v>
      </c>
      <c r="M210" s="87"/>
    </row>
    <row r="211" spans="1:13" s="65" customFormat="1" ht="11.25" hidden="1" x14ac:dyDescent="0.2">
      <c r="A211" s="201">
        <v>534.88499999999999</v>
      </c>
      <c r="B211" s="331"/>
      <c r="C211" s="86"/>
      <c r="D211" s="203">
        <v>5886.8169250000001</v>
      </c>
      <c r="E211" s="195">
        <v>808.33999999999992</v>
      </c>
      <c r="F211" s="195"/>
      <c r="G211" s="195"/>
      <c r="H211" s="195"/>
      <c r="I211" s="195"/>
      <c r="J211" s="231">
        <v>7694.3777120000004</v>
      </c>
      <c r="K211" s="252">
        <v>14924.419636999999</v>
      </c>
      <c r="L211" s="88" t="s">
        <v>54</v>
      </c>
      <c r="M211" s="87"/>
    </row>
    <row r="212" spans="1:13" s="65" customFormat="1" ht="11.25" hidden="1" x14ac:dyDescent="0.2">
      <c r="A212" s="201">
        <v>252.57599999999999</v>
      </c>
      <c r="B212" s="331"/>
      <c r="C212" s="86"/>
      <c r="D212" s="203">
        <v>2107.1582490000001</v>
      </c>
      <c r="E212" s="195">
        <v>233.80361300000001</v>
      </c>
      <c r="F212" s="195"/>
      <c r="G212" s="195"/>
      <c r="H212" s="195"/>
      <c r="I212" s="195"/>
      <c r="J212" s="231">
        <v>2401.2903230000002</v>
      </c>
      <c r="K212" s="252">
        <v>4994.8281850000003</v>
      </c>
      <c r="L212" s="88" t="s">
        <v>85</v>
      </c>
      <c r="M212" s="87"/>
    </row>
    <row r="213" spans="1:13" s="65" customFormat="1" ht="11.25" hidden="1" x14ac:dyDescent="0.2">
      <c r="A213" s="201">
        <v>243.67699999999999</v>
      </c>
      <c r="B213" s="331"/>
      <c r="C213" s="86"/>
      <c r="D213" s="203">
        <v>2045.322711</v>
      </c>
      <c r="E213" s="195">
        <v>248.14747333333301</v>
      </c>
      <c r="F213" s="195"/>
      <c r="G213" s="195"/>
      <c r="H213" s="195"/>
      <c r="I213" s="195"/>
      <c r="J213" s="231">
        <v>2515.56025</v>
      </c>
      <c r="K213" s="252">
        <v>5052.7074343333334</v>
      </c>
      <c r="L213" s="88" t="s">
        <v>86</v>
      </c>
      <c r="M213" s="87"/>
    </row>
    <row r="214" spans="1:13" s="65" customFormat="1" ht="11.25" hidden="1" x14ac:dyDescent="0.2">
      <c r="A214" s="201">
        <v>131.8355</v>
      </c>
      <c r="B214" s="331"/>
      <c r="C214" s="86"/>
      <c r="D214" s="203">
        <v>1813.76476</v>
      </c>
      <c r="E214" s="195">
        <v>193.56724</v>
      </c>
      <c r="F214" s="195"/>
      <c r="G214" s="195"/>
      <c r="H214" s="195"/>
      <c r="I214" s="195"/>
      <c r="J214" s="231">
        <v>2263.3601600000002</v>
      </c>
      <c r="K214" s="252">
        <v>4402.5276599999997</v>
      </c>
      <c r="L214" s="88" t="s">
        <v>87</v>
      </c>
      <c r="M214" s="87"/>
    </row>
    <row r="215" spans="1:13" s="65" customFormat="1" ht="11.25" hidden="1" x14ac:dyDescent="0.2">
      <c r="A215" s="201">
        <v>628.08849999999995</v>
      </c>
      <c r="B215" s="331"/>
      <c r="C215" s="86"/>
      <c r="D215" s="203">
        <v>5966.2457199999999</v>
      </c>
      <c r="E215" s="195">
        <v>675.51832633333299</v>
      </c>
      <c r="F215" s="195"/>
      <c r="G215" s="195"/>
      <c r="H215" s="195"/>
      <c r="I215" s="195"/>
      <c r="J215" s="231">
        <v>7180.2107329999999</v>
      </c>
      <c r="K215" s="252">
        <v>14450.063279333333</v>
      </c>
      <c r="L215" s="88" t="s">
        <v>55</v>
      </c>
      <c r="M215" s="87"/>
    </row>
    <row r="216" spans="1:13" s="65" customFormat="1" ht="11.25" hidden="1" x14ac:dyDescent="0.2">
      <c r="A216" s="201">
        <v>227.02</v>
      </c>
      <c r="B216" s="331"/>
      <c r="C216" s="86"/>
      <c r="D216" s="203">
        <v>1845.3091949999998</v>
      </c>
      <c r="E216" s="195">
        <v>188.48647</v>
      </c>
      <c r="F216" s="195"/>
      <c r="G216" s="195"/>
      <c r="H216" s="195"/>
      <c r="I216" s="195"/>
      <c r="J216" s="231">
        <v>2445.4510500000001</v>
      </c>
      <c r="K216" s="252">
        <v>4706.2667149999997</v>
      </c>
      <c r="L216" s="88" t="s">
        <v>89</v>
      </c>
      <c r="M216" s="87"/>
    </row>
    <row r="217" spans="1:13" s="65" customFormat="1" ht="11.25" hidden="1" x14ac:dyDescent="0.2">
      <c r="A217" s="201">
        <v>236.29599999999999</v>
      </c>
      <c r="B217" s="331"/>
      <c r="C217" s="86"/>
      <c r="D217" s="203">
        <v>2051.298147</v>
      </c>
      <c r="E217" s="195">
        <v>319.34086400000001</v>
      </c>
      <c r="F217" s="195"/>
      <c r="G217" s="195"/>
      <c r="H217" s="195"/>
      <c r="I217" s="195"/>
      <c r="J217" s="231">
        <v>2329.0705459999999</v>
      </c>
      <c r="K217" s="252">
        <v>4936.0055570000004</v>
      </c>
      <c r="L217" s="88" t="s">
        <v>90</v>
      </c>
      <c r="M217" s="87"/>
    </row>
    <row r="218" spans="1:13" s="65" customFormat="1" ht="11.25" hidden="1" x14ac:dyDescent="0.2">
      <c r="A218" s="201">
        <v>259.70499999999998</v>
      </c>
      <c r="B218" s="331"/>
      <c r="C218" s="86"/>
      <c r="D218" s="203">
        <v>1884.7725989999999</v>
      </c>
      <c r="E218" s="195">
        <v>193.38177999999999</v>
      </c>
      <c r="F218" s="195"/>
      <c r="G218" s="195"/>
      <c r="H218" s="195"/>
      <c r="I218" s="195"/>
      <c r="J218" s="231">
        <v>2458.541686</v>
      </c>
      <c r="K218" s="252">
        <v>4796.401065</v>
      </c>
      <c r="L218" s="88" t="s">
        <v>91</v>
      </c>
      <c r="M218" s="87"/>
    </row>
    <row r="219" spans="1:13" s="65" customFormat="1" ht="11.25" hidden="1" x14ac:dyDescent="0.2">
      <c r="A219" s="201">
        <v>723.02099999999996</v>
      </c>
      <c r="B219" s="331"/>
      <c r="C219" s="86"/>
      <c r="D219" s="203">
        <v>5781.3799409999992</v>
      </c>
      <c r="E219" s="195">
        <v>701.209114</v>
      </c>
      <c r="F219" s="195"/>
      <c r="G219" s="195"/>
      <c r="H219" s="195"/>
      <c r="I219" s="195"/>
      <c r="J219" s="231">
        <v>7233.063282000001</v>
      </c>
      <c r="K219" s="252">
        <v>14438.673337</v>
      </c>
      <c r="L219" s="88" t="s">
        <v>56</v>
      </c>
      <c r="M219" s="87"/>
    </row>
    <row r="220" spans="1:13" s="65" customFormat="1" ht="11.25" hidden="1" x14ac:dyDescent="0.2">
      <c r="A220" s="201"/>
      <c r="B220" s="331"/>
      <c r="C220" s="86"/>
      <c r="D220" s="203"/>
      <c r="E220" s="195"/>
      <c r="F220" s="195"/>
      <c r="G220" s="195"/>
      <c r="H220" s="195"/>
      <c r="I220" s="195"/>
      <c r="J220" s="231"/>
      <c r="K220" s="252"/>
      <c r="L220" s="88"/>
      <c r="M220" s="87"/>
    </row>
    <row r="221" spans="1:13" s="65" customFormat="1" ht="11.25" hidden="1" x14ac:dyDescent="0.2">
      <c r="A221" s="201">
        <v>235.34200000000001</v>
      </c>
      <c r="B221" s="331"/>
      <c r="C221" s="86"/>
      <c r="D221" s="203">
        <v>2003.195046</v>
      </c>
      <c r="E221" s="195">
        <v>295.73099999999999</v>
      </c>
      <c r="F221" s="195"/>
      <c r="G221" s="195"/>
      <c r="H221" s="195"/>
      <c r="I221" s="195"/>
      <c r="J221" s="231">
        <v>2432.4583130000001</v>
      </c>
      <c r="K221" s="252">
        <v>4966.7263590000002</v>
      </c>
      <c r="L221" s="88" t="s">
        <v>78</v>
      </c>
      <c r="M221" s="87">
        <v>2018</v>
      </c>
    </row>
    <row r="222" spans="1:13" s="65" customFormat="1" ht="11.25" hidden="1" x14ac:dyDescent="0.2">
      <c r="A222" s="201">
        <v>143.99799999999999</v>
      </c>
      <c r="B222" s="331"/>
      <c r="C222" s="86"/>
      <c r="D222" s="203">
        <v>1853.087047</v>
      </c>
      <c r="E222" s="195">
        <v>219.601</v>
      </c>
      <c r="F222" s="195"/>
      <c r="G222" s="195"/>
      <c r="H222" s="195"/>
      <c r="I222" s="195"/>
      <c r="J222" s="231">
        <v>2617.9417199999998</v>
      </c>
      <c r="K222" s="252">
        <v>4834.6277669999999</v>
      </c>
      <c r="L222" s="88" t="s">
        <v>79</v>
      </c>
      <c r="M222" s="87"/>
    </row>
    <row r="223" spans="1:13" s="65" customFormat="1" ht="11.25" hidden="1" x14ac:dyDescent="0.2">
      <c r="A223" s="201">
        <v>92.164999999999992</v>
      </c>
      <c r="B223" s="331"/>
      <c r="C223" s="86"/>
      <c r="D223" s="203">
        <v>1899.4613140000001</v>
      </c>
      <c r="E223" s="195">
        <v>276.49200000000002</v>
      </c>
      <c r="F223" s="195"/>
      <c r="G223" s="195"/>
      <c r="H223" s="195"/>
      <c r="I223" s="195"/>
      <c r="J223" s="231">
        <v>2530.4862899999998</v>
      </c>
      <c r="K223" s="252">
        <v>4798.6046040000001</v>
      </c>
      <c r="L223" s="88" t="s">
        <v>80</v>
      </c>
      <c r="M223" s="87"/>
    </row>
    <row r="224" spans="1:13" s="65" customFormat="1" ht="11.25" hidden="1" x14ac:dyDescent="0.2">
      <c r="A224" s="201">
        <v>471.505</v>
      </c>
      <c r="B224" s="331"/>
      <c r="C224" s="86"/>
      <c r="D224" s="203">
        <v>5755.7434069999999</v>
      </c>
      <c r="E224" s="195">
        <v>791.82400000000007</v>
      </c>
      <c r="F224" s="195"/>
      <c r="G224" s="195"/>
      <c r="H224" s="195"/>
      <c r="I224" s="195"/>
      <c r="J224" s="231">
        <v>7580.8863229999997</v>
      </c>
      <c r="K224" s="252">
        <v>14599.95873</v>
      </c>
      <c r="L224" s="88" t="s">
        <v>53</v>
      </c>
      <c r="M224" s="87">
        <v>2018</v>
      </c>
    </row>
    <row r="225" spans="1:13" s="65" customFormat="1" ht="11.25" hidden="1" x14ac:dyDescent="0.2">
      <c r="A225" s="201">
        <v>163.79599999999999</v>
      </c>
      <c r="B225" s="331"/>
      <c r="C225" s="86"/>
      <c r="D225" s="203">
        <v>1925.889287</v>
      </c>
      <c r="E225" s="195">
        <v>299.12799999999999</v>
      </c>
      <c r="F225" s="195"/>
      <c r="G225" s="195"/>
      <c r="H225" s="195"/>
      <c r="I225" s="195"/>
      <c r="J225" s="231">
        <v>2830.2167600000002</v>
      </c>
      <c r="K225" s="252">
        <v>5219.0300470000002</v>
      </c>
      <c r="L225" s="88" t="s">
        <v>68</v>
      </c>
      <c r="M225" s="87"/>
    </row>
    <row r="226" spans="1:13" s="65" customFormat="1" ht="11.25" hidden="1" x14ac:dyDescent="0.2">
      <c r="A226" s="201">
        <v>130.58199999999999</v>
      </c>
      <c r="B226" s="331"/>
      <c r="C226" s="86"/>
      <c r="D226" s="203">
        <v>1982.586069</v>
      </c>
      <c r="E226" s="195">
        <v>313.83300000000003</v>
      </c>
      <c r="F226" s="195"/>
      <c r="G226" s="195"/>
      <c r="H226" s="195"/>
      <c r="I226" s="195"/>
      <c r="J226" s="231">
        <v>2650.4060009999998</v>
      </c>
      <c r="K226" s="252">
        <v>5077.4070700000002</v>
      </c>
      <c r="L226" s="88" t="s">
        <v>82</v>
      </c>
      <c r="M226" s="87"/>
    </row>
    <row r="227" spans="1:13" s="65" customFormat="1" ht="11.25" hidden="1" x14ac:dyDescent="0.2">
      <c r="A227" s="201">
        <v>208.18699999999998</v>
      </c>
      <c r="B227" s="331"/>
      <c r="C227" s="86"/>
      <c r="D227" s="203">
        <v>1971.0860629999997</v>
      </c>
      <c r="E227" s="195">
        <v>244.108</v>
      </c>
      <c r="F227" s="195"/>
      <c r="G227" s="195"/>
      <c r="H227" s="195"/>
      <c r="I227" s="195"/>
      <c r="J227" s="231">
        <v>2475.4333310000002</v>
      </c>
      <c r="K227" s="252">
        <v>4898.814394</v>
      </c>
      <c r="L227" s="88" t="s">
        <v>83</v>
      </c>
      <c r="M227" s="87"/>
    </row>
    <row r="228" spans="1:13" s="65" customFormat="1" ht="11.25" hidden="1" x14ac:dyDescent="0.2">
      <c r="A228" s="201">
        <v>502.56499999999994</v>
      </c>
      <c r="B228" s="331"/>
      <c r="C228" s="86"/>
      <c r="D228" s="203">
        <v>5879.5614189999997</v>
      </c>
      <c r="E228" s="195">
        <v>857.06899999999996</v>
      </c>
      <c r="F228" s="195"/>
      <c r="G228" s="195"/>
      <c r="H228" s="195"/>
      <c r="I228" s="195"/>
      <c r="J228" s="231">
        <v>7956.0560920000007</v>
      </c>
      <c r="K228" s="252">
        <v>15195.251511000002</v>
      </c>
      <c r="L228" s="88" t="s">
        <v>54</v>
      </c>
      <c r="M228" s="87"/>
    </row>
    <row r="229" spans="1:13" s="65" customFormat="1" ht="11.25" hidden="1" x14ac:dyDescent="0.2">
      <c r="A229" s="201">
        <v>98.125</v>
      </c>
      <c r="B229" s="331"/>
      <c r="C229" s="86"/>
      <c r="D229" s="203">
        <v>2204.184377</v>
      </c>
      <c r="E229" s="195">
        <v>365.36099999999999</v>
      </c>
      <c r="F229" s="195"/>
      <c r="G229" s="195"/>
      <c r="H229" s="195"/>
      <c r="I229" s="195"/>
      <c r="J229" s="231">
        <v>2246.4700699999999</v>
      </c>
      <c r="K229" s="252">
        <v>4914.1404469999998</v>
      </c>
      <c r="L229" s="88" t="s">
        <v>85</v>
      </c>
      <c r="M229" s="87"/>
    </row>
    <row r="230" spans="1:13" s="65" customFormat="1" ht="11.25" hidden="1" x14ac:dyDescent="0.2">
      <c r="A230" s="201">
        <v>214.126</v>
      </c>
      <c r="B230" s="331"/>
      <c r="C230" s="86"/>
      <c r="D230" s="203">
        <v>2189.9381960000001</v>
      </c>
      <c r="E230" s="195">
        <v>268.976</v>
      </c>
      <c r="F230" s="195"/>
      <c r="G230" s="195"/>
      <c r="H230" s="195"/>
      <c r="I230" s="195"/>
      <c r="J230" s="231">
        <v>2254.7462100000002</v>
      </c>
      <c r="K230" s="252">
        <v>4927.7864060000002</v>
      </c>
      <c r="L230" s="88" t="s">
        <v>86</v>
      </c>
      <c r="M230" s="87"/>
    </row>
    <row r="231" spans="1:13" s="65" customFormat="1" ht="11.25" hidden="1" x14ac:dyDescent="0.2">
      <c r="A231" s="201">
        <v>181.03099999999998</v>
      </c>
      <c r="B231" s="331"/>
      <c r="C231" s="86"/>
      <c r="D231" s="203">
        <v>1524.7896299999998</v>
      </c>
      <c r="E231" s="195">
        <v>243.404</v>
      </c>
      <c r="F231" s="195"/>
      <c r="G231" s="195"/>
      <c r="H231" s="195"/>
      <c r="I231" s="195"/>
      <c r="J231" s="231">
        <v>2282.9240600000003</v>
      </c>
      <c r="K231" s="252">
        <v>4232.14869</v>
      </c>
      <c r="L231" s="88" t="s">
        <v>87</v>
      </c>
      <c r="M231" s="87"/>
    </row>
    <row r="232" spans="1:13" s="65" customFormat="1" ht="11.25" hidden="1" x14ac:dyDescent="0.2">
      <c r="A232" s="201">
        <v>493.28199999999993</v>
      </c>
      <c r="B232" s="331"/>
      <c r="C232" s="86"/>
      <c r="D232" s="203">
        <v>5918.9122029999999</v>
      </c>
      <c r="E232" s="195">
        <v>877.74099999999999</v>
      </c>
      <c r="F232" s="195"/>
      <c r="G232" s="195"/>
      <c r="H232" s="195"/>
      <c r="I232" s="195"/>
      <c r="J232" s="231">
        <v>6784.1403400000008</v>
      </c>
      <c r="K232" s="252">
        <v>14074.075543000001</v>
      </c>
      <c r="L232" s="88" t="s">
        <v>55</v>
      </c>
      <c r="M232" s="87"/>
    </row>
    <row r="233" spans="1:13" s="65" customFormat="1" ht="11.25" hidden="1" x14ac:dyDescent="0.2">
      <c r="A233" s="201">
        <v>216.03900000000002</v>
      </c>
      <c r="B233" s="331"/>
      <c r="C233" s="86"/>
      <c r="D233" s="203">
        <v>2025.30249</v>
      </c>
      <c r="E233" s="195">
        <v>314.45800000000003</v>
      </c>
      <c r="F233" s="195"/>
      <c r="G233" s="195"/>
      <c r="H233" s="195"/>
      <c r="I233" s="195"/>
      <c r="J233" s="231">
        <v>2442.325644</v>
      </c>
      <c r="K233" s="252">
        <v>4998.1251339999999</v>
      </c>
      <c r="L233" s="88" t="s">
        <v>89</v>
      </c>
      <c r="M233" s="87"/>
    </row>
    <row r="234" spans="1:13" s="65" customFormat="1" ht="11.25" hidden="1" x14ac:dyDescent="0.2">
      <c r="A234" s="201">
        <v>277.21499999999997</v>
      </c>
      <c r="B234" s="331"/>
      <c r="C234" s="86"/>
      <c r="D234" s="203">
        <v>2055.3973230000001</v>
      </c>
      <c r="E234" s="195">
        <v>300.92399999999998</v>
      </c>
      <c r="F234" s="195"/>
      <c r="G234" s="195"/>
      <c r="H234" s="195"/>
      <c r="I234" s="195"/>
      <c r="J234" s="231">
        <v>2369.7740800000001</v>
      </c>
      <c r="K234" s="252">
        <v>5003.3104030000004</v>
      </c>
      <c r="L234" s="88" t="s">
        <v>90</v>
      </c>
      <c r="M234" s="87"/>
    </row>
    <row r="235" spans="1:13" s="65" customFormat="1" ht="11.25" hidden="1" x14ac:dyDescent="0.2">
      <c r="A235" s="201">
        <v>329.459</v>
      </c>
      <c r="B235" s="331"/>
      <c r="C235" s="86"/>
      <c r="D235" s="203">
        <v>1840.130271</v>
      </c>
      <c r="E235" s="195">
        <v>276.80599999999998</v>
      </c>
      <c r="F235" s="195"/>
      <c r="G235" s="195"/>
      <c r="H235" s="195"/>
      <c r="I235" s="195"/>
      <c r="J235" s="231">
        <v>2397.8498600000003</v>
      </c>
      <c r="K235" s="252">
        <v>4844.2451309999997</v>
      </c>
      <c r="L235" s="88" t="s">
        <v>91</v>
      </c>
      <c r="M235" s="87"/>
    </row>
    <row r="236" spans="1:13" s="65" customFormat="1" ht="11.25" hidden="1" x14ac:dyDescent="0.2">
      <c r="A236" s="201">
        <v>822.71299999999997</v>
      </c>
      <c r="B236" s="331"/>
      <c r="C236" s="86"/>
      <c r="D236" s="203">
        <v>5920.8300840000002</v>
      </c>
      <c r="E236" s="195">
        <v>892.1880000000001</v>
      </c>
      <c r="F236" s="195"/>
      <c r="G236" s="195"/>
      <c r="H236" s="195"/>
      <c r="I236" s="195"/>
      <c r="J236" s="231">
        <v>7209.949584</v>
      </c>
      <c r="K236" s="252">
        <v>14845.680668000001</v>
      </c>
      <c r="L236" s="88" t="s">
        <v>56</v>
      </c>
      <c r="M236" s="87"/>
    </row>
    <row r="237" spans="1:13" s="65" customFormat="1" ht="11.25" hidden="1" x14ac:dyDescent="0.2">
      <c r="A237" s="201"/>
      <c r="B237" s="331"/>
      <c r="C237" s="86"/>
      <c r="D237" s="203"/>
      <c r="E237" s="195"/>
      <c r="F237" s="195"/>
      <c r="G237" s="195"/>
      <c r="H237" s="195"/>
      <c r="I237" s="195"/>
      <c r="J237" s="231"/>
      <c r="K237" s="252"/>
      <c r="L237" s="88"/>
      <c r="M237" s="87"/>
    </row>
    <row r="238" spans="1:13" s="65" customFormat="1" ht="11.25" hidden="1" x14ac:dyDescent="0.2">
      <c r="A238" s="201">
        <v>153.94499999999999</v>
      </c>
      <c r="B238" s="331"/>
      <c r="C238" s="86"/>
      <c r="D238" s="203">
        <v>1957.5165910000001</v>
      </c>
      <c r="E238" s="195">
        <v>266.041</v>
      </c>
      <c r="F238" s="195"/>
      <c r="G238" s="195"/>
      <c r="H238" s="195"/>
      <c r="I238" s="195"/>
      <c r="J238" s="231">
        <v>2470.0076800000002</v>
      </c>
      <c r="K238" s="252">
        <v>4847.5102710000001</v>
      </c>
      <c r="L238" s="88" t="s">
        <v>78</v>
      </c>
      <c r="M238" s="87">
        <v>2019</v>
      </c>
    </row>
    <row r="239" spans="1:13" s="65" customFormat="1" ht="11.25" hidden="1" x14ac:dyDescent="0.2">
      <c r="A239" s="201">
        <v>174.59</v>
      </c>
      <c r="B239" s="331"/>
      <c r="C239" s="86"/>
      <c r="D239" s="203">
        <v>1858.8750690000002</v>
      </c>
      <c r="E239" s="195">
        <v>232.400732</v>
      </c>
      <c r="F239" s="195"/>
      <c r="G239" s="195"/>
      <c r="H239" s="195"/>
      <c r="I239" s="195"/>
      <c r="J239" s="231">
        <v>2325.5769599999999</v>
      </c>
      <c r="K239" s="252">
        <v>4591.4427610000002</v>
      </c>
      <c r="L239" s="88" t="s">
        <v>79</v>
      </c>
      <c r="M239" s="87"/>
    </row>
    <row r="240" spans="1:13" s="65" customFormat="1" ht="11.25" hidden="1" x14ac:dyDescent="0.2">
      <c r="A240" s="201">
        <v>195.815</v>
      </c>
      <c r="B240" s="331"/>
      <c r="C240" s="86"/>
      <c r="D240" s="203">
        <v>1896.9877799999999</v>
      </c>
      <c r="E240" s="195">
        <v>289.42347799999999</v>
      </c>
      <c r="F240" s="195"/>
      <c r="G240" s="195"/>
      <c r="H240" s="195"/>
      <c r="I240" s="195"/>
      <c r="J240" s="231">
        <v>2816.98927</v>
      </c>
      <c r="K240" s="252">
        <v>5199.2155280000006</v>
      </c>
      <c r="L240" s="88" t="s">
        <v>80</v>
      </c>
      <c r="M240" s="87"/>
    </row>
    <row r="241" spans="1:14" s="65" customFormat="1" ht="11.25" hidden="1" x14ac:dyDescent="0.2">
      <c r="A241" s="201">
        <v>524.34999999999991</v>
      </c>
      <c r="B241" s="331"/>
      <c r="C241" s="86"/>
      <c r="D241" s="203">
        <v>5713.3794400000006</v>
      </c>
      <c r="E241" s="195">
        <v>787.86520999999993</v>
      </c>
      <c r="F241" s="195"/>
      <c r="G241" s="195"/>
      <c r="H241" s="195"/>
      <c r="I241" s="195"/>
      <c r="J241" s="231">
        <v>7612.5739100000001</v>
      </c>
      <c r="K241" s="252">
        <v>14638.168560000002</v>
      </c>
      <c r="L241" s="88" t="s">
        <v>53</v>
      </c>
      <c r="M241" s="87">
        <v>2019</v>
      </c>
      <c r="N241" s="353"/>
    </row>
    <row r="242" spans="1:14" s="65" customFormat="1" ht="11.25" hidden="1" x14ac:dyDescent="0.2">
      <c r="A242" s="201">
        <v>234.732</v>
      </c>
      <c r="B242" s="331"/>
      <c r="C242" s="86"/>
      <c r="D242" s="203">
        <v>2000.4671080000001</v>
      </c>
      <c r="E242" s="195">
        <v>209.46208999999999</v>
      </c>
      <c r="F242" s="195"/>
      <c r="G242" s="195"/>
      <c r="H242" s="195"/>
      <c r="I242" s="195"/>
      <c r="J242" s="231">
        <v>2526.0604199999998</v>
      </c>
      <c r="K242" s="252">
        <v>4970.7216179999996</v>
      </c>
      <c r="L242" s="88" t="s">
        <v>68</v>
      </c>
      <c r="M242" s="87"/>
      <c r="N242" s="353"/>
    </row>
    <row r="243" spans="1:14" s="65" customFormat="1" ht="11.25" hidden="1" x14ac:dyDescent="0.2">
      <c r="A243" s="201">
        <v>131.68899999999999</v>
      </c>
      <c r="B243" s="331"/>
      <c r="C243" s="86"/>
      <c r="D243" s="203">
        <v>2054.4878950000002</v>
      </c>
      <c r="E243" s="195">
        <v>255.44280000000001</v>
      </c>
      <c r="F243" s="195"/>
      <c r="G243" s="195"/>
      <c r="H243" s="195"/>
      <c r="I243" s="195"/>
      <c r="J243" s="231">
        <v>2426.7712300000003</v>
      </c>
      <c r="K243" s="252">
        <v>4868.3909249999997</v>
      </c>
      <c r="L243" s="88" t="s">
        <v>82</v>
      </c>
      <c r="M243" s="87"/>
      <c r="N243" s="353"/>
    </row>
    <row r="244" spans="1:14" s="65" customFormat="1" ht="11.25" hidden="1" x14ac:dyDescent="0.2">
      <c r="A244" s="201">
        <v>230.60900000000001</v>
      </c>
      <c r="B244" s="331"/>
      <c r="C244" s="86"/>
      <c r="D244" s="203">
        <v>1958.7339710000001</v>
      </c>
      <c r="E244" s="195">
        <v>263.07011299999999</v>
      </c>
      <c r="F244" s="195"/>
      <c r="G244" s="195"/>
      <c r="H244" s="195"/>
      <c r="I244" s="195"/>
      <c r="J244" s="231">
        <v>2482.6518900000001</v>
      </c>
      <c r="K244" s="252">
        <v>4935.0649739999999</v>
      </c>
      <c r="L244" s="88" t="s">
        <v>83</v>
      </c>
      <c r="M244" s="87"/>
      <c r="N244" s="353"/>
    </row>
    <row r="245" spans="1:14" s="65" customFormat="1" ht="11.25" hidden="1" x14ac:dyDescent="0.2">
      <c r="A245" s="201">
        <v>597.03</v>
      </c>
      <c r="B245" s="331"/>
      <c r="C245" s="86"/>
      <c r="D245" s="203">
        <v>6013.6889740000006</v>
      </c>
      <c r="E245" s="195">
        <v>727.97500300000002</v>
      </c>
      <c r="F245" s="195"/>
      <c r="G245" s="195"/>
      <c r="H245" s="195"/>
      <c r="I245" s="195"/>
      <c r="J245" s="231">
        <v>7435.4835400000002</v>
      </c>
      <c r="K245" s="252">
        <v>14774.177517</v>
      </c>
      <c r="L245" s="88" t="s">
        <v>54</v>
      </c>
      <c r="M245" s="87"/>
      <c r="N245" s="353"/>
    </row>
    <row r="246" spans="1:14" s="65" customFormat="1" ht="11.25" hidden="1" x14ac:dyDescent="0.2">
      <c r="A246" s="201">
        <v>142.114</v>
      </c>
      <c r="B246" s="331"/>
      <c r="C246" s="86"/>
      <c r="D246" s="203">
        <v>2197.8938360000002</v>
      </c>
      <c r="E246" s="195">
        <v>312.17</v>
      </c>
      <c r="F246" s="195"/>
      <c r="G246" s="195"/>
      <c r="H246" s="195"/>
      <c r="I246" s="195"/>
      <c r="J246" s="231">
        <v>2459.6588200000001</v>
      </c>
      <c r="K246" s="252">
        <v>5111.8366559999995</v>
      </c>
      <c r="L246" s="88" t="s">
        <v>85</v>
      </c>
      <c r="M246" s="87"/>
      <c r="N246" s="353"/>
    </row>
    <row r="247" spans="1:14" s="65" customFormat="1" ht="11.25" hidden="1" x14ac:dyDescent="0.2">
      <c r="A247" s="201">
        <v>240.84100000000001</v>
      </c>
      <c r="B247" s="331"/>
      <c r="C247" s="86"/>
      <c r="D247" s="203">
        <v>2181.8367509999998</v>
      </c>
      <c r="E247" s="195">
        <v>186.989</v>
      </c>
      <c r="F247" s="195"/>
      <c r="G247" s="195"/>
      <c r="H247" s="195"/>
      <c r="I247" s="195"/>
      <c r="J247" s="231">
        <v>2214.6685299999999</v>
      </c>
      <c r="K247" s="252">
        <v>4824.3352809999997</v>
      </c>
      <c r="L247" s="88" t="s">
        <v>86</v>
      </c>
      <c r="M247" s="87"/>
      <c r="N247" s="353"/>
    </row>
    <row r="248" spans="1:14" s="65" customFormat="1" ht="11.25" hidden="1" x14ac:dyDescent="0.2">
      <c r="A248" s="201">
        <v>78.728099999999998</v>
      </c>
      <c r="B248" s="331"/>
      <c r="C248" s="86"/>
      <c r="D248" s="203">
        <v>1892.7387699999999</v>
      </c>
      <c r="E248" s="195">
        <v>305.50281000000001</v>
      </c>
      <c r="F248" s="195"/>
      <c r="G248" s="195"/>
      <c r="H248" s="195"/>
      <c r="I248" s="195"/>
      <c r="J248" s="231">
        <v>2192.6702299999997</v>
      </c>
      <c r="K248" s="252">
        <v>4469.6399099999999</v>
      </c>
      <c r="L248" s="88" t="s">
        <v>87</v>
      </c>
      <c r="M248" s="87"/>
      <c r="N248" s="353"/>
    </row>
    <row r="249" spans="1:14" s="65" customFormat="1" ht="11.25" hidden="1" x14ac:dyDescent="0.2">
      <c r="A249" s="201">
        <v>461.68310000000002</v>
      </c>
      <c r="B249" s="331"/>
      <c r="C249" s="86"/>
      <c r="D249" s="203">
        <v>6272.4693569999999</v>
      </c>
      <c r="E249" s="195">
        <v>804.66181000000006</v>
      </c>
      <c r="F249" s="195"/>
      <c r="G249" s="195"/>
      <c r="H249" s="195"/>
      <c r="I249" s="195"/>
      <c r="J249" s="231">
        <v>6866.9975799999993</v>
      </c>
      <c r="K249" s="252">
        <v>14405.811846999999</v>
      </c>
      <c r="L249" s="88" t="s">
        <v>55</v>
      </c>
      <c r="M249" s="87"/>
      <c r="N249" s="353"/>
    </row>
    <row r="250" spans="1:14" s="65" customFormat="1" ht="11.25" hidden="1" x14ac:dyDescent="0.2">
      <c r="A250" s="201">
        <v>79.242999999999995</v>
      </c>
      <c r="B250" s="331"/>
      <c r="C250" s="86"/>
      <c r="D250" s="203">
        <v>1792.69328</v>
      </c>
      <c r="E250" s="195">
        <v>230.434</v>
      </c>
      <c r="F250" s="195"/>
      <c r="G250" s="195"/>
      <c r="H250" s="195"/>
      <c r="I250" s="195"/>
      <c r="J250" s="231">
        <v>2862.3682200000003</v>
      </c>
      <c r="K250" s="252">
        <v>4964.7384999999995</v>
      </c>
      <c r="L250" s="88" t="s">
        <v>89</v>
      </c>
      <c r="M250" s="87"/>
      <c r="N250" s="353"/>
    </row>
    <row r="251" spans="1:14" s="65" customFormat="1" ht="11.25" hidden="1" x14ac:dyDescent="0.2">
      <c r="A251" s="201">
        <v>118.82900000000001</v>
      </c>
      <c r="B251" s="331"/>
      <c r="C251" s="86"/>
      <c r="D251" s="203">
        <v>1982.382752</v>
      </c>
      <c r="E251" s="195">
        <v>238.20099999999999</v>
      </c>
      <c r="F251" s="195"/>
      <c r="G251" s="195"/>
      <c r="H251" s="195"/>
      <c r="I251" s="195"/>
      <c r="J251" s="231">
        <v>2138.0665899999999</v>
      </c>
      <c r="K251" s="252">
        <v>4477.4793420000005</v>
      </c>
      <c r="L251" s="88" t="s">
        <v>90</v>
      </c>
      <c r="M251" s="87"/>
      <c r="N251" s="353"/>
    </row>
    <row r="252" spans="1:14" s="65" customFormat="1" ht="11.25" hidden="1" x14ac:dyDescent="0.2">
      <c r="A252" s="201">
        <v>163.58200000000002</v>
      </c>
      <c r="B252" s="331"/>
      <c r="C252" s="86"/>
      <c r="D252" s="203">
        <v>1815.306523</v>
      </c>
      <c r="E252" s="195">
        <v>285.2</v>
      </c>
      <c r="F252" s="195"/>
      <c r="G252" s="195"/>
      <c r="H252" s="195"/>
      <c r="I252" s="195"/>
      <c r="J252" s="231">
        <v>2168.7764200000001</v>
      </c>
      <c r="K252" s="252">
        <v>4432.8649430000005</v>
      </c>
      <c r="L252" s="88" t="s">
        <v>91</v>
      </c>
      <c r="M252" s="87"/>
      <c r="N252" s="353"/>
    </row>
    <row r="253" spans="1:14" s="65" customFormat="1" ht="11.25" hidden="1" x14ac:dyDescent="0.2">
      <c r="A253" s="201">
        <v>361.654</v>
      </c>
      <c r="B253" s="331"/>
      <c r="C253" s="86"/>
      <c r="D253" s="203">
        <v>5590.3825550000001</v>
      </c>
      <c r="E253" s="195">
        <v>753.83500000000004</v>
      </c>
      <c r="F253" s="195"/>
      <c r="G253" s="195"/>
      <c r="H253" s="195"/>
      <c r="I253" s="195"/>
      <c r="J253" s="231">
        <v>7169.2112300000008</v>
      </c>
      <c r="K253" s="252">
        <v>13875.082785000001</v>
      </c>
      <c r="L253" s="88" t="s">
        <v>56</v>
      </c>
      <c r="M253" s="87"/>
      <c r="N253" s="353"/>
    </row>
    <row r="254" spans="1:14" s="65" customFormat="1" ht="11.25" hidden="1" x14ac:dyDescent="0.2">
      <c r="A254" s="201"/>
      <c r="B254" s="331"/>
      <c r="C254" s="86"/>
      <c r="D254" s="203"/>
      <c r="E254" s="195"/>
      <c r="F254" s="195"/>
      <c r="G254" s="195"/>
      <c r="H254" s="195"/>
      <c r="I254" s="195"/>
      <c r="J254" s="231"/>
      <c r="K254" s="252"/>
      <c r="L254" s="88"/>
      <c r="M254" s="87"/>
      <c r="N254" s="353"/>
    </row>
    <row r="255" spans="1:14" s="65" customFormat="1" ht="11.25" hidden="1" x14ac:dyDescent="0.2">
      <c r="A255" s="201">
        <v>83.739000000000004</v>
      </c>
      <c r="B255" s="331"/>
      <c r="C255" s="86"/>
      <c r="D255" s="203">
        <v>1835.2420999999999</v>
      </c>
      <c r="E255" s="195">
        <v>293.58800000000002</v>
      </c>
      <c r="F255" s="195"/>
      <c r="G255" s="195"/>
      <c r="H255" s="195"/>
      <c r="I255" s="195"/>
      <c r="J255" s="231">
        <v>2540.1878379999998</v>
      </c>
      <c r="K255" s="252">
        <v>4752.7569380000004</v>
      </c>
      <c r="L255" s="88" t="s">
        <v>78</v>
      </c>
      <c r="M255" s="87">
        <v>2020</v>
      </c>
      <c r="N255" s="353"/>
    </row>
    <row r="256" spans="1:14" s="65" customFormat="1" ht="11.25" hidden="1" x14ac:dyDescent="0.2">
      <c r="A256" s="201">
        <v>97.705000000000013</v>
      </c>
      <c r="B256" s="331"/>
      <c r="C256" s="86"/>
      <c r="D256" s="203">
        <v>1933.4380780000001</v>
      </c>
      <c r="E256" s="195">
        <v>306.392</v>
      </c>
      <c r="F256" s="195"/>
      <c r="G256" s="195"/>
      <c r="H256" s="195"/>
      <c r="I256" s="195"/>
      <c r="J256" s="231">
        <v>2352.2772879999998</v>
      </c>
      <c r="K256" s="252">
        <v>4689.8123660000001</v>
      </c>
      <c r="L256" s="88" t="s">
        <v>79</v>
      </c>
      <c r="M256" s="87"/>
      <c r="N256" s="353"/>
    </row>
    <row r="257" spans="1:15" s="65" customFormat="1" ht="11.25" hidden="1" x14ac:dyDescent="0.2">
      <c r="A257" s="201">
        <v>188.80799999999999</v>
      </c>
      <c r="B257" s="331"/>
      <c r="C257" s="86"/>
      <c r="D257" s="203">
        <v>1856.792117</v>
      </c>
      <c r="E257" s="195">
        <v>411.89699999999999</v>
      </c>
      <c r="F257" s="195"/>
      <c r="G257" s="195"/>
      <c r="H257" s="195"/>
      <c r="I257" s="195"/>
      <c r="J257" s="231">
        <v>2597.1555699999999</v>
      </c>
      <c r="K257" s="252">
        <v>5054.6526869999998</v>
      </c>
      <c r="L257" s="88" t="s">
        <v>80</v>
      </c>
      <c r="M257" s="87"/>
      <c r="N257" s="353"/>
    </row>
    <row r="258" spans="1:15" s="65" customFormat="1" ht="11.25" hidden="1" x14ac:dyDescent="0.2">
      <c r="A258" s="201">
        <v>370.25200000000001</v>
      </c>
      <c r="B258" s="331"/>
      <c r="C258" s="86"/>
      <c r="D258" s="203">
        <v>5625.4722949999996</v>
      </c>
      <c r="E258" s="195">
        <v>1011.877</v>
      </c>
      <c r="F258" s="195"/>
      <c r="G258" s="195"/>
      <c r="H258" s="195"/>
      <c r="I258" s="195"/>
      <c r="J258" s="231">
        <v>7489.620696</v>
      </c>
      <c r="K258" s="252">
        <v>14497.221991</v>
      </c>
      <c r="L258" s="88" t="s">
        <v>53</v>
      </c>
      <c r="M258" s="87">
        <v>2020</v>
      </c>
      <c r="N258" s="353"/>
      <c r="O258" s="353"/>
    </row>
    <row r="259" spans="1:15" s="65" customFormat="1" ht="11.25" hidden="1" x14ac:dyDescent="0.2">
      <c r="A259" s="201">
        <v>198.48499999999999</v>
      </c>
      <c r="B259" s="331"/>
      <c r="C259" s="86"/>
      <c r="D259" s="203">
        <v>1850.2665050000001</v>
      </c>
      <c r="E259" s="195">
        <v>291.76499999999999</v>
      </c>
      <c r="F259" s="195"/>
      <c r="G259" s="195"/>
      <c r="H259" s="195"/>
      <c r="I259" s="195"/>
      <c r="J259" s="231">
        <v>2293.9261900000001</v>
      </c>
      <c r="K259" s="252">
        <v>4634.4426949999997</v>
      </c>
      <c r="L259" s="88" t="s">
        <v>68</v>
      </c>
      <c r="M259" s="87"/>
      <c r="N259" s="353"/>
    </row>
    <row r="260" spans="1:15" s="65" customFormat="1" ht="11.25" hidden="1" x14ac:dyDescent="0.2">
      <c r="A260" s="201">
        <v>173.08199999999999</v>
      </c>
      <c r="B260" s="331"/>
      <c r="C260" s="86"/>
      <c r="D260" s="203">
        <v>1997.070614</v>
      </c>
      <c r="E260" s="195">
        <v>358.72383300000001</v>
      </c>
      <c r="F260" s="195"/>
      <c r="G260" s="195"/>
      <c r="H260" s="195"/>
      <c r="I260" s="195"/>
      <c r="J260" s="231">
        <v>2317.9834639999999</v>
      </c>
      <c r="K260" s="252">
        <v>4846.8599109999996</v>
      </c>
      <c r="L260" s="88" t="s">
        <v>82</v>
      </c>
      <c r="M260" s="87"/>
      <c r="N260" s="353"/>
    </row>
    <row r="261" spans="1:15" s="65" customFormat="1" ht="11.25" hidden="1" x14ac:dyDescent="0.2">
      <c r="A261" s="201">
        <v>254.197</v>
      </c>
      <c r="B261" s="331"/>
      <c r="C261" s="86"/>
      <c r="D261" s="203">
        <v>2044.7837159999999</v>
      </c>
      <c r="E261" s="195">
        <v>382.05799999999999</v>
      </c>
      <c r="F261" s="195"/>
      <c r="G261" s="195"/>
      <c r="H261" s="195"/>
      <c r="I261" s="195"/>
      <c r="J261" s="231">
        <v>1967.24395</v>
      </c>
      <c r="K261" s="252">
        <v>4648.2826660000001</v>
      </c>
      <c r="L261" s="88" t="s">
        <v>83</v>
      </c>
      <c r="M261" s="87"/>
      <c r="N261" s="353"/>
    </row>
    <row r="262" spans="1:15" s="65" customFormat="1" ht="11.25" hidden="1" x14ac:dyDescent="0.2">
      <c r="A262" s="201">
        <v>625.76400000000001</v>
      </c>
      <c r="B262" s="331"/>
      <c r="C262" s="86"/>
      <c r="D262" s="203">
        <v>5892.1208349999997</v>
      </c>
      <c r="E262" s="195">
        <v>1032.5468329999999</v>
      </c>
      <c r="F262" s="195"/>
      <c r="G262" s="195"/>
      <c r="H262" s="195"/>
      <c r="I262" s="195"/>
      <c r="J262" s="231">
        <v>6579.1536040000001</v>
      </c>
      <c r="K262" s="252">
        <v>14129.585272</v>
      </c>
      <c r="L262" s="88" t="s">
        <v>54</v>
      </c>
      <c r="M262" s="87"/>
      <c r="N262" s="353"/>
    </row>
    <row r="263" spans="1:15" s="65" customFormat="1" ht="11.25" hidden="1" x14ac:dyDescent="0.2">
      <c r="A263" s="201">
        <v>162.74300000000002</v>
      </c>
      <c r="B263" s="331"/>
      <c r="C263" s="86"/>
      <c r="D263" s="203">
        <v>2081.3134279999999</v>
      </c>
      <c r="E263" s="195">
        <v>346.411</v>
      </c>
      <c r="F263" s="195"/>
      <c r="G263" s="195"/>
      <c r="H263" s="195"/>
      <c r="I263" s="195"/>
      <c r="J263" s="231">
        <v>1982.08898</v>
      </c>
      <c r="K263" s="252">
        <v>4572.5564080000004</v>
      </c>
      <c r="L263" s="88" t="s">
        <v>85</v>
      </c>
      <c r="M263" s="87"/>
      <c r="N263" s="353"/>
    </row>
    <row r="264" spans="1:15" s="65" customFormat="1" ht="11.25" hidden="1" x14ac:dyDescent="0.2">
      <c r="A264" s="201">
        <v>226.083</v>
      </c>
      <c r="B264" s="331"/>
      <c r="C264" s="86"/>
      <c r="D264" s="203">
        <v>2099.8624989999998</v>
      </c>
      <c r="E264" s="195">
        <v>458.03699999999998</v>
      </c>
      <c r="F264" s="195"/>
      <c r="G264" s="195"/>
      <c r="H264" s="195"/>
      <c r="I264" s="195"/>
      <c r="J264" s="231">
        <v>2307.1250399999999</v>
      </c>
      <c r="K264" s="252">
        <v>5091.1075390000005</v>
      </c>
      <c r="L264" s="88" t="s">
        <v>86</v>
      </c>
      <c r="M264" s="87"/>
      <c r="N264" s="353"/>
    </row>
    <row r="265" spans="1:15" s="65" customFormat="1" ht="11.25" hidden="1" x14ac:dyDescent="0.2">
      <c r="A265" s="201">
        <v>168.68700000000001</v>
      </c>
      <c r="B265" s="331"/>
      <c r="C265" s="86"/>
      <c r="D265" s="203">
        <v>1946.3417999999999</v>
      </c>
      <c r="E265" s="195">
        <v>336.11900000000003</v>
      </c>
      <c r="F265" s="195"/>
      <c r="G265" s="195"/>
      <c r="H265" s="195"/>
      <c r="I265" s="195"/>
      <c r="J265" s="231">
        <v>2066.4196199999997</v>
      </c>
      <c r="K265" s="252">
        <v>4517.5674199999994</v>
      </c>
      <c r="L265" s="88" t="s">
        <v>87</v>
      </c>
      <c r="M265" s="87"/>
      <c r="N265" s="353"/>
    </row>
    <row r="266" spans="1:15" s="65" customFormat="1" ht="11.25" hidden="1" x14ac:dyDescent="0.2">
      <c r="A266" s="201">
        <v>557.51300000000003</v>
      </c>
      <c r="B266" s="331"/>
      <c r="C266" s="86"/>
      <c r="D266" s="203">
        <v>6127.5177270000004</v>
      </c>
      <c r="E266" s="195">
        <v>1140.567</v>
      </c>
      <c r="F266" s="195"/>
      <c r="G266" s="195"/>
      <c r="H266" s="195"/>
      <c r="I266" s="195"/>
      <c r="J266" s="231">
        <v>6355.6336399999991</v>
      </c>
      <c r="K266" s="252">
        <v>14181.231367</v>
      </c>
      <c r="L266" s="88" t="s">
        <v>55</v>
      </c>
      <c r="M266" s="87"/>
      <c r="N266" s="353"/>
    </row>
    <row r="267" spans="1:15" s="65" customFormat="1" ht="11.25" hidden="1" x14ac:dyDescent="0.2">
      <c r="A267" s="201">
        <v>218.15199999999999</v>
      </c>
      <c r="B267" s="331"/>
      <c r="C267" s="86"/>
      <c r="D267" s="203">
        <v>2106.7476889999998</v>
      </c>
      <c r="E267" s="195">
        <v>385.14</v>
      </c>
      <c r="F267" s="195"/>
      <c r="G267" s="195"/>
      <c r="H267" s="195"/>
      <c r="I267" s="195"/>
      <c r="J267" s="231">
        <v>2266.6985</v>
      </c>
      <c r="K267" s="252">
        <v>4976.7381889999997</v>
      </c>
      <c r="L267" s="88" t="s">
        <v>89</v>
      </c>
      <c r="M267" s="87"/>
      <c r="N267" s="353"/>
    </row>
    <row r="268" spans="1:15" s="65" customFormat="1" ht="11.25" hidden="1" x14ac:dyDescent="0.2">
      <c r="A268" s="201">
        <v>201.22899999999998</v>
      </c>
      <c r="B268" s="331"/>
      <c r="C268" s="86"/>
      <c r="D268" s="203">
        <v>2089.9877999999999</v>
      </c>
      <c r="E268" s="195">
        <v>470.5</v>
      </c>
      <c r="F268" s="195"/>
      <c r="G268" s="195"/>
      <c r="H268" s="195"/>
      <c r="I268" s="195"/>
      <c r="J268" s="231">
        <v>2028.2557489999999</v>
      </c>
      <c r="K268" s="252">
        <v>4789.9725490000001</v>
      </c>
      <c r="L268" s="88" t="s">
        <v>90</v>
      </c>
      <c r="M268" s="87"/>
      <c r="N268" s="353"/>
    </row>
    <row r="269" spans="1:15" s="65" customFormat="1" ht="11.25" hidden="1" x14ac:dyDescent="0.2">
      <c r="A269" s="201">
        <v>251.661</v>
      </c>
      <c r="B269" s="331"/>
      <c r="C269" s="86"/>
      <c r="D269" s="203">
        <v>2131.8000379999999</v>
      </c>
      <c r="E269" s="195">
        <v>415.92165699999998</v>
      </c>
      <c r="F269" s="195"/>
      <c r="G269" s="195"/>
      <c r="H269" s="195"/>
      <c r="I269" s="195"/>
      <c r="J269" s="231">
        <v>2078.5914899999998</v>
      </c>
      <c r="K269" s="252">
        <v>4877.974185</v>
      </c>
      <c r="L269" s="88" t="s">
        <v>91</v>
      </c>
      <c r="M269" s="87"/>
      <c r="N269" s="353"/>
    </row>
    <row r="270" spans="1:15" s="65" customFormat="1" ht="11.25" hidden="1" x14ac:dyDescent="0.2">
      <c r="A270" s="201">
        <v>671.04199999999992</v>
      </c>
      <c r="B270" s="331"/>
      <c r="C270" s="86"/>
      <c r="D270" s="203">
        <v>6328.535527</v>
      </c>
      <c r="E270" s="195">
        <v>1271.561657</v>
      </c>
      <c r="F270" s="195"/>
      <c r="G270" s="195"/>
      <c r="H270" s="195"/>
      <c r="I270" s="195"/>
      <c r="J270" s="231">
        <v>6373.5457390000001</v>
      </c>
      <c r="K270" s="252">
        <v>14644.684923000001</v>
      </c>
      <c r="L270" s="88" t="s">
        <v>56</v>
      </c>
      <c r="M270" s="87"/>
      <c r="N270" s="353"/>
    </row>
    <row r="271" spans="1:15" s="65" customFormat="1" ht="11.25" hidden="1" x14ac:dyDescent="0.2">
      <c r="A271" s="201"/>
      <c r="B271" s="331"/>
      <c r="C271" s="86"/>
      <c r="D271" s="203"/>
      <c r="E271" s="195"/>
      <c r="F271" s="195"/>
      <c r="G271" s="195"/>
      <c r="H271" s="195"/>
      <c r="I271" s="195"/>
      <c r="J271" s="231"/>
      <c r="K271" s="252"/>
      <c r="L271" s="88"/>
      <c r="M271" s="87"/>
      <c r="N271" s="353"/>
    </row>
    <row r="272" spans="1:15" s="65" customFormat="1" ht="11.25" hidden="1" x14ac:dyDescent="0.2">
      <c r="A272" s="201">
        <v>65.233999999999995</v>
      </c>
      <c r="B272" s="331">
        <v>27.190308999999999</v>
      </c>
      <c r="C272" s="86"/>
      <c r="D272" s="203">
        <v>1978.6369</v>
      </c>
      <c r="E272" s="195">
        <v>375.79700000000003</v>
      </c>
      <c r="F272" s="195"/>
      <c r="G272" s="195">
        <v>50.38</v>
      </c>
      <c r="H272" s="195">
        <f>351.412479+169.13578</f>
        <v>520.54825900000003</v>
      </c>
      <c r="I272" s="195">
        <v>280.18599999999998</v>
      </c>
      <c r="J272" s="275">
        <v>1498.3454999999999</v>
      </c>
      <c r="K272" s="252">
        <f>J272+I272+H272+G272+F272+E272+D272+C272+B272+A272</f>
        <v>4796.3179679999994</v>
      </c>
      <c r="L272" s="88" t="s">
        <v>78</v>
      </c>
      <c r="M272" s="135">
        <v>2021</v>
      </c>
      <c r="N272" s="353"/>
    </row>
    <row r="273" spans="1:15" s="65" customFormat="1" ht="11.25" hidden="1" x14ac:dyDescent="0.2">
      <c r="A273" s="201">
        <v>144.99</v>
      </c>
      <c r="B273" s="331">
        <v>95.946899999999999</v>
      </c>
      <c r="C273" s="86"/>
      <c r="D273" s="203">
        <v>1874.818</v>
      </c>
      <c r="E273" s="195">
        <v>402.266389</v>
      </c>
      <c r="F273" s="195"/>
      <c r="G273" s="195">
        <v>91.503</v>
      </c>
      <c r="H273" s="195">
        <f>316.255267+92.71968</f>
        <v>408.97494699999999</v>
      </c>
      <c r="I273" s="195">
        <v>257.02300000000002</v>
      </c>
      <c r="J273" s="275">
        <v>1407.9820999999999</v>
      </c>
      <c r="K273" s="252">
        <f t="shared" ref="K273:K282" si="5">J273+I273+H273+G273+F273+E273+D273+C273+B273+A273</f>
        <v>4683.504336</v>
      </c>
      <c r="L273" s="88" t="s">
        <v>79</v>
      </c>
      <c r="M273" s="87"/>
      <c r="N273" s="353"/>
    </row>
    <row r="274" spans="1:15" s="65" customFormat="1" ht="11.25" hidden="1" x14ac:dyDescent="0.2">
      <c r="A274" s="201">
        <v>193.833</v>
      </c>
      <c r="B274" s="331">
        <v>60.807031000000002</v>
      </c>
      <c r="C274" s="86"/>
      <c r="D274" s="203">
        <v>2055.1169</v>
      </c>
      <c r="E274" s="195">
        <v>367.04199999999997</v>
      </c>
      <c r="F274" s="195"/>
      <c r="G274" s="195">
        <v>59.646999999999998</v>
      </c>
      <c r="H274" s="195">
        <f>348.3417+132.66305</f>
        <v>481.00475</v>
      </c>
      <c r="I274" s="195">
        <v>200.65299999999999</v>
      </c>
      <c r="J274" s="275">
        <v>1500.3882999999998</v>
      </c>
      <c r="K274" s="252">
        <f t="shared" si="5"/>
        <v>4918.4919810000001</v>
      </c>
      <c r="L274" s="88" t="s">
        <v>80</v>
      </c>
      <c r="M274" s="87"/>
      <c r="N274" s="353"/>
    </row>
    <row r="275" spans="1:15" s="65" customFormat="1" ht="11.25" x14ac:dyDescent="0.2">
      <c r="A275" s="271">
        <f>SUM(A272:A274)</f>
        <v>404.05700000000002</v>
      </c>
      <c r="B275" s="333">
        <f>SUM(B272:B274)</f>
        <v>183.94424000000001</v>
      </c>
      <c r="C275" s="146"/>
      <c r="D275" s="270">
        <f>SUM(D272:D274)</f>
        <v>5908.5717999999997</v>
      </c>
      <c r="E275" s="217">
        <f>SUM(E272:E274)</f>
        <v>1145.1053890000001</v>
      </c>
      <c r="F275" s="217"/>
      <c r="G275" s="217">
        <f>SUM(G272:G274)</f>
        <v>201.53</v>
      </c>
      <c r="H275" s="217">
        <f>SUM(H272:H274)</f>
        <v>1410.5279560000001</v>
      </c>
      <c r="I275" s="217">
        <f>SUM(I272:I274)</f>
        <v>737.86200000000008</v>
      </c>
      <c r="J275" s="275">
        <f>SUM(J272:J274)</f>
        <v>4406.7158999999992</v>
      </c>
      <c r="K275" s="278">
        <f>J275+I275+H275+G275+F275+E275+D275+C275+B275+A275</f>
        <v>14398.314285</v>
      </c>
      <c r="L275" s="154" t="s">
        <v>53</v>
      </c>
      <c r="M275" s="151">
        <v>2021</v>
      </c>
      <c r="N275" s="353"/>
      <c r="O275" s="353"/>
    </row>
    <row r="276" spans="1:15" s="65" customFormat="1" ht="11.25" hidden="1" x14ac:dyDescent="0.2">
      <c r="A276" s="271">
        <v>82.998000000000005</v>
      </c>
      <c r="B276" s="333">
        <v>26.804252000000002</v>
      </c>
      <c r="C276" s="146"/>
      <c r="D276" s="270">
        <v>1879.2257999999999</v>
      </c>
      <c r="E276" s="217">
        <v>390.73500000000001</v>
      </c>
      <c r="F276" s="217"/>
      <c r="G276" s="217">
        <v>61.618000000000002</v>
      </c>
      <c r="H276" s="217">
        <f>395.226475+126.58207</f>
        <v>521.80854499999998</v>
      </c>
      <c r="I276" s="217">
        <v>376.964496</v>
      </c>
      <c r="J276" s="275">
        <v>1514.3851</v>
      </c>
      <c r="K276" s="278">
        <f t="shared" si="5"/>
        <v>4854.5391929999996</v>
      </c>
      <c r="L276" s="154" t="s">
        <v>68</v>
      </c>
      <c r="M276" s="151"/>
      <c r="N276" s="353"/>
      <c r="O276" s="353"/>
    </row>
    <row r="277" spans="1:15" s="65" customFormat="1" ht="11.25" hidden="1" x14ac:dyDescent="0.2">
      <c r="A277" s="271">
        <v>213.62700000000001</v>
      </c>
      <c r="B277" s="333">
        <v>88.889641999999995</v>
      </c>
      <c r="C277" s="146"/>
      <c r="D277" s="270">
        <v>1939.299</v>
      </c>
      <c r="E277" s="217">
        <v>400.54700000000003</v>
      </c>
      <c r="F277" s="217"/>
      <c r="G277" s="217">
        <v>62.11</v>
      </c>
      <c r="H277" s="217">
        <f>369.973356+89.816196</f>
        <v>459.78955200000001</v>
      </c>
      <c r="I277" s="217">
        <v>356.62700000000001</v>
      </c>
      <c r="J277" s="275">
        <v>1459.7275</v>
      </c>
      <c r="K277" s="278">
        <f t="shared" si="5"/>
        <v>4980.6166940000003</v>
      </c>
      <c r="L277" s="154" t="s">
        <v>82</v>
      </c>
      <c r="M277" s="151"/>
      <c r="N277" s="353"/>
      <c r="O277" s="353"/>
    </row>
    <row r="278" spans="1:15" s="65" customFormat="1" ht="11.25" hidden="1" x14ac:dyDescent="0.2">
      <c r="A278" s="271">
        <v>211.34199999999998</v>
      </c>
      <c r="B278" s="333">
        <v>116.12467700000001</v>
      </c>
      <c r="C278" s="146"/>
      <c r="D278" s="270">
        <v>2051.8656000000001</v>
      </c>
      <c r="E278" s="217">
        <v>448.82100000000003</v>
      </c>
      <c r="F278" s="217"/>
      <c r="G278" s="217">
        <v>57.252000000000002</v>
      </c>
      <c r="H278" s="217">
        <f>331.281465+203.51246</f>
        <v>534.79392500000006</v>
      </c>
      <c r="I278" s="217">
        <v>327.2448</v>
      </c>
      <c r="J278" s="275">
        <v>1498.4009999999998</v>
      </c>
      <c r="K278" s="278">
        <f>J278+I278+H278+G278+F278+E278+D278+C278+B278+A278</f>
        <v>5245.8450019999991</v>
      </c>
      <c r="L278" s="154" t="s">
        <v>83</v>
      </c>
      <c r="M278" s="151"/>
      <c r="N278" s="353"/>
      <c r="O278" s="353"/>
    </row>
    <row r="279" spans="1:15" s="65" customFormat="1" ht="11.25" x14ac:dyDescent="0.2">
      <c r="A279" s="271">
        <f>SUM(A276:A278)</f>
        <v>507.96699999999998</v>
      </c>
      <c r="B279" s="333">
        <f>SUM(B276:B278)</f>
        <v>231.81857100000002</v>
      </c>
      <c r="C279" s="146"/>
      <c r="D279" s="270">
        <f>SUM(D276:D278)</f>
        <v>5870.3904000000002</v>
      </c>
      <c r="E279" s="217">
        <f>SUM(E276:E278)</f>
        <v>1240.1030000000001</v>
      </c>
      <c r="F279" s="217"/>
      <c r="G279" s="217">
        <f>SUM(G276:G278)</f>
        <v>180.98000000000002</v>
      </c>
      <c r="H279" s="217">
        <f>SUM(H276:H278)</f>
        <v>1516.392022</v>
      </c>
      <c r="I279" s="217">
        <f>SUM(I276:I278)</f>
        <v>1060.8362959999999</v>
      </c>
      <c r="J279" s="275">
        <f>SUM(J276:J278)</f>
        <v>4472.5136000000002</v>
      </c>
      <c r="K279" s="278">
        <f>J279+I279+H279+G279+F279+E279+D279+C279+B279+A279</f>
        <v>15081.000888999999</v>
      </c>
      <c r="L279" s="154" t="s">
        <v>54</v>
      </c>
      <c r="M279" s="151"/>
      <c r="N279" s="353"/>
      <c r="O279" s="353"/>
    </row>
    <row r="280" spans="1:15" s="65" customFormat="1" ht="11.25" hidden="1" x14ac:dyDescent="0.2">
      <c r="A280" s="271">
        <v>97.941000000000003</v>
      </c>
      <c r="B280" s="334">
        <v>120.034688</v>
      </c>
      <c r="C280" s="217"/>
      <c r="D280" s="270">
        <v>1922.5239999999999</v>
      </c>
      <c r="E280" s="217">
        <v>400.68400000000003</v>
      </c>
      <c r="F280" s="217">
        <v>6.3697999999999997</v>
      </c>
      <c r="G280" s="217">
        <v>62.576000000000001</v>
      </c>
      <c r="H280" s="217">
        <f>370.060332+126.362593</f>
        <v>496.42292500000002</v>
      </c>
      <c r="I280" s="217">
        <v>321.73</v>
      </c>
      <c r="J280" s="275">
        <v>1380.3988000000002</v>
      </c>
      <c r="K280" s="278">
        <f>J280+I280+H280+G280+F280+E280+D280+C280+B280+A280</f>
        <v>4808.6812129999998</v>
      </c>
      <c r="L280" s="154" t="s">
        <v>85</v>
      </c>
      <c r="M280" s="151"/>
      <c r="N280" s="353"/>
      <c r="O280" s="353"/>
    </row>
    <row r="281" spans="1:15" s="65" customFormat="1" ht="11.25" hidden="1" x14ac:dyDescent="0.2">
      <c r="A281" s="271">
        <v>167.596</v>
      </c>
      <c r="B281" s="334">
        <v>58.788896999999999</v>
      </c>
      <c r="C281" s="217">
        <v>9.6382000000000012</v>
      </c>
      <c r="D281" s="270">
        <v>2207.1862000000001</v>
      </c>
      <c r="E281" s="217">
        <v>439.85482200000001</v>
      </c>
      <c r="F281" s="217">
        <v>7.1</v>
      </c>
      <c r="G281" s="217">
        <v>88.866</v>
      </c>
      <c r="H281" s="217">
        <f>415.475318+253.85496</f>
        <v>669.33027800000002</v>
      </c>
      <c r="I281" s="217">
        <v>343.084</v>
      </c>
      <c r="J281" s="275">
        <v>1403.2925</v>
      </c>
      <c r="K281" s="278">
        <f t="shared" si="5"/>
        <v>5394.7368970000007</v>
      </c>
      <c r="L281" s="154" t="s">
        <v>86</v>
      </c>
      <c r="M281" s="151"/>
      <c r="N281" s="353"/>
      <c r="O281" s="353"/>
    </row>
    <row r="282" spans="1:15" s="65" customFormat="1" ht="11.25" hidden="1" x14ac:dyDescent="0.2">
      <c r="A282" s="271">
        <v>146.613</v>
      </c>
      <c r="B282" s="334">
        <v>61.757866</v>
      </c>
      <c r="C282" s="217">
        <v>8.0307999999999993</v>
      </c>
      <c r="D282" s="270">
        <v>1624.6741999999999</v>
      </c>
      <c r="E282" s="217">
        <v>351.05799999999999</v>
      </c>
      <c r="F282" s="217">
        <v>1.7303999999999999</v>
      </c>
      <c r="G282" s="217">
        <v>47.055</v>
      </c>
      <c r="H282" s="217">
        <f>405.954209+302.74856</f>
        <v>708.70276899999999</v>
      </c>
      <c r="I282" s="217">
        <v>343.10599999999999</v>
      </c>
      <c r="J282" s="275">
        <v>1291.7163999999998</v>
      </c>
      <c r="K282" s="278">
        <f t="shared" si="5"/>
        <v>4584.4444350000003</v>
      </c>
      <c r="L282" s="154" t="s">
        <v>87</v>
      </c>
      <c r="M282" s="151"/>
      <c r="N282" s="353"/>
      <c r="O282" s="353"/>
    </row>
    <row r="283" spans="1:15" s="65" customFormat="1" ht="11.25" x14ac:dyDescent="0.2">
      <c r="A283" s="271">
        <f t="shared" ref="A283:F283" si="6">SUM(A280:A282)</f>
        <v>412.15000000000003</v>
      </c>
      <c r="B283" s="333">
        <f t="shared" si="6"/>
        <v>240.58145100000002</v>
      </c>
      <c r="C283" s="217">
        <f t="shared" si="6"/>
        <v>17.669</v>
      </c>
      <c r="D283" s="270">
        <f t="shared" si="6"/>
        <v>5754.384399999999</v>
      </c>
      <c r="E283" s="217">
        <f t="shared" si="6"/>
        <v>1191.596822</v>
      </c>
      <c r="F283" s="217">
        <f t="shared" si="6"/>
        <v>15.200199999999999</v>
      </c>
      <c r="G283" s="217">
        <f>SUM(G280:G282)</f>
        <v>198.49700000000001</v>
      </c>
      <c r="H283" s="217">
        <f>SUM(H280:H282)</f>
        <v>1874.455972</v>
      </c>
      <c r="I283" s="217">
        <f>SUM(I280:I282)</f>
        <v>1007.9200000000001</v>
      </c>
      <c r="J283" s="275">
        <f>SUM(J280:J282)</f>
        <v>4075.4077000000002</v>
      </c>
      <c r="K283" s="278">
        <f>J283+I283+H283+G283+F283+E283+D283+C283+B283+A283</f>
        <v>14787.862544999998</v>
      </c>
      <c r="L283" s="348" t="s">
        <v>55</v>
      </c>
      <c r="M283" s="151"/>
      <c r="N283" s="353"/>
      <c r="O283" s="353"/>
    </row>
    <row r="284" spans="1:15" s="65" customFormat="1" ht="11.25" hidden="1" x14ac:dyDescent="0.2">
      <c r="A284" s="271">
        <v>92.53</v>
      </c>
      <c r="B284" s="334">
        <v>92.262352000000007</v>
      </c>
      <c r="C284" s="217">
        <v>9.8049999999999997</v>
      </c>
      <c r="D284" s="270">
        <v>1923.0094999999999</v>
      </c>
      <c r="E284" s="217">
        <v>404.99</v>
      </c>
      <c r="F284" s="217">
        <v>18.082799999999999</v>
      </c>
      <c r="G284" s="217">
        <v>74.715000000000003</v>
      </c>
      <c r="H284" s="217">
        <f>402.774244+226.48177</f>
        <v>629.25601400000005</v>
      </c>
      <c r="I284" s="217">
        <v>362.01799999999997</v>
      </c>
      <c r="J284" s="275">
        <v>1492.8805</v>
      </c>
      <c r="K284" s="278">
        <f>J284+I284+H284+G284+F284+E284+D284+C284+B284+A284</f>
        <v>5099.5491659999998</v>
      </c>
      <c r="L284" s="272">
        <v>10</v>
      </c>
      <c r="M284" s="151"/>
      <c r="N284" s="353"/>
      <c r="O284" s="353"/>
    </row>
    <row r="285" spans="1:15" s="65" customFormat="1" ht="11.25" hidden="1" x14ac:dyDescent="0.2">
      <c r="A285" s="271">
        <v>134.75489999999999</v>
      </c>
      <c r="B285" s="334">
        <v>93.260120000000001</v>
      </c>
      <c r="C285" s="217">
        <v>8.8452000000000002</v>
      </c>
      <c r="D285" s="270">
        <v>2204.1871999999998</v>
      </c>
      <c r="E285" s="217">
        <v>400.60399999999998</v>
      </c>
      <c r="F285" s="217">
        <v>19.484000000000002</v>
      </c>
      <c r="G285" s="217">
        <v>99.483999999999995</v>
      </c>
      <c r="H285" s="217">
        <f>259.462635+217.235311</f>
        <v>476.697946</v>
      </c>
      <c r="I285" s="217">
        <v>337.75700000000001</v>
      </c>
      <c r="J285" s="275">
        <v>1367.0141000000001</v>
      </c>
      <c r="K285" s="278">
        <f>J285+I285+H285+G285+F285+E285+D285+C285+B285+A285</f>
        <v>5142.0884659999992</v>
      </c>
      <c r="L285" s="272">
        <v>11</v>
      </c>
      <c r="M285" s="151"/>
      <c r="N285" s="353"/>
      <c r="O285" s="353"/>
    </row>
    <row r="286" spans="1:15" s="65" customFormat="1" ht="11.25" hidden="1" x14ac:dyDescent="0.2">
      <c r="A286" s="271">
        <v>291.59500000000003</v>
      </c>
      <c r="B286" s="333">
        <v>56.994785999999998</v>
      </c>
      <c r="C286" s="217">
        <v>12.4964</v>
      </c>
      <c r="D286" s="270">
        <v>1927.2136</v>
      </c>
      <c r="E286" s="217">
        <v>423.255</v>
      </c>
      <c r="F286" s="217">
        <v>22.448</v>
      </c>
      <c r="G286" s="217">
        <v>66.587000000000003</v>
      </c>
      <c r="H286" s="217">
        <f>427.111508+290.151292</f>
        <v>717.26279999999997</v>
      </c>
      <c r="I286" s="217">
        <v>312.77100000000002</v>
      </c>
      <c r="J286" s="275">
        <v>1424.8996999999999</v>
      </c>
      <c r="K286" s="278">
        <f>J286+I286+H286+G286+F286+E286+D286+C286+B286+A286</f>
        <v>5255.5232860000006</v>
      </c>
      <c r="L286" s="272">
        <v>12</v>
      </c>
      <c r="M286" s="151"/>
      <c r="N286" s="353"/>
      <c r="O286" s="353"/>
    </row>
    <row r="287" spans="1:15" s="65" customFormat="1" ht="11.25" x14ac:dyDescent="0.2">
      <c r="A287" s="271">
        <f t="shared" ref="A287:F287" si="7">SUM(A284:A286)</f>
        <v>518.87990000000002</v>
      </c>
      <c r="B287" s="334">
        <f t="shared" si="7"/>
        <v>242.517258</v>
      </c>
      <c r="C287" s="275">
        <f t="shared" si="7"/>
        <v>31.146599999999999</v>
      </c>
      <c r="D287" s="270">
        <f t="shared" si="7"/>
        <v>6054.4102999999996</v>
      </c>
      <c r="E287" s="275">
        <f t="shared" si="7"/>
        <v>1228.8490000000002</v>
      </c>
      <c r="F287" s="275">
        <f t="shared" si="7"/>
        <v>60.014800000000001</v>
      </c>
      <c r="G287" s="275">
        <f>SUM(G284:G286)</f>
        <v>240.786</v>
      </c>
      <c r="H287" s="275">
        <f>SUM(H284:H286)</f>
        <v>1823.21676</v>
      </c>
      <c r="I287" s="275">
        <f>SUM(I284:I286)</f>
        <v>1012.546</v>
      </c>
      <c r="J287" s="275">
        <f>SUM(J284:J286)</f>
        <v>4284.7942999999996</v>
      </c>
      <c r="K287" s="278">
        <f>J287+I287+H287+G287+F287+E287+D287+C287+B287+A287</f>
        <v>15497.160918</v>
      </c>
      <c r="L287" s="348" t="s">
        <v>56</v>
      </c>
      <c r="M287" s="151"/>
      <c r="N287" s="353"/>
      <c r="O287" s="353"/>
    </row>
    <row r="288" spans="1:15" s="65" customFormat="1" ht="11.25" x14ac:dyDescent="0.2">
      <c r="A288" s="266"/>
      <c r="B288" s="332"/>
      <c r="C288" s="276"/>
      <c r="D288" s="267"/>
      <c r="E288" s="276"/>
      <c r="F288" s="276"/>
      <c r="G288" s="276"/>
      <c r="H288" s="276"/>
      <c r="I288" s="276"/>
      <c r="J288" s="276"/>
      <c r="K288" s="261"/>
      <c r="L288" s="269"/>
      <c r="M288" s="135"/>
      <c r="N288" s="353"/>
    </row>
    <row r="289" spans="1:15" s="65" customFormat="1" ht="11.25" hidden="1" x14ac:dyDescent="0.2">
      <c r="A289" s="266">
        <v>102.22799999999999</v>
      </c>
      <c r="B289" s="332">
        <v>121.277</v>
      </c>
      <c r="C289" s="276">
        <v>12.51018</v>
      </c>
      <c r="D289" s="267">
        <v>1721.8668</v>
      </c>
      <c r="E289" s="276">
        <v>452.25</v>
      </c>
      <c r="F289" s="276">
        <v>70.229388999999998</v>
      </c>
      <c r="G289" s="276">
        <v>72.751000000000005</v>
      </c>
      <c r="H289" s="276">
        <v>603.30283599999996</v>
      </c>
      <c r="I289" s="276">
        <v>232.79871</v>
      </c>
      <c r="J289" s="276">
        <v>1461.4991</v>
      </c>
      <c r="K289" s="261">
        <f>SUM(A289:J289)</f>
        <v>4850.7130150000003</v>
      </c>
      <c r="L289" s="269" t="s">
        <v>78</v>
      </c>
      <c r="M289" s="135">
        <v>2022</v>
      </c>
      <c r="N289" s="353"/>
    </row>
    <row r="290" spans="1:15" s="65" customFormat="1" ht="11.25" hidden="1" x14ac:dyDescent="0.2">
      <c r="A290" s="266">
        <v>116.67700000000001</v>
      </c>
      <c r="B290" s="332">
        <v>27.161770000000001</v>
      </c>
      <c r="C290" s="276">
        <v>16.96818</v>
      </c>
      <c r="D290" s="267">
        <v>1906.1414</v>
      </c>
      <c r="E290" s="276">
        <v>385.95</v>
      </c>
      <c r="F290" s="276">
        <v>80.312830000000005</v>
      </c>
      <c r="G290" s="276">
        <v>62.094000000000001</v>
      </c>
      <c r="H290" s="276">
        <v>616.90878999999995</v>
      </c>
      <c r="I290" s="276">
        <v>276.71699999999998</v>
      </c>
      <c r="J290" s="276">
        <v>1459.0753</v>
      </c>
      <c r="K290" s="261">
        <f>SUM(A290:J290)</f>
        <v>4948.0062699999999</v>
      </c>
      <c r="L290" s="269" t="s">
        <v>79</v>
      </c>
      <c r="M290" s="135"/>
      <c r="N290" s="353"/>
    </row>
    <row r="291" spans="1:15" s="65" customFormat="1" ht="11.25" hidden="1" x14ac:dyDescent="0.2">
      <c r="A291" s="266">
        <v>234.59700000000001</v>
      </c>
      <c r="B291" s="332">
        <v>146.8869</v>
      </c>
      <c r="C291" s="276">
        <v>14.7234</v>
      </c>
      <c r="D291" s="267">
        <v>2069.8569000000002</v>
      </c>
      <c r="E291" s="276">
        <v>420.22199999999998</v>
      </c>
      <c r="F291" s="276">
        <v>113.69578300000001</v>
      </c>
      <c r="G291" s="276">
        <v>72.819999999999993</v>
      </c>
      <c r="H291" s="276">
        <v>705.66259300000002</v>
      </c>
      <c r="I291" s="276">
        <v>276.11067000000003</v>
      </c>
      <c r="J291" s="276">
        <v>1592.0994000000001</v>
      </c>
      <c r="K291" s="261">
        <f>SUM(A291:J291)</f>
        <v>5646.6746460000013</v>
      </c>
      <c r="L291" s="269" t="s">
        <v>80</v>
      </c>
      <c r="M291" s="135"/>
      <c r="N291" s="353"/>
    </row>
    <row r="292" spans="1:15" s="65" customFormat="1" ht="11.25" x14ac:dyDescent="0.2">
      <c r="A292" s="271">
        <f t="shared" ref="A292:G292" si="8">SUM(A289:A291)</f>
        <v>453.50200000000001</v>
      </c>
      <c r="B292" s="334">
        <f t="shared" si="8"/>
        <v>295.32567</v>
      </c>
      <c r="C292" s="275">
        <f t="shared" si="8"/>
        <v>44.20176</v>
      </c>
      <c r="D292" s="270">
        <f t="shared" si="8"/>
        <v>5697.8651000000009</v>
      </c>
      <c r="E292" s="275">
        <f t="shared" si="8"/>
        <v>1258.422</v>
      </c>
      <c r="F292" s="275">
        <f>SUM(F289:F291)</f>
        <v>264.23800199999999</v>
      </c>
      <c r="G292" s="275">
        <f t="shared" si="8"/>
        <v>207.66499999999999</v>
      </c>
      <c r="H292" s="275">
        <f>SUM(H289:H291)</f>
        <v>1925.8742189999998</v>
      </c>
      <c r="I292" s="275">
        <f>SUM(I289:I291)</f>
        <v>785.62638000000004</v>
      </c>
      <c r="J292" s="275">
        <f>SUM(J289:J291)</f>
        <v>4512.6738000000005</v>
      </c>
      <c r="K292" s="278">
        <f>SUM(K289:K291)</f>
        <v>15445.393931000001</v>
      </c>
      <c r="L292" s="348" t="s">
        <v>53</v>
      </c>
      <c r="M292" s="151">
        <v>2022</v>
      </c>
      <c r="N292" s="353"/>
      <c r="O292" s="353"/>
    </row>
    <row r="293" spans="1:15" s="65" customFormat="1" ht="11.25" hidden="1" x14ac:dyDescent="0.2">
      <c r="A293" s="271">
        <v>90.606999999999999</v>
      </c>
      <c r="B293" s="334">
        <v>92.631551000000002</v>
      </c>
      <c r="C293" s="275">
        <v>23.690200000000001</v>
      </c>
      <c r="D293" s="270">
        <v>1853.5835999999999</v>
      </c>
      <c r="E293" s="275">
        <v>324.70800000000003</v>
      </c>
      <c r="F293" s="275">
        <v>183.08441500000001</v>
      </c>
      <c r="G293" s="275">
        <v>57.984999999999999</v>
      </c>
      <c r="H293" s="275">
        <v>598.91855899999996</v>
      </c>
      <c r="I293" s="275">
        <v>294.11745000000002</v>
      </c>
      <c r="J293" s="275">
        <v>1425.3648000000001</v>
      </c>
      <c r="K293" s="278">
        <f>SUM(A293:J293)</f>
        <v>4944.6905749999996</v>
      </c>
      <c r="L293" s="348" t="s">
        <v>68</v>
      </c>
      <c r="M293" s="151"/>
      <c r="N293" s="353"/>
      <c r="O293" s="353"/>
    </row>
    <row r="294" spans="1:15" s="65" customFormat="1" ht="11.25" hidden="1" x14ac:dyDescent="0.2">
      <c r="A294" s="271">
        <v>185.14099999999999</v>
      </c>
      <c r="B294" s="334">
        <v>104.997167</v>
      </c>
      <c r="C294" s="275">
        <v>56.551600000000001</v>
      </c>
      <c r="D294" s="270">
        <v>2106.4728</v>
      </c>
      <c r="E294" s="275">
        <v>336.39299999999997</v>
      </c>
      <c r="F294" s="275">
        <v>294.92800099999999</v>
      </c>
      <c r="G294" s="275">
        <v>75.084999999999994</v>
      </c>
      <c r="H294" s="275">
        <v>563.28985</v>
      </c>
      <c r="I294" s="275">
        <v>318.33204000000001</v>
      </c>
      <c r="J294" s="275">
        <v>1323.1386</v>
      </c>
      <c r="K294" s="278">
        <f>SUM(A294:J294)</f>
        <v>5364.3290580000003</v>
      </c>
      <c r="L294" s="348" t="s">
        <v>82</v>
      </c>
      <c r="M294" s="151"/>
      <c r="N294" s="353"/>
      <c r="O294" s="353"/>
    </row>
    <row r="295" spans="1:15" s="65" customFormat="1" ht="11.25" hidden="1" x14ac:dyDescent="0.2">
      <c r="A295" s="271">
        <v>126.3434</v>
      </c>
      <c r="B295" s="334">
        <v>119.968712</v>
      </c>
      <c r="C295" s="275">
        <v>65.319074000000001</v>
      </c>
      <c r="D295" s="270">
        <v>1862.5775000000001</v>
      </c>
      <c r="E295" s="275">
        <v>398.28399999999999</v>
      </c>
      <c r="F295" s="275">
        <v>259.772356</v>
      </c>
      <c r="G295" s="275">
        <v>68.649000000000001</v>
      </c>
      <c r="H295" s="275">
        <v>812.01246800000001</v>
      </c>
      <c r="I295" s="275">
        <v>329.08843999999999</v>
      </c>
      <c r="J295" s="275">
        <v>1286.2791999999999</v>
      </c>
      <c r="K295" s="278">
        <f>SUM(A295:J295)</f>
        <v>5328.2941499999997</v>
      </c>
      <c r="L295" s="348" t="s">
        <v>83</v>
      </c>
      <c r="M295" s="151"/>
      <c r="N295" s="353"/>
      <c r="O295" s="353"/>
    </row>
    <row r="296" spans="1:15" s="65" customFormat="1" ht="11.25" x14ac:dyDescent="0.2">
      <c r="A296" s="271">
        <f t="shared" ref="A296:J296" si="9">SUM(A293:A295)</f>
        <v>402.09140000000002</v>
      </c>
      <c r="B296" s="334">
        <f>SUM(B293:B295)</f>
        <v>317.59742999999997</v>
      </c>
      <c r="C296" s="275">
        <f t="shared" si="9"/>
        <v>145.56087400000001</v>
      </c>
      <c r="D296" s="270">
        <f t="shared" si="9"/>
        <v>5822.6338999999998</v>
      </c>
      <c r="E296" s="275">
        <f t="shared" si="9"/>
        <v>1059.385</v>
      </c>
      <c r="F296" s="275">
        <f t="shared" si="9"/>
        <v>737.78477199999998</v>
      </c>
      <c r="G296" s="275">
        <f t="shared" si="9"/>
        <v>201.71899999999999</v>
      </c>
      <c r="H296" s="275">
        <f t="shared" si="9"/>
        <v>1974.2208769999997</v>
      </c>
      <c r="I296" s="275">
        <f t="shared" si="9"/>
        <v>941.53792999999996</v>
      </c>
      <c r="J296" s="275">
        <f t="shared" si="9"/>
        <v>4034.7826</v>
      </c>
      <c r="K296" s="278">
        <f>SUM(K293:K295)</f>
        <v>15637.313783</v>
      </c>
      <c r="L296" s="348" t="s">
        <v>54</v>
      </c>
      <c r="M296" s="151"/>
      <c r="N296" s="353"/>
      <c r="O296" s="353"/>
    </row>
    <row r="297" spans="1:15" s="65" customFormat="1" ht="11.25" hidden="1" x14ac:dyDescent="0.2">
      <c r="A297" s="271">
        <v>137.99600000000001</v>
      </c>
      <c r="B297" s="334">
        <v>154.446347</v>
      </c>
      <c r="C297" s="275">
        <v>114.9248</v>
      </c>
      <c r="D297" s="270">
        <v>1773.8570999999999</v>
      </c>
      <c r="E297" s="275">
        <v>329.86099999999999</v>
      </c>
      <c r="F297" s="275">
        <v>356.58587199999999</v>
      </c>
      <c r="G297" s="275">
        <v>72.153000000000006</v>
      </c>
      <c r="H297" s="275">
        <v>644.84768599999995</v>
      </c>
      <c r="I297" s="275">
        <v>320.51499999999999</v>
      </c>
      <c r="J297" s="275">
        <v>1109.4355</v>
      </c>
      <c r="K297" s="278">
        <f>SUM(A297:J297)</f>
        <v>5014.6223049999999</v>
      </c>
      <c r="L297" s="348" t="s">
        <v>85</v>
      </c>
      <c r="M297" s="151"/>
      <c r="N297" s="353"/>
      <c r="O297" s="353"/>
    </row>
    <row r="298" spans="1:15" s="65" customFormat="1" ht="11.25" hidden="1" x14ac:dyDescent="0.2">
      <c r="A298" s="271">
        <v>164.76900000000001</v>
      </c>
      <c r="B298" s="334">
        <v>57.589542999999999</v>
      </c>
      <c r="C298" s="275">
        <v>140.682368</v>
      </c>
      <c r="D298" s="270">
        <v>1982.1437000000001</v>
      </c>
      <c r="E298" s="275">
        <v>367.64800000000002</v>
      </c>
      <c r="F298" s="275">
        <v>389.60791</v>
      </c>
      <c r="G298" s="275">
        <v>86.052999999999997</v>
      </c>
      <c r="H298" s="275">
        <v>693.57174499999996</v>
      </c>
      <c r="I298" s="275">
        <v>300.98539</v>
      </c>
      <c r="J298" s="275">
        <v>1157.6085</v>
      </c>
      <c r="K298" s="278">
        <f>SUM(A298:J298)</f>
        <v>5340.6591560000006</v>
      </c>
      <c r="L298" s="348" t="s">
        <v>86</v>
      </c>
      <c r="M298" s="151"/>
      <c r="N298" s="353"/>
      <c r="O298" s="353"/>
    </row>
    <row r="299" spans="1:15" s="65" customFormat="1" ht="11.25" hidden="1" x14ac:dyDescent="0.2">
      <c r="A299" s="271">
        <v>179.08799999999999</v>
      </c>
      <c r="B299" s="334">
        <v>27.227243999999999</v>
      </c>
      <c r="C299" s="275">
        <v>200.77811</v>
      </c>
      <c r="D299" s="270">
        <v>1612.1659999999999</v>
      </c>
      <c r="E299" s="275">
        <v>370.69</v>
      </c>
      <c r="F299" s="275">
        <v>441.15569399999998</v>
      </c>
      <c r="G299" s="275">
        <v>77.531000000000006</v>
      </c>
      <c r="H299" s="275">
        <v>695.36788000000001</v>
      </c>
      <c r="I299" s="275">
        <v>293.666</v>
      </c>
      <c r="J299" s="275">
        <v>938.26520000000005</v>
      </c>
      <c r="K299" s="278">
        <f>SUM(A299:J299)</f>
        <v>4835.9351280000001</v>
      </c>
      <c r="L299" s="348" t="s">
        <v>87</v>
      </c>
      <c r="M299" s="151"/>
      <c r="N299" s="353"/>
      <c r="O299" s="353"/>
    </row>
    <row r="300" spans="1:15" s="65" customFormat="1" ht="11.25" x14ac:dyDescent="0.2">
      <c r="A300" s="271">
        <f t="shared" ref="A300:I300" si="10">SUM(A297:A299)</f>
        <v>481.85299999999995</v>
      </c>
      <c r="B300" s="334">
        <f t="shared" si="10"/>
        <v>239.26313399999998</v>
      </c>
      <c r="C300" s="275">
        <f t="shared" si="10"/>
        <v>456.38527799999997</v>
      </c>
      <c r="D300" s="270">
        <f t="shared" si="10"/>
        <v>5368.1668</v>
      </c>
      <c r="E300" s="275">
        <f t="shared" si="10"/>
        <v>1068.1990000000001</v>
      </c>
      <c r="F300" s="275">
        <f>SUM(F297:F299)</f>
        <v>1187.3494760000001</v>
      </c>
      <c r="G300" s="275">
        <f t="shared" si="10"/>
        <v>235.73700000000002</v>
      </c>
      <c r="H300" s="275">
        <f t="shared" si="10"/>
        <v>2033.7873109999998</v>
      </c>
      <c r="I300" s="275">
        <f t="shared" si="10"/>
        <v>915.16638999999986</v>
      </c>
      <c r="J300" s="275">
        <f>SUM(J297:J299)</f>
        <v>3205.3091999999997</v>
      </c>
      <c r="K300" s="278">
        <f>SUM(K297:K299)</f>
        <v>15191.216589</v>
      </c>
      <c r="L300" s="348" t="s">
        <v>55</v>
      </c>
      <c r="M300" s="151"/>
      <c r="N300" s="353"/>
      <c r="O300" s="353"/>
    </row>
    <row r="301" spans="1:15" s="65" customFormat="1" ht="11.25" hidden="1" x14ac:dyDescent="0.2">
      <c r="A301" s="271">
        <v>75.8</v>
      </c>
      <c r="B301" s="334">
        <v>120.053704</v>
      </c>
      <c r="C301" s="275">
        <v>130.11456559999999</v>
      </c>
      <c r="D301" s="270">
        <v>1478.6821</v>
      </c>
      <c r="E301" s="275">
        <v>347.54399999999998</v>
      </c>
      <c r="F301" s="275">
        <v>465.29603500000002</v>
      </c>
      <c r="G301" s="275">
        <v>71.614999999999995</v>
      </c>
      <c r="H301" s="275">
        <v>664.20171000000005</v>
      </c>
      <c r="I301" s="275">
        <v>258.34399999999999</v>
      </c>
      <c r="J301" s="275">
        <v>926.27059999999994</v>
      </c>
      <c r="K301" s="278">
        <f>SUM(A301:J301)</f>
        <v>4537.9217145999992</v>
      </c>
      <c r="L301" s="348" t="s">
        <v>89</v>
      </c>
      <c r="M301" s="151"/>
      <c r="N301" s="353"/>
      <c r="O301" s="353"/>
    </row>
    <row r="302" spans="1:15" s="65" customFormat="1" ht="11.25" hidden="1" x14ac:dyDescent="0.2">
      <c r="A302" s="271">
        <v>245.167</v>
      </c>
      <c r="B302" s="334">
        <v>92.513926999999995</v>
      </c>
      <c r="C302" s="275">
        <v>241.20851500000001</v>
      </c>
      <c r="D302" s="270">
        <v>1613.172</v>
      </c>
      <c r="E302" s="275">
        <v>363.58699999999999</v>
      </c>
      <c r="F302" s="275">
        <v>604.526071</v>
      </c>
      <c r="G302" s="275">
        <v>83.576999999999998</v>
      </c>
      <c r="H302" s="275">
        <v>683.35387900000001</v>
      </c>
      <c r="I302" s="275">
        <v>260.23318499999999</v>
      </c>
      <c r="J302" s="275">
        <v>764.51</v>
      </c>
      <c r="K302" s="278">
        <f>SUM(A302:J302)</f>
        <v>4951.8485770000007</v>
      </c>
      <c r="L302" s="348" t="s">
        <v>90</v>
      </c>
      <c r="M302" s="151"/>
      <c r="N302" s="353"/>
      <c r="O302" s="353"/>
    </row>
    <row r="303" spans="1:15" s="65" customFormat="1" ht="11.25" hidden="1" x14ac:dyDescent="0.2">
      <c r="A303" s="271">
        <v>196.666</v>
      </c>
      <c r="B303" s="334">
        <v>29.948986999999999</v>
      </c>
      <c r="C303" s="275">
        <v>187.66807</v>
      </c>
      <c r="D303" s="270">
        <v>1754.0651</v>
      </c>
      <c r="E303" s="275">
        <v>359.47699999999998</v>
      </c>
      <c r="F303" s="275">
        <v>645.66952300000003</v>
      </c>
      <c r="G303" s="275">
        <v>63.637999999999998</v>
      </c>
      <c r="H303" s="275">
        <v>594.917779</v>
      </c>
      <c r="I303" s="275">
        <v>318.19736999999998</v>
      </c>
      <c r="J303" s="275">
        <v>799.31050000000005</v>
      </c>
      <c r="K303" s="278">
        <f>SUM(A303:J303)</f>
        <v>4949.5583289999995</v>
      </c>
      <c r="L303" s="348" t="s">
        <v>91</v>
      </c>
      <c r="M303" s="151"/>
      <c r="N303" s="353"/>
      <c r="O303" s="353"/>
    </row>
    <row r="304" spans="1:15" s="65" customFormat="1" ht="11.25" x14ac:dyDescent="0.2">
      <c r="A304" s="271">
        <f t="shared" ref="A304:K304" si="11">SUM(A301:A303)</f>
        <v>517.63300000000004</v>
      </c>
      <c r="B304" s="334">
        <f t="shared" si="11"/>
        <v>242.51661799999999</v>
      </c>
      <c r="C304" s="275">
        <f t="shared" si="11"/>
        <v>558.99115060000008</v>
      </c>
      <c r="D304" s="270">
        <f t="shared" si="11"/>
        <v>4845.9192000000003</v>
      </c>
      <c r="E304" s="275">
        <f t="shared" si="11"/>
        <v>1070.6079999999999</v>
      </c>
      <c r="F304" s="275">
        <f t="shared" si="11"/>
        <v>1715.4916290000001</v>
      </c>
      <c r="G304" s="275">
        <f t="shared" si="11"/>
        <v>218.83</v>
      </c>
      <c r="H304" s="275">
        <f t="shared" si="11"/>
        <v>1942.4733679999999</v>
      </c>
      <c r="I304" s="275">
        <f t="shared" si="11"/>
        <v>836.77455499999996</v>
      </c>
      <c r="J304" s="275">
        <f t="shared" si="11"/>
        <v>2490.0911000000001</v>
      </c>
      <c r="K304" s="278">
        <f t="shared" si="11"/>
        <v>14439.328620599999</v>
      </c>
      <c r="L304" s="348" t="s">
        <v>56</v>
      </c>
      <c r="M304" s="151"/>
      <c r="N304" s="353"/>
      <c r="O304" s="353"/>
    </row>
    <row r="305" spans="1:15" s="65" customFormat="1" ht="11.25" x14ac:dyDescent="0.2">
      <c r="A305" s="266"/>
      <c r="B305" s="332"/>
      <c r="C305" s="276"/>
      <c r="D305" s="267"/>
      <c r="E305" s="276"/>
      <c r="F305" s="276"/>
      <c r="G305" s="276"/>
      <c r="H305" s="276"/>
      <c r="I305" s="276"/>
      <c r="J305" s="276"/>
      <c r="K305" s="261"/>
      <c r="L305" s="269"/>
      <c r="M305" s="135"/>
      <c r="N305" s="353"/>
      <c r="O305" s="353"/>
    </row>
    <row r="306" spans="1:15" s="65" customFormat="1" ht="11.25" hidden="1" x14ac:dyDescent="0.2">
      <c r="A306" s="266">
        <v>47.402999999999999</v>
      </c>
      <c r="B306" s="332">
        <v>93.282381000000001</v>
      </c>
      <c r="C306" s="276">
        <v>258.27823665</v>
      </c>
      <c r="D306" s="358">
        <v>1812.4511</v>
      </c>
      <c r="E306" s="276">
        <v>364.995</v>
      </c>
      <c r="F306" s="276">
        <v>818.79729599999996</v>
      </c>
      <c r="G306" s="276">
        <v>59.384</v>
      </c>
      <c r="H306" s="276">
        <v>788.07791999999995</v>
      </c>
      <c r="I306" s="276">
        <v>263.29532999999998</v>
      </c>
      <c r="J306" s="276">
        <v>926.3116</v>
      </c>
      <c r="K306" s="261">
        <f>SUM(A306:J306)</f>
        <v>5432.2758636499993</v>
      </c>
      <c r="L306" s="269" t="s">
        <v>78</v>
      </c>
      <c r="M306" s="359">
        <v>2023</v>
      </c>
      <c r="N306" s="353"/>
      <c r="O306" s="353"/>
    </row>
    <row r="307" spans="1:15" s="65" customFormat="1" ht="11.25" hidden="1" x14ac:dyDescent="0.2">
      <c r="A307" s="266">
        <v>134.08000000000001</v>
      </c>
      <c r="B307" s="332">
        <v>124.27965399999999</v>
      </c>
      <c r="C307" s="276">
        <v>283.199840693</v>
      </c>
      <c r="D307" s="358">
        <v>1508.8595</v>
      </c>
      <c r="E307" s="276">
        <v>326.97300000000001</v>
      </c>
      <c r="F307" s="276">
        <v>699.64059099999997</v>
      </c>
      <c r="G307" s="276">
        <v>66.680000000000007</v>
      </c>
      <c r="H307" s="276">
        <v>427.54957999999999</v>
      </c>
      <c r="I307" s="276">
        <v>214.672</v>
      </c>
      <c r="J307" s="276">
        <v>816.34379999999999</v>
      </c>
      <c r="K307" s="261">
        <f>SUM(A307:J307)</f>
        <v>4602.2779656929997</v>
      </c>
      <c r="L307" s="269" t="s">
        <v>79</v>
      </c>
      <c r="M307" s="135"/>
      <c r="N307" s="353"/>
      <c r="O307" s="353"/>
    </row>
    <row r="308" spans="1:15" s="65" customFormat="1" ht="11.25" hidden="1" x14ac:dyDescent="0.2">
      <c r="A308" s="266">
        <v>125.788</v>
      </c>
      <c r="B308" s="332">
        <v>87.213864000000001</v>
      </c>
      <c r="C308" s="276">
        <v>278.01802654099998</v>
      </c>
      <c r="D308" s="267">
        <v>1710.7293999999999</v>
      </c>
      <c r="E308" s="276">
        <v>312.86500000000001</v>
      </c>
      <c r="F308" s="276">
        <v>886.17393700000002</v>
      </c>
      <c r="G308" s="276">
        <v>82.756</v>
      </c>
      <c r="H308" s="276">
        <v>590.92272000000003</v>
      </c>
      <c r="I308" s="276">
        <v>153.21532999999999</v>
      </c>
      <c r="J308" s="276">
        <v>889.68650000000002</v>
      </c>
      <c r="K308" s="261">
        <f>SUM(A308:J308)</f>
        <v>5117.3687775409999</v>
      </c>
      <c r="L308" s="269" t="s">
        <v>80</v>
      </c>
      <c r="M308" s="135"/>
      <c r="N308" s="353"/>
      <c r="O308" s="353"/>
    </row>
    <row r="309" spans="1:15" s="65" customFormat="1" ht="11.25" x14ac:dyDescent="0.2">
      <c r="A309" s="271">
        <f t="shared" ref="A309:K309" si="12">SUM(A306:A308)</f>
        <v>307.27100000000002</v>
      </c>
      <c r="B309" s="334">
        <f t="shared" si="12"/>
        <v>304.77589899999998</v>
      </c>
      <c r="C309" s="275">
        <f t="shared" si="12"/>
        <v>819.49610388399992</v>
      </c>
      <c r="D309" s="270">
        <f t="shared" si="12"/>
        <v>5032.04</v>
      </c>
      <c r="E309" s="275">
        <f t="shared" si="12"/>
        <v>1004.8330000000001</v>
      </c>
      <c r="F309" s="275">
        <f t="shared" si="12"/>
        <v>2404.6118240000001</v>
      </c>
      <c r="G309" s="275">
        <f t="shared" si="12"/>
        <v>208.82</v>
      </c>
      <c r="H309" s="275">
        <f t="shared" si="12"/>
        <v>1806.5502200000001</v>
      </c>
      <c r="I309" s="275">
        <f t="shared" si="12"/>
        <v>631.18265999999994</v>
      </c>
      <c r="J309" s="275">
        <f t="shared" si="12"/>
        <v>2632.3419000000004</v>
      </c>
      <c r="K309" s="278">
        <f t="shared" si="12"/>
        <v>15151.922606884</v>
      </c>
      <c r="L309" s="348" t="s">
        <v>53</v>
      </c>
      <c r="M309" s="151">
        <v>2023</v>
      </c>
      <c r="N309" s="353"/>
      <c r="O309" s="353"/>
    </row>
    <row r="310" spans="1:15" s="65" customFormat="1" ht="11.25" hidden="1" x14ac:dyDescent="0.2">
      <c r="A310" s="271">
        <v>153.53200000000001</v>
      </c>
      <c r="B310" s="334">
        <v>32.884999999999998</v>
      </c>
      <c r="C310" s="275">
        <v>391.020456997</v>
      </c>
      <c r="D310" s="270">
        <v>1328.7398000000001</v>
      </c>
      <c r="E310" s="275">
        <v>304.69</v>
      </c>
      <c r="F310" s="275">
        <v>909.57421799999997</v>
      </c>
      <c r="G310" s="275">
        <v>69.477999999999994</v>
      </c>
      <c r="H310" s="275">
        <v>603.25712599999997</v>
      </c>
      <c r="I310" s="275">
        <v>49.332000000000001</v>
      </c>
      <c r="J310" s="275">
        <v>992.50620000000004</v>
      </c>
      <c r="K310" s="278">
        <f>SUM(A310:J310)</f>
        <v>4835.0148009969998</v>
      </c>
      <c r="L310" s="348" t="s">
        <v>68</v>
      </c>
      <c r="M310" s="151"/>
      <c r="N310" s="353"/>
      <c r="O310" s="353"/>
    </row>
    <row r="311" spans="1:15" s="65" customFormat="1" ht="11.25" hidden="1" x14ac:dyDescent="0.2">
      <c r="A311" s="271">
        <v>261.81900000000002</v>
      </c>
      <c r="B311" s="334">
        <v>68.775859999999994</v>
      </c>
      <c r="C311" s="275">
        <v>534.10998877999896</v>
      </c>
      <c r="D311" s="270">
        <v>1703.8049000000001</v>
      </c>
      <c r="E311" s="275">
        <v>325.05200000000002</v>
      </c>
      <c r="F311" s="275">
        <v>827.134322</v>
      </c>
      <c r="G311" s="275">
        <v>69.123000000000005</v>
      </c>
      <c r="H311" s="275">
        <v>525.87416199999996</v>
      </c>
      <c r="I311" s="275">
        <v>208.25389899999999</v>
      </c>
      <c r="J311" s="275">
        <v>1172.9309000000001</v>
      </c>
      <c r="K311" s="278">
        <f>SUM(A311:J311)</f>
        <v>5696.8780317799992</v>
      </c>
      <c r="L311" s="348" t="s">
        <v>82</v>
      </c>
      <c r="M311" s="151"/>
      <c r="N311" s="353"/>
      <c r="O311" s="353"/>
    </row>
    <row r="312" spans="1:15" s="65" customFormat="1" ht="11.25" hidden="1" x14ac:dyDescent="0.2">
      <c r="A312" s="271">
        <v>163.351</v>
      </c>
      <c r="B312" s="334">
        <v>124.831439</v>
      </c>
      <c r="C312" s="275">
        <v>515.324783153</v>
      </c>
      <c r="D312" s="270">
        <v>1825.3081999999999</v>
      </c>
      <c r="E312" s="275">
        <v>326.79399999999998</v>
      </c>
      <c r="F312" s="275">
        <v>785.21480399999996</v>
      </c>
      <c r="G312" s="275">
        <v>98.555000000000007</v>
      </c>
      <c r="H312" s="275">
        <v>233.30928599999999</v>
      </c>
      <c r="I312" s="275">
        <v>207.10300000000001</v>
      </c>
      <c r="J312" s="275">
        <v>1065.1188</v>
      </c>
      <c r="K312" s="278">
        <f>SUM(A312:J312)</f>
        <v>5344.9103121529997</v>
      </c>
      <c r="L312" s="348" t="s">
        <v>83</v>
      </c>
      <c r="M312" s="151"/>
      <c r="N312" s="353"/>
      <c r="O312" s="353"/>
    </row>
    <row r="313" spans="1:15" s="65" customFormat="1" ht="11.25" x14ac:dyDescent="0.2">
      <c r="A313" s="271">
        <f t="shared" ref="A313:J313" si="13">SUM(A310:A312)</f>
        <v>578.702</v>
      </c>
      <c r="B313" s="334">
        <f t="shared" si="13"/>
        <v>226.492299</v>
      </c>
      <c r="C313" s="275">
        <f t="shared" si="13"/>
        <v>1440.4552289299991</v>
      </c>
      <c r="D313" s="270">
        <f t="shared" si="13"/>
        <v>4857.8528999999999</v>
      </c>
      <c r="E313" s="275">
        <f t="shared" si="13"/>
        <v>956.53599999999994</v>
      </c>
      <c r="F313" s="275">
        <f t="shared" si="13"/>
        <v>2521.9233439999998</v>
      </c>
      <c r="G313" s="275">
        <f t="shared" si="13"/>
        <v>237.15600000000001</v>
      </c>
      <c r="H313" s="275">
        <f t="shared" si="13"/>
        <v>1362.440574</v>
      </c>
      <c r="I313" s="275">
        <f t="shared" si="13"/>
        <v>464.68889899999999</v>
      </c>
      <c r="J313" s="275">
        <f t="shared" si="13"/>
        <v>3230.5559000000003</v>
      </c>
      <c r="K313" s="278">
        <f>SUM(K310:K312)</f>
        <v>15876.80314493</v>
      </c>
      <c r="L313" s="348" t="s">
        <v>54</v>
      </c>
      <c r="M313" s="151"/>
      <c r="N313" s="353"/>
      <c r="O313" s="353"/>
    </row>
    <row r="314" spans="1:15" s="65" customFormat="1" ht="11.25" hidden="1" x14ac:dyDescent="0.2">
      <c r="A314" s="271">
        <v>197.46700000000001</v>
      </c>
      <c r="B314" s="334">
        <v>98.665521999999996</v>
      </c>
      <c r="C314" s="275">
        <v>354.18578699561999</v>
      </c>
      <c r="D314" s="270">
        <v>1688.5907999999999</v>
      </c>
      <c r="E314" s="275">
        <v>303.47699999999998</v>
      </c>
      <c r="F314" s="275">
        <v>804.56852500000002</v>
      </c>
      <c r="G314" s="275">
        <v>68.766999999999996</v>
      </c>
      <c r="H314" s="275">
        <v>689.12235999999996</v>
      </c>
      <c r="I314" s="275">
        <v>271.57499999999999</v>
      </c>
      <c r="J314" s="275">
        <v>1067.4516000000001</v>
      </c>
      <c r="K314" s="278">
        <f>SUM(A314:J314)</f>
        <v>5543.8705939956199</v>
      </c>
      <c r="L314" s="348" t="s">
        <v>85</v>
      </c>
      <c r="M314" s="151"/>
      <c r="N314" s="353"/>
      <c r="O314" s="353"/>
    </row>
    <row r="315" spans="1:15" s="65" customFormat="1" ht="11.25" hidden="1" x14ac:dyDescent="0.2">
      <c r="A315" s="271">
        <v>169.09899999999999</v>
      </c>
      <c r="B315" s="334">
        <v>111.13752599999999</v>
      </c>
      <c r="C315" s="275">
        <v>448.52340370399997</v>
      </c>
      <c r="D315" s="270">
        <v>1693.7683</v>
      </c>
      <c r="E315" s="275">
        <v>289.28500000000003</v>
      </c>
      <c r="F315" s="275">
        <v>664.269049</v>
      </c>
      <c r="G315" s="275">
        <v>74.022999999999996</v>
      </c>
      <c r="H315" s="275">
        <v>562.38046299999996</v>
      </c>
      <c r="I315" s="275">
        <v>239.43899999999999</v>
      </c>
      <c r="J315" s="275">
        <v>1090.7918999999999</v>
      </c>
      <c r="K315" s="278">
        <f>SUM(A315:J315)</f>
        <v>5342.7166417039998</v>
      </c>
      <c r="L315" s="348" t="s">
        <v>86</v>
      </c>
      <c r="M315" s="151"/>
      <c r="N315" s="353"/>
      <c r="O315" s="353"/>
    </row>
    <row r="316" spans="1:15" s="65" customFormat="1" ht="11.25" hidden="1" x14ac:dyDescent="0.2">
      <c r="A316" s="271">
        <v>172.07900000000001</v>
      </c>
      <c r="B316" s="334">
        <v>125.139346</v>
      </c>
      <c r="C316" s="275">
        <v>484.71401336299999</v>
      </c>
      <c r="D316" s="270">
        <v>1601.1569999999999</v>
      </c>
      <c r="E316" s="275">
        <v>281.92700000000002</v>
      </c>
      <c r="F316" s="275">
        <v>770.63374199999998</v>
      </c>
      <c r="G316" s="275">
        <v>73.613</v>
      </c>
      <c r="H316" s="275">
        <v>479.48965600000002</v>
      </c>
      <c r="I316" s="275">
        <v>218.126206</v>
      </c>
      <c r="J316" s="275">
        <v>934.31590000000006</v>
      </c>
      <c r="K316" s="278">
        <f>SUM(A316:J316)</f>
        <v>5141.194863363</v>
      </c>
      <c r="L316" s="348" t="s">
        <v>87</v>
      </c>
      <c r="M316" s="151"/>
      <c r="N316" s="353"/>
      <c r="O316" s="353"/>
    </row>
    <row r="317" spans="1:15" s="65" customFormat="1" ht="11.25" x14ac:dyDescent="0.2">
      <c r="A317" s="271">
        <f t="shared" ref="A317:I317" si="14">SUM(A314:A316)</f>
        <v>538.64499999999998</v>
      </c>
      <c r="B317" s="334">
        <f t="shared" si="14"/>
        <v>334.94239399999998</v>
      </c>
      <c r="C317" s="275">
        <f t="shared" si="14"/>
        <v>1287.42320406262</v>
      </c>
      <c r="D317" s="270">
        <f t="shared" si="14"/>
        <v>4983.5160999999998</v>
      </c>
      <c r="E317" s="275">
        <f t="shared" si="14"/>
        <v>874.68899999999996</v>
      </c>
      <c r="F317" s="275">
        <f t="shared" si="14"/>
        <v>2239.4713160000001</v>
      </c>
      <c r="G317" s="275">
        <f t="shared" si="14"/>
        <v>216.40299999999999</v>
      </c>
      <c r="H317" s="275">
        <f>SUM(H314:H316)</f>
        <v>1730.9924789999998</v>
      </c>
      <c r="I317" s="275">
        <f t="shared" si="14"/>
        <v>729.14020600000003</v>
      </c>
      <c r="J317" s="275">
        <f>SUM(J314:J316)</f>
        <v>3092.5594000000001</v>
      </c>
      <c r="K317" s="278">
        <f>SUM(K314:K316)</f>
        <v>16027.782099062619</v>
      </c>
      <c r="L317" s="348" t="s">
        <v>55</v>
      </c>
      <c r="M317" s="151"/>
      <c r="N317" s="353"/>
      <c r="O317" s="353"/>
    </row>
    <row r="318" spans="1:15" s="65" customFormat="1" ht="11.25" hidden="1" x14ac:dyDescent="0.2">
      <c r="A318" s="271">
        <v>147.994</v>
      </c>
      <c r="B318" s="334">
        <v>71.964676999999995</v>
      </c>
      <c r="C318" s="275">
        <v>339.46003567100001</v>
      </c>
      <c r="D318" s="270">
        <v>1353.3556000000001</v>
      </c>
      <c r="E318" s="275">
        <v>339.233</v>
      </c>
      <c r="F318" s="275">
        <v>563.27369999999996</v>
      </c>
      <c r="G318" s="275">
        <v>67.977000000000004</v>
      </c>
      <c r="H318" s="275">
        <v>664.75389099999995</v>
      </c>
      <c r="I318" s="275">
        <v>267.74368199999998</v>
      </c>
      <c r="J318" s="275">
        <v>1164.2664</v>
      </c>
      <c r="K318" s="278">
        <f>SUM(A318:J318)</f>
        <v>4980.0219856709991</v>
      </c>
      <c r="L318" s="348" t="s">
        <v>89</v>
      </c>
      <c r="M318" s="151"/>
      <c r="N318" s="353"/>
      <c r="O318" s="353"/>
    </row>
    <row r="319" spans="1:15" s="65" customFormat="1" ht="11.25" hidden="1" x14ac:dyDescent="0.2">
      <c r="A319" s="271">
        <v>128.864</v>
      </c>
      <c r="B319" s="334">
        <v>59.052764000000003</v>
      </c>
      <c r="C319" s="275">
        <v>250.56569282000001</v>
      </c>
      <c r="D319" s="270">
        <v>1405.5909999999999</v>
      </c>
      <c r="E319" s="275">
        <v>247.15799999999999</v>
      </c>
      <c r="F319" s="275">
        <v>466.260267</v>
      </c>
      <c r="G319" s="275">
        <v>53.104999999999997</v>
      </c>
      <c r="H319" s="275">
        <v>792.08109000000002</v>
      </c>
      <c r="I319" s="275">
        <v>208.29282900000001</v>
      </c>
      <c r="J319" s="275">
        <v>835.10090000000002</v>
      </c>
      <c r="K319" s="278">
        <f>SUM(A319:J319)</f>
        <v>4446.0715428200001</v>
      </c>
      <c r="L319" s="348" t="s">
        <v>90</v>
      </c>
      <c r="M319" s="151"/>
      <c r="N319" s="353"/>
      <c r="O319" s="353"/>
    </row>
    <row r="320" spans="1:15" s="65" customFormat="1" ht="11.25" hidden="1" x14ac:dyDescent="0.2">
      <c r="A320" s="271">
        <v>160.86199999999999</v>
      </c>
      <c r="B320" s="334">
        <v>125.51209799999999</v>
      </c>
      <c r="C320" s="275">
        <v>145.00131436999999</v>
      </c>
      <c r="D320" s="270">
        <v>1368.1766</v>
      </c>
      <c r="E320" s="275">
        <v>275.64299999999997</v>
      </c>
      <c r="F320" s="275">
        <v>393.75653599999998</v>
      </c>
      <c r="G320" s="275">
        <v>60.234999999999999</v>
      </c>
      <c r="H320" s="275">
        <v>783.51654599999995</v>
      </c>
      <c r="I320" s="275">
        <v>162.70295999999999</v>
      </c>
      <c r="J320" s="275">
        <v>707.47140000000002</v>
      </c>
      <c r="K320" s="278">
        <f>SUM(A320:J320)</f>
        <v>4182.8774543700001</v>
      </c>
      <c r="L320" s="348" t="s">
        <v>91</v>
      </c>
      <c r="M320" s="151"/>
      <c r="N320" s="353"/>
      <c r="O320" s="353"/>
    </row>
    <row r="321" spans="1:15" s="65" customFormat="1" ht="11.25" x14ac:dyDescent="0.2">
      <c r="A321" s="271">
        <f t="shared" ref="A321:J321" si="15">SUM(A318:A320)</f>
        <v>437.72</v>
      </c>
      <c r="B321" s="334">
        <f t="shared" si="15"/>
        <v>256.529539</v>
      </c>
      <c r="C321" s="275">
        <f t="shared" si="15"/>
        <v>735.02704286099993</v>
      </c>
      <c r="D321" s="270">
        <f t="shared" si="15"/>
        <v>4127.1232</v>
      </c>
      <c r="E321" s="275">
        <f t="shared" si="15"/>
        <v>862.03399999999988</v>
      </c>
      <c r="F321" s="275">
        <f t="shared" si="15"/>
        <v>1423.2905029999997</v>
      </c>
      <c r="G321" s="275">
        <f t="shared" si="15"/>
        <v>181.31700000000001</v>
      </c>
      <c r="H321" s="275">
        <f t="shared" si="15"/>
        <v>2240.3515269999998</v>
      </c>
      <c r="I321" s="275">
        <f t="shared" si="15"/>
        <v>638.73947099999998</v>
      </c>
      <c r="J321" s="275">
        <f t="shared" si="15"/>
        <v>2706.8386999999998</v>
      </c>
      <c r="K321" s="278">
        <f>SUM(K318:K320)</f>
        <v>13608.970982860999</v>
      </c>
      <c r="L321" s="348" t="s">
        <v>56</v>
      </c>
      <c r="M321" s="151"/>
      <c r="N321" s="353"/>
      <c r="O321" s="353"/>
    </row>
    <row r="322" spans="1:15" s="65" customFormat="1" ht="11.25" x14ac:dyDescent="0.2">
      <c r="A322" s="266"/>
      <c r="B322" s="332"/>
      <c r="C322" s="276"/>
      <c r="D322" s="267"/>
      <c r="E322" s="276"/>
      <c r="F322" s="276"/>
      <c r="G322" s="276"/>
      <c r="H322" s="276"/>
      <c r="I322" s="276"/>
      <c r="J322" s="276"/>
      <c r="K322" s="261"/>
      <c r="L322" s="269"/>
      <c r="M322" s="135"/>
      <c r="N322" s="353"/>
      <c r="O322" s="353"/>
    </row>
    <row r="323" spans="1:15" s="65" customFormat="1" ht="11.25" hidden="1" x14ac:dyDescent="0.2">
      <c r="A323" s="266">
        <v>102.461</v>
      </c>
      <c r="B323" s="332">
        <v>32.910178000000002</v>
      </c>
      <c r="C323" s="276">
        <v>172.316843482</v>
      </c>
      <c r="D323" s="267">
        <v>1322.5437999999999</v>
      </c>
      <c r="E323" s="276">
        <v>283.14600000000002</v>
      </c>
      <c r="F323" s="276">
        <v>426.68983700000001</v>
      </c>
      <c r="G323" s="276">
        <v>76.63</v>
      </c>
      <c r="H323" s="276">
        <v>418.39484800000002</v>
      </c>
      <c r="I323" s="276">
        <v>181.05169900000001</v>
      </c>
      <c r="J323" s="276">
        <v>737.27689999999996</v>
      </c>
      <c r="K323" s="261">
        <f>SUM(A323:J323)</f>
        <v>3753.4211054819998</v>
      </c>
      <c r="L323" s="269" t="s">
        <v>78</v>
      </c>
      <c r="M323" s="135">
        <v>2024</v>
      </c>
      <c r="N323" s="349"/>
      <c r="O323" s="353"/>
    </row>
    <row r="324" spans="1:15" s="65" customFormat="1" ht="11.25" hidden="1" x14ac:dyDescent="0.2">
      <c r="A324" s="266">
        <v>76.167000000000002</v>
      </c>
      <c r="B324" s="332">
        <v>100.44878</v>
      </c>
      <c r="C324" s="276">
        <v>301.56628823699998</v>
      </c>
      <c r="D324" s="267">
        <v>1688.5452</v>
      </c>
      <c r="E324" s="276">
        <v>204.85</v>
      </c>
      <c r="F324" s="276">
        <v>497.52608100000009</v>
      </c>
      <c r="G324" s="276">
        <v>50.45</v>
      </c>
      <c r="H324" s="276">
        <v>788.69645500000001</v>
      </c>
      <c r="I324" s="276">
        <v>30.606151000000001</v>
      </c>
      <c r="J324" s="276">
        <v>850.76089999999999</v>
      </c>
      <c r="K324" s="261">
        <f>SUM(A324:J324)</f>
        <v>4589.616855237</v>
      </c>
      <c r="L324" s="269" t="s">
        <v>79</v>
      </c>
      <c r="M324" s="135"/>
      <c r="N324" s="349"/>
      <c r="O324" s="353"/>
    </row>
    <row r="325" spans="1:15" s="65" customFormat="1" ht="11.25" hidden="1" x14ac:dyDescent="0.2">
      <c r="A325" s="266">
        <v>47.832000000000001</v>
      </c>
      <c r="B325" s="332">
        <v>122.238085</v>
      </c>
      <c r="C325" s="276">
        <v>404.13717506799901</v>
      </c>
      <c r="D325" s="267">
        <v>1676.0873999999999</v>
      </c>
      <c r="E325" s="276">
        <v>280.19400000000002</v>
      </c>
      <c r="F325" s="276">
        <v>606.01703399999985</v>
      </c>
      <c r="G325" s="276">
        <v>57.07</v>
      </c>
      <c r="H325" s="276">
        <v>453.43869899999999</v>
      </c>
      <c r="I325" s="276">
        <v>123.8445</v>
      </c>
      <c r="J325" s="276">
        <v>772.14829999999995</v>
      </c>
      <c r="K325" s="261">
        <f>SUM(A325:J325)</f>
        <v>4543.0071930679987</v>
      </c>
      <c r="L325" s="269" t="s">
        <v>80</v>
      </c>
      <c r="M325" s="135"/>
      <c r="N325" s="349"/>
      <c r="O325" s="353"/>
    </row>
    <row r="326" spans="1:15" s="65" customFormat="1" ht="11.25" x14ac:dyDescent="0.2">
      <c r="A326" s="271">
        <f t="shared" ref="A326:I326" si="16">SUM(A323:A325)</f>
        <v>226.45999999999998</v>
      </c>
      <c r="B326" s="334">
        <f t="shared" si="16"/>
        <v>255.59704299999999</v>
      </c>
      <c r="C326" s="275">
        <f t="shared" si="16"/>
        <v>878.02030678699896</v>
      </c>
      <c r="D326" s="270">
        <f t="shared" si="16"/>
        <v>4687.1764000000003</v>
      </c>
      <c r="E326" s="275">
        <f t="shared" si="16"/>
        <v>768.19</v>
      </c>
      <c r="F326" s="275">
        <f t="shared" si="16"/>
        <v>1530.2329519999998</v>
      </c>
      <c r="G326" s="275">
        <f t="shared" si="16"/>
        <v>184.15</v>
      </c>
      <c r="H326" s="275">
        <f t="shared" si="16"/>
        <v>1660.5300020000002</v>
      </c>
      <c r="I326" s="275">
        <f t="shared" si="16"/>
        <v>335.50235000000004</v>
      </c>
      <c r="J326" s="275">
        <f>SUM(J323:J325)</f>
        <v>2360.1860999999999</v>
      </c>
      <c r="K326" s="278">
        <f>SUM(K323:K325)</f>
        <v>12886.045153786999</v>
      </c>
      <c r="L326" s="348" t="s">
        <v>53</v>
      </c>
      <c r="M326" s="151">
        <v>2024</v>
      </c>
      <c r="N326" s="353"/>
      <c r="O326" s="353"/>
    </row>
    <row r="327" spans="1:15" s="65" customFormat="1" ht="11.25" hidden="1" x14ac:dyDescent="0.2">
      <c r="A327" s="271">
        <v>51.3</v>
      </c>
      <c r="B327" s="334">
        <v>72.609098000000003</v>
      </c>
      <c r="C327" s="275">
        <v>447.05243409000025</v>
      </c>
      <c r="D327" s="270">
        <v>1550.8672999999999</v>
      </c>
      <c r="E327" s="275">
        <v>267.214</v>
      </c>
      <c r="F327" s="275">
        <v>361.24519000000004</v>
      </c>
      <c r="G327" s="275">
        <v>74.302999999999997</v>
      </c>
      <c r="H327" s="275">
        <v>567.786293</v>
      </c>
      <c r="I327" s="275">
        <v>268.09958999999998</v>
      </c>
      <c r="J327" s="275">
        <v>755.35090000000002</v>
      </c>
      <c r="K327" s="278">
        <f>SUM(A327:J327)</f>
        <v>4415.8278050899999</v>
      </c>
      <c r="L327" s="348" t="s">
        <v>68</v>
      </c>
      <c r="M327" s="151"/>
      <c r="N327" s="353"/>
      <c r="O327" s="353"/>
    </row>
    <row r="328" spans="1:15" s="65" customFormat="1" ht="11.25" hidden="1" x14ac:dyDescent="0.2">
      <c r="A328" s="271">
        <v>27.94</v>
      </c>
      <c r="B328" s="334">
        <v>29.212696999999999</v>
      </c>
      <c r="C328" s="275">
        <v>612.96504090700103</v>
      </c>
      <c r="D328" s="270">
        <v>1674.6369</v>
      </c>
      <c r="E328" s="275">
        <v>260.53199999999998</v>
      </c>
      <c r="F328" s="275">
        <v>563.07202700000016</v>
      </c>
      <c r="G328" s="275">
        <v>56.543999999999997</v>
      </c>
      <c r="H328" s="275">
        <v>362.39809300000002</v>
      </c>
      <c r="I328" s="275">
        <v>264.85070000000002</v>
      </c>
      <c r="J328" s="275">
        <v>756.03729999999996</v>
      </c>
      <c r="K328" s="278">
        <f>SUM(A328:J328)</f>
        <v>4608.1887579070008</v>
      </c>
      <c r="L328" s="348" t="s">
        <v>82</v>
      </c>
      <c r="M328" s="151"/>
      <c r="N328" s="353"/>
      <c r="O328" s="353"/>
    </row>
    <row r="329" spans="1:15" s="65" customFormat="1" ht="11.25" hidden="1" x14ac:dyDescent="0.2">
      <c r="A329" s="271">
        <v>47.905000000000001</v>
      </c>
      <c r="B329" s="334">
        <v>32.961877000000001</v>
      </c>
      <c r="C329" s="275">
        <v>557.492796</v>
      </c>
      <c r="D329" s="270">
        <v>1530.2925</v>
      </c>
      <c r="E329" s="275">
        <v>259.80523299999999</v>
      </c>
      <c r="F329" s="275">
        <v>347.62045599999999</v>
      </c>
      <c r="G329" s="275">
        <v>74.855000000000004</v>
      </c>
      <c r="H329" s="275">
        <v>375.359039</v>
      </c>
      <c r="I329" s="275">
        <v>155.9213</v>
      </c>
      <c r="J329" s="275">
        <v>725.92150000000004</v>
      </c>
      <c r="K329" s="278">
        <f>SUM(A329:J329)</f>
        <v>4108.1347009999999</v>
      </c>
      <c r="L329" s="348" t="s">
        <v>83</v>
      </c>
      <c r="M329" s="151"/>
      <c r="N329" s="353"/>
      <c r="O329" s="353"/>
    </row>
    <row r="330" spans="1:15" s="65" customFormat="1" ht="11.25" x14ac:dyDescent="0.2">
      <c r="A330" s="271">
        <f t="shared" ref="A330:J330" si="17">SUM(A327:A329)</f>
        <v>127.145</v>
      </c>
      <c r="B330" s="334">
        <f>SUM(B327:B329)</f>
        <v>134.78367200000002</v>
      </c>
      <c r="C330" s="275">
        <f t="shared" si="17"/>
        <v>1617.5102709970013</v>
      </c>
      <c r="D330" s="270">
        <f t="shared" si="17"/>
        <v>4755.7966999999999</v>
      </c>
      <c r="E330" s="275">
        <f t="shared" si="17"/>
        <v>787.55123299999991</v>
      </c>
      <c r="F330" s="275">
        <f t="shared" si="17"/>
        <v>1271.9376730000004</v>
      </c>
      <c r="G330" s="275">
        <f t="shared" si="17"/>
        <v>205.702</v>
      </c>
      <c r="H330" s="275">
        <f t="shared" si="17"/>
        <v>1305.5434250000001</v>
      </c>
      <c r="I330" s="275">
        <f t="shared" si="17"/>
        <v>688.87158999999997</v>
      </c>
      <c r="J330" s="275">
        <f t="shared" si="17"/>
        <v>2237.3096999999998</v>
      </c>
      <c r="K330" s="278">
        <f>SUM(K327:K329)</f>
        <v>13132.151263996999</v>
      </c>
      <c r="L330" s="348" t="s">
        <v>54</v>
      </c>
      <c r="M330" s="151"/>
      <c r="N330" s="353"/>
      <c r="O330" s="353"/>
    </row>
    <row r="331" spans="1:15" s="65" customFormat="1" ht="11.25" hidden="1" x14ac:dyDescent="0.2">
      <c r="A331" s="271">
        <v>0</v>
      </c>
      <c r="B331" s="334">
        <v>61.208528000000001</v>
      </c>
      <c r="C331" s="275">
        <v>618.37839887000007</v>
      </c>
      <c r="D331" s="270">
        <v>1701.1657000000002</v>
      </c>
      <c r="E331" s="275">
        <v>341.64648299999999</v>
      </c>
      <c r="F331" s="275">
        <v>352.17636099999999</v>
      </c>
      <c r="G331" s="275">
        <v>53.225999999999999</v>
      </c>
      <c r="H331" s="275">
        <v>338.34841399999999</v>
      </c>
      <c r="I331" s="275">
        <v>207.50890699999999</v>
      </c>
      <c r="J331" s="275">
        <v>806.38850000000002</v>
      </c>
      <c r="K331" s="278">
        <f>SUM(A331:J331)</f>
        <v>4480.0472918699998</v>
      </c>
      <c r="L331" s="348" t="s">
        <v>85</v>
      </c>
      <c r="M331" s="151"/>
      <c r="N331" s="353"/>
      <c r="O331" s="353"/>
    </row>
    <row r="332" spans="1:15" s="65" customFormat="1" ht="11.25" hidden="1" x14ac:dyDescent="0.2">
      <c r="A332" s="271">
        <v>47.97</v>
      </c>
      <c r="B332" s="334">
        <v>77.040539999999993</v>
      </c>
      <c r="C332" s="275">
        <v>604.18664942800092</v>
      </c>
      <c r="D332" s="270">
        <v>1743.5928999999999</v>
      </c>
      <c r="E332" s="275">
        <v>337.11900000000003</v>
      </c>
      <c r="F332" s="275">
        <v>408.47484500000002</v>
      </c>
      <c r="G332" s="275">
        <v>45.131</v>
      </c>
      <c r="H332" s="275">
        <v>400.78302000000002</v>
      </c>
      <c r="I332" s="275">
        <v>255.19093699999999</v>
      </c>
      <c r="J332" s="275">
        <v>874.81700000000001</v>
      </c>
      <c r="K332" s="278">
        <f>SUM(A332:J332)</f>
        <v>4794.3058914280009</v>
      </c>
      <c r="L332" s="348" t="s">
        <v>86</v>
      </c>
      <c r="M332" s="151"/>
      <c r="N332" s="353"/>
      <c r="O332" s="353"/>
    </row>
    <row r="333" spans="1:15" s="65" customFormat="1" ht="11.25" hidden="1" x14ac:dyDescent="0.2">
      <c r="A333" s="271">
        <v>46.728000000000002</v>
      </c>
      <c r="B333" s="334">
        <v>30.952373999999999</v>
      </c>
      <c r="C333" s="275">
        <v>561.26531185900001</v>
      </c>
      <c r="D333" s="270">
        <v>1776.1137000000001</v>
      </c>
      <c r="E333" s="275">
        <v>286.88317600000005</v>
      </c>
      <c r="F333" s="275">
        <v>397.71729499999998</v>
      </c>
      <c r="G333" s="275">
        <v>38.481000000000002</v>
      </c>
      <c r="H333" s="275">
        <v>522.86387999999999</v>
      </c>
      <c r="I333" s="275">
        <v>236.60407599999999</v>
      </c>
      <c r="J333" s="275">
        <v>904.67010000000005</v>
      </c>
      <c r="K333" s="278">
        <f>SUM(A333:J333)</f>
        <v>4802.2789128590002</v>
      </c>
      <c r="L333" s="348" t="s">
        <v>87</v>
      </c>
      <c r="M333" s="151"/>
      <c r="N333" s="353"/>
      <c r="O333" s="353"/>
    </row>
    <row r="334" spans="1:15" s="65" customFormat="1" ht="11.25" x14ac:dyDescent="0.2">
      <c r="A334" s="271">
        <f t="shared" ref="A334:K334" si="18">SUM(A331:A333)</f>
        <v>94.698000000000008</v>
      </c>
      <c r="B334" s="334">
        <f t="shared" si="18"/>
        <v>169.20144199999999</v>
      </c>
      <c r="C334" s="275">
        <f t="shared" si="18"/>
        <v>1783.830360157001</v>
      </c>
      <c r="D334" s="270">
        <f t="shared" si="18"/>
        <v>5220.8723</v>
      </c>
      <c r="E334" s="275">
        <f t="shared" si="18"/>
        <v>965.64865900000007</v>
      </c>
      <c r="F334" s="275">
        <f t="shared" si="18"/>
        <v>1158.3685009999999</v>
      </c>
      <c r="G334" s="275">
        <f t="shared" si="18"/>
        <v>136.83799999999999</v>
      </c>
      <c r="H334" s="275">
        <f t="shared" si="18"/>
        <v>1261.995314</v>
      </c>
      <c r="I334" s="275">
        <f t="shared" si="18"/>
        <v>699.30391999999995</v>
      </c>
      <c r="J334" s="275">
        <f t="shared" si="18"/>
        <v>2585.8756000000003</v>
      </c>
      <c r="K334" s="278">
        <f t="shared" si="18"/>
        <v>14076.632096157002</v>
      </c>
      <c r="L334" s="348" t="s">
        <v>55</v>
      </c>
      <c r="M334" s="151"/>
      <c r="N334" s="353"/>
      <c r="O334" s="353"/>
    </row>
    <row r="335" spans="1:15" s="65" customFormat="1" ht="11.25" hidden="1" x14ac:dyDescent="0.2">
      <c r="A335" s="271">
        <v>64.625</v>
      </c>
      <c r="B335" s="334">
        <v>63.795543000000002</v>
      </c>
      <c r="C335" s="275">
        <v>486.90045149900004</v>
      </c>
      <c r="D335" s="270">
        <v>1431.9027000000001</v>
      </c>
      <c r="E335" s="275">
        <v>279.291</v>
      </c>
      <c r="F335" s="275">
        <v>441.459022</v>
      </c>
      <c r="G335" s="275">
        <v>52.491999999999997</v>
      </c>
      <c r="H335" s="275">
        <v>431.45123099999995</v>
      </c>
      <c r="I335" s="275">
        <v>153.48747700000001</v>
      </c>
      <c r="J335" s="275">
        <v>908.06449999999995</v>
      </c>
      <c r="K335" s="278">
        <f>SUM(A335:J335)</f>
        <v>4313.4689244990004</v>
      </c>
      <c r="L335" s="348" t="s">
        <v>89</v>
      </c>
      <c r="M335" s="151"/>
      <c r="N335" s="353"/>
      <c r="O335" s="353"/>
    </row>
    <row r="336" spans="1:15" s="65" customFormat="1" ht="11.25" hidden="1" x14ac:dyDescent="0.2">
      <c r="A336" s="271">
        <v>72.05</v>
      </c>
      <c r="B336" s="334">
        <v>66.205352000000005</v>
      </c>
      <c r="C336" s="275">
        <v>560.87491825800032</v>
      </c>
      <c r="D336" s="270">
        <v>1590.2226000000001</v>
      </c>
      <c r="E336" s="275">
        <v>279.29000000000002</v>
      </c>
      <c r="F336" s="275">
        <v>418.15926100000013</v>
      </c>
      <c r="G336" s="275">
        <v>63.703000000000003</v>
      </c>
      <c r="H336" s="275">
        <v>531.68773600000009</v>
      </c>
      <c r="I336" s="275">
        <v>227.39256</v>
      </c>
      <c r="J336" s="275">
        <v>965.82249999999999</v>
      </c>
      <c r="K336" s="278">
        <f>SUM(A336:J336)</f>
        <v>4775.4079272580011</v>
      </c>
      <c r="L336" s="348" t="s">
        <v>90</v>
      </c>
      <c r="M336" s="151"/>
      <c r="N336" s="353"/>
      <c r="O336" s="353"/>
    </row>
    <row r="337" spans="1:17" s="65" customFormat="1" ht="11.25" hidden="1" x14ac:dyDescent="0.2">
      <c r="A337" s="271">
        <v>83.863</v>
      </c>
      <c r="B337" s="334">
        <v>65.119291000000004</v>
      </c>
      <c r="C337" s="275">
        <v>524.65045619400098</v>
      </c>
      <c r="D337" s="270">
        <v>2013.6316000000002</v>
      </c>
      <c r="E337" s="275">
        <v>308.81400000000002</v>
      </c>
      <c r="F337" s="275">
        <v>429.42971499999999</v>
      </c>
      <c r="G337" s="275">
        <v>22.056000000000001</v>
      </c>
      <c r="H337" s="275">
        <v>588.01667100000009</v>
      </c>
      <c r="I337" s="275">
        <v>251.912319</v>
      </c>
      <c r="J337" s="275">
        <v>851.45770000000005</v>
      </c>
      <c r="K337" s="278">
        <f>SUM(A337:J337)</f>
        <v>5138.9507521940004</v>
      </c>
      <c r="L337" s="348" t="s">
        <v>91</v>
      </c>
      <c r="M337" s="151"/>
      <c r="N337" s="353"/>
      <c r="O337" s="353"/>
    </row>
    <row r="338" spans="1:17" s="65" customFormat="1" ht="11.25" x14ac:dyDescent="0.2">
      <c r="A338" s="271">
        <f t="shared" ref="A338:K338" si="19">SUM(A335:A337)</f>
        <v>220.53800000000001</v>
      </c>
      <c r="B338" s="334">
        <f t="shared" si="19"/>
        <v>195.12018600000002</v>
      </c>
      <c r="C338" s="275">
        <f t="shared" si="19"/>
        <v>1572.4258259510013</v>
      </c>
      <c r="D338" s="270">
        <f t="shared" si="19"/>
        <v>5035.7569000000003</v>
      </c>
      <c r="E338" s="275">
        <f t="shared" si="19"/>
        <v>867.39499999999998</v>
      </c>
      <c r="F338" s="275">
        <f t="shared" si="19"/>
        <v>1289.047998</v>
      </c>
      <c r="G338" s="275">
        <f t="shared" si="19"/>
        <v>138.251</v>
      </c>
      <c r="H338" s="275">
        <f t="shared" si="19"/>
        <v>1551.1556380000002</v>
      </c>
      <c r="I338" s="275">
        <f t="shared" si="19"/>
        <v>632.79235600000004</v>
      </c>
      <c r="J338" s="275">
        <f t="shared" si="19"/>
        <v>2725.3447000000001</v>
      </c>
      <c r="K338" s="278">
        <f t="shared" si="19"/>
        <v>14227.827603951002</v>
      </c>
      <c r="L338" s="348" t="s">
        <v>56</v>
      </c>
      <c r="M338" s="151"/>
      <c r="N338" s="353"/>
      <c r="O338" s="353"/>
    </row>
    <row r="339" spans="1:17" s="65" customFormat="1" ht="11.25" x14ac:dyDescent="0.2">
      <c r="A339" s="266"/>
      <c r="B339" s="332"/>
      <c r="C339" s="276"/>
      <c r="D339" s="267"/>
      <c r="E339" s="276"/>
      <c r="F339" s="276"/>
      <c r="G339" s="276"/>
      <c r="H339" s="276"/>
      <c r="I339" s="276"/>
      <c r="J339" s="276"/>
      <c r="K339" s="261"/>
      <c r="L339" s="269"/>
      <c r="M339" s="135"/>
      <c r="N339" s="353"/>
      <c r="O339" s="353"/>
    </row>
    <row r="340" spans="1:17" s="65" customFormat="1" ht="11.25" hidden="1" x14ac:dyDescent="0.2">
      <c r="A340" s="266">
        <v>54.372999999999998</v>
      </c>
      <c r="B340" s="332">
        <v>63.243935</v>
      </c>
      <c r="C340" s="276">
        <v>445.80159000000009</v>
      </c>
      <c r="D340" s="267">
        <v>1870.5074999999999</v>
      </c>
      <c r="E340" s="276">
        <v>256.60877499999998</v>
      </c>
      <c r="F340" s="276">
        <v>491.29854699999993</v>
      </c>
      <c r="G340" s="276">
        <v>48.441000000000003</v>
      </c>
      <c r="H340" s="276">
        <v>429.85512999999997</v>
      </c>
      <c r="I340" s="276">
        <v>311.73826800000001</v>
      </c>
      <c r="J340" s="276">
        <v>990.75850000000003</v>
      </c>
      <c r="K340" s="261">
        <f>SUM(A340:J340)</f>
        <v>4962.6262449999995</v>
      </c>
      <c r="L340" s="269" t="s">
        <v>78</v>
      </c>
      <c r="M340" s="135">
        <v>2025</v>
      </c>
      <c r="N340" s="353"/>
      <c r="O340" s="353"/>
    </row>
    <row r="341" spans="1:17" s="65" customFormat="1" ht="11.25" hidden="1" x14ac:dyDescent="0.2">
      <c r="A341" s="266">
        <v>22.741</v>
      </c>
      <c r="B341" s="332">
        <v>100.408203</v>
      </c>
      <c r="C341" s="276">
        <v>500.21011199999992</v>
      </c>
      <c r="D341" s="267">
        <v>1485.9935</v>
      </c>
      <c r="E341" s="276">
        <v>241.05519000000001</v>
      </c>
      <c r="F341" s="276">
        <v>537.61007199999995</v>
      </c>
      <c r="G341" s="276">
        <v>55.871000000000002</v>
      </c>
      <c r="H341" s="276">
        <v>122.574631</v>
      </c>
      <c r="I341" s="276">
        <v>209.9975</v>
      </c>
      <c r="J341" s="276">
        <v>937.13750000000005</v>
      </c>
      <c r="K341" s="261">
        <f>SUM(A341:J341)</f>
        <v>4213.5987080000004</v>
      </c>
      <c r="L341" s="269" t="s">
        <v>79</v>
      </c>
      <c r="M341" s="135"/>
      <c r="N341" s="353"/>
      <c r="O341" s="353"/>
    </row>
    <row r="342" spans="1:17" s="65" customFormat="1" ht="11.25" hidden="1" x14ac:dyDescent="0.2">
      <c r="A342" s="266">
        <v>74.36</v>
      </c>
      <c r="B342" s="332">
        <v>67.544735000000003</v>
      </c>
      <c r="C342" s="276">
        <v>525.43192099999999</v>
      </c>
      <c r="D342" s="267">
        <v>1896.0355</v>
      </c>
      <c r="E342" s="276">
        <v>266.06407000000002</v>
      </c>
      <c r="F342" s="276">
        <v>474.63574800000004</v>
      </c>
      <c r="G342" s="276">
        <v>44.529000000000003</v>
      </c>
      <c r="H342" s="276">
        <v>386.34730200000001</v>
      </c>
      <c r="I342" s="276">
        <v>235.30211299999999</v>
      </c>
      <c r="J342" s="276">
        <v>1068.9128000000001</v>
      </c>
      <c r="K342" s="261">
        <f>SUM(A342:J342)</f>
        <v>5039.1631890000008</v>
      </c>
      <c r="L342" s="269" t="s">
        <v>80</v>
      </c>
      <c r="M342" s="135"/>
      <c r="N342" s="353"/>
      <c r="O342" s="353"/>
    </row>
    <row r="343" spans="1:17" s="65" customFormat="1" ht="11.25" x14ac:dyDescent="0.2">
      <c r="A343" s="266">
        <f t="shared" ref="A343:K343" si="20">SUM(A340:A342)</f>
        <v>151.47399999999999</v>
      </c>
      <c r="B343" s="332">
        <f t="shared" si="20"/>
        <v>231.19687300000001</v>
      </c>
      <c r="C343" s="276">
        <f t="shared" si="20"/>
        <v>1471.4436230000001</v>
      </c>
      <c r="D343" s="267">
        <f t="shared" si="20"/>
        <v>5252.5365000000002</v>
      </c>
      <c r="E343" s="276">
        <f t="shared" si="20"/>
        <v>763.72803499999998</v>
      </c>
      <c r="F343" s="276">
        <f t="shared" si="20"/>
        <v>1503.544367</v>
      </c>
      <c r="G343" s="276">
        <f t="shared" si="20"/>
        <v>148.84100000000001</v>
      </c>
      <c r="H343" s="276">
        <f t="shared" si="20"/>
        <v>938.777063</v>
      </c>
      <c r="I343" s="276">
        <f t="shared" si="20"/>
        <v>757.03788099999997</v>
      </c>
      <c r="J343" s="276">
        <f t="shared" si="20"/>
        <v>2996.8088000000002</v>
      </c>
      <c r="K343" s="261">
        <f t="shared" si="20"/>
        <v>14215.388142000002</v>
      </c>
      <c r="L343" s="269" t="s">
        <v>53</v>
      </c>
      <c r="M343" s="135">
        <v>2025</v>
      </c>
      <c r="N343" s="353"/>
      <c r="O343" s="353"/>
    </row>
    <row r="344" spans="1:17" s="65" customFormat="1" ht="11.25" hidden="1" x14ac:dyDescent="0.2">
      <c r="A344" s="266">
        <v>7.6079999999999997</v>
      </c>
      <c r="B344" s="332">
        <v>68.230064999999996</v>
      </c>
      <c r="C344" s="276">
        <v>598.79119600000013</v>
      </c>
      <c r="D344" s="267">
        <v>1655.9041999999999</v>
      </c>
      <c r="E344" s="276">
        <v>215.18798000000007</v>
      </c>
      <c r="F344" s="276">
        <v>463.03844400000003</v>
      </c>
      <c r="G344" s="276">
        <v>63.741</v>
      </c>
      <c r="H344" s="276">
        <v>425.79205300000001</v>
      </c>
      <c r="I344" s="276">
        <v>162.95178899999999</v>
      </c>
      <c r="J344" s="276">
        <v>990.34010000000001</v>
      </c>
      <c r="K344" s="261">
        <f>SUM(A344:J344)</f>
        <v>4651.5848270000006</v>
      </c>
      <c r="L344" s="269" t="s">
        <v>68</v>
      </c>
      <c r="M344" s="135"/>
      <c r="N344" s="353"/>
      <c r="O344" s="353"/>
    </row>
    <row r="345" spans="1:17" s="65" customFormat="1" ht="11.25" hidden="1" x14ac:dyDescent="0.2">
      <c r="A345" s="266">
        <v>27.428000000000001</v>
      </c>
      <c r="B345" s="332">
        <v>30.812462</v>
      </c>
      <c r="C345" s="276">
        <v>542.02142199999992</v>
      </c>
      <c r="D345" s="267">
        <v>1806.261</v>
      </c>
      <c r="E345" s="276">
        <v>276.18947100000003</v>
      </c>
      <c r="F345" s="276">
        <v>491.60654299999993</v>
      </c>
      <c r="G345" s="276">
        <v>80.478999999999999</v>
      </c>
      <c r="H345" s="276">
        <v>517.87286200000005</v>
      </c>
      <c r="I345" s="276">
        <v>163.164422</v>
      </c>
      <c r="J345" s="276">
        <v>1057.1068</v>
      </c>
      <c r="K345" s="261">
        <f>SUM(A345:J345)</f>
        <v>4992.9419820000003</v>
      </c>
      <c r="L345" s="269" t="s">
        <v>82</v>
      </c>
      <c r="M345" s="135"/>
      <c r="N345" s="353"/>
      <c r="O345" s="353"/>
    </row>
    <row r="346" spans="1:17" s="65" customFormat="1" ht="11.25" hidden="1" x14ac:dyDescent="0.2">
      <c r="A346" s="266">
        <v>53.941000000000003</v>
      </c>
      <c r="B346" s="332">
        <v>65.979910000000004</v>
      </c>
      <c r="C346" s="276">
        <v>501.41474400000004</v>
      </c>
      <c r="D346" s="267">
        <v>1755.2605999999998</v>
      </c>
      <c r="E346" s="276">
        <v>256.60199999999998</v>
      </c>
      <c r="F346" s="276">
        <v>397.801964</v>
      </c>
      <c r="G346" s="276">
        <v>55.109000000000002</v>
      </c>
      <c r="H346" s="276">
        <v>318.62886700000001</v>
      </c>
      <c r="I346" s="276">
        <v>168.45872</v>
      </c>
      <c r="J346" s="276">
        <v>796.28139999999996</v>
      </c>
      <c r="K346" s="261">
        <f>SUM(A346:J346)</f>
        <v>4369.4782050000003</v>
      </c>
      <c r="L346" s="269" t="s">
        <v>83</v>
      </c>
      <c r="M346" s="135"/>
      <c r="N346" s="353"/>
      <c r="O346" s="353"/>
    </row>
    <row r="347" spans="1:17" s="65" customFormat="1" ht="11.25" x14ac:dyDescent="0.2">
      <c r="A347" s="266">
        <f t="shared" ref="A347:J347" si="21">SUM(A344:A346)</f>
        <v>88.977000000000004</v>
      </c>
      <c r="B347" s="332">
        <f t="shared" si="21"/>
        <v>165.022437</v>
      </c>
      <c r="C347" s="276">
        <f t="shared" si="21"/>
        <v>1642.2273620000001</v>
      </c>
      <c r="D347" s="267">
        <f t="shared" si="21"/>
        <v>5217.4258</v>
      </c>
      <c r="E347" s="276">
        <f t="shared" si="21"/>
        <v>747.97945100000004</v>
      </c>
      <c r="F347" s="276">
        <f t="shared" si="21"/>
        <v>1352.4469509999999</v>
      </c>
      <c r="G347" s="276">
        <f t="shared" si="21"/>
        <v>199.32900000000001</v>
      </c>
      <c r="H347" s="276">
        <f t="shared" si="21"/>
        <v>1262.2937820000002</v>
      </c>
      <c r="I347" s="276">
        <f t="shared" si="21"/>
        <v>494.57493099999999</v>
      </c>
      <c r="J347" s="276">
        <f t="shared" si="21"/>
        <v>2843.7282999999998</v>
      </c>
      <c r="K347" s="261">
        <f>SUM(K344:K346)</f>
        <v>14014.005014000002</v>
      </c>
      <c r="L347" s="269" t="s">
        <v>54</v>
      </c>
      <c r="M347" s="135"/>
      <c r="N347" s="353"/>
      <c r="O347" s="353"/>
    </row>
    <row r="348" spans="1:17" s="65" customFormat="1" ht="11.25" x14ac:dyDescent="0.2">
      <c r="A348" s="266">
        <v>51.555</v>
      </c>
      <c r="B348" s="332">
        <v>67.308008999999998</v>
      </c>
      <c r="C348" s="276">
        <v>914.63827099999992</v>
      </c>
      <c r="D348" s="267">
        <v>1764.8877</v>
      </c>
      <c r="E348" s="276">
        <v>299.16699999999997</v>
      </c>
      <c r="F348" s="276">
        <v>439.67745000000002</v>
      </c>
      <c r="G348" s="276">
        <v>20.404</v>
      </c>
      <c r="H348" s="276">
        <v>154.39126999999999</v>
      </c>
      <c r="I348" s="276">
        <v>196.14657600000001</v>
      </c>
      <c r="J348" s="276">
        <v>914.76330000000007</v>
      </c>
      <c r="K348" s="261">
        <f>SUM(A348:J348)</f>
        <v>4822.9385760000005</v>
      </c>
      <c r="L348" s="269" t="s">
        <v>85</v>
      </c>
      <c r="M348" s="135"/>
      <c r="N348" s="353"/>
      <c r="O348" s="353"/>
    </row>
    <row r="349" spans="1:17" s="65" customFormat="1" ht="11.25" x14ac:dyDescent="0.2">
      <c r="A349" s="266">
        <v>28.213000000000001</v>
      </c>
      <c r="B349" s="332">
        <v>95.748324999999994</v>
      </c>
      <c r="C349" s="276">
        <v>604.28600900000004</v>
      </c>
      <c r="D349" s="267">
        <v>1714.34</v>
      </c>
      <c r="E349" s="276">
        <v>368.14319</v>
      </c>
      <c r="F349" s="276">
        <v>518.39527599999985</v>
      </c>
      <c r="G349" s="276">
        <v>18.661999999999999</v>
      </c>
      <c r="H349" s="276">
        <v>34.540609000000003</v>
      </c>
      <c r="I349" s="276">
        <v>176.90830800000001</v>
      </c>
      <c r="J349" s="276">
        <v>735.51350000000002</v>
      </c>
      <c r="K349" s="261">
        <f>SUM(A349:J349)</f>
        <v>4294.7502169999989</v>
      </c>
      <c r="L349" s="269" t="s">
        <v>86</v>
      </c>
      <c r="M349" s="135"/>
      <c r="N349" s="353"/>
      <c r="O349" s="353"/>
    </row>
    <row r="350" spans="1:17" s="65" customFormat="1" ht="11.25" x14ac:dyDescent="0.2">
      <c r="A350" s="202"/>
      <c r="B350" s="335"/>
      <c r="C350" s="196"/>
      <c r="D350" s="204"/>
      <c r="E350" s="196"/>
      <c r="F350" s="196"/>
      <c r="G350" s="196"/>
      <c r="H350" s="196"/>
      <c r="I350" s="196"/>
      <c r="J350" s="232"/>
      <c r="K350" s="253"/>
      <c r="L350" s="194"/>
      <c r="M350" s="110"/>
      <c r="P350" s="353"/>
      <c r="Q350" s="353"/>
    </row>
    <row r="351" spans="1:17" x14ac:dyDescent="0.2">
      <c r="A351" s="144"/>
      <c r="B351" s="144"/>
      <c r="E351" s="276"/>
      <c r="J351" s="144"/>
      <c r="K351" s="144"/>
      <c r="M351" s="258" t="s">
        <v>177</v>
      </c>
      <c r="P351" s="353"/>
      <c r="Q351" s="353"/>
    </row>
    <row r="352" spans="1:17" ht="13.15" customHeight="1" x14ac:dyDescent="0.25">
      <c r="B352" s="276"/>
      <c r="C352" s="216"/>
      <c r="D352" s="390"/>
      <c r="E352" s="276"/>
      <c r="F352" s="354"/>
      <c r="G352" s="173"/>
      <c r="H352" s="173"/>
      <c r="I352" s="173"/>
      <c r="J352" s="144"/>
      <c r="K352" s="144"/>
      <c r="M352" s="274" t="s">
        <v>192</v>
      </c>
      <c r="P352" s="353"/>
      <c r="Q352" s="353"/>
    </row>
    <row r="353" spans="1:17" x14ac:dyDescent="0.2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56"/>
      <c r="P353" s="353"/>
      <c r="Q353" s="353"/>
    </row>
    <row r="354" spans="1:17" x14ac:dyDescent="0.2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P354" s="377"/>
      <c r="Q354" s="353"/>
    </row>
    <row r="355" spans="1:17" x14ac:dyDescent="0.2">
      <c r="C355" s="144"/>
      <c r="D355" s="144"/>
      <c r="F355" s="144"/>
      <c r="I355" s="144"/>
      <c r="J355" s="144"/>
      <c r="K355" s="144"/>
      <c r="P355" s="378"/>
    </row>
    <row r="356" spans="1:17" x14ac:dyDescent="0.2">
      <c r="D356" s="144"/>
      <c r="I356" s="144"/>
      <c r="J356" s="144"/>
      <c r="K356" s="144"/>
    </row>
    <row r="357" spans="1:17" x14ac:dyDescent="0.2">
      <c r="I357" s="144"/>
      <c r="J357" s="144"/>
      <c r="K357" s="144"/>
    </row>
    <row r="358" spans="1:17" x14ac:dyDescent="0.2">
      <c r="I358" s="144"/>
      <c r="J358" s="144"/>
      <c r="K358" s="144"/>
    </row>
  </sheetData>
  <printOptions horizontalCentered="1" gridLinesSet="0"/>
  <pageMargins left="0.6692913385826772" right="0.47244094488188981" top="0.17" bottom="0.11811023622047245" header="0.15748031496062992" footer="0.15748031496062992"/>
  <pageSetup paperSize="9" orientation="landscape" r:id="rId1"/>
  <headerFooter alignWithMargins="0"/>
  <ignoredErrors>
    <ignoredError sqref="L280 L281:L282 L272:L274 L276:L278 L204:L206 L289:L290 L291:M292 L293:L295 L297:L299 L301:L303 L306:L308 L310:L312 L314:L316 L318:L320 L323:L325 L327:L333 L335:L337 L340:L342 L344:L346 L348:L349" numberStoredAsText="1"/>
    <ignoredError sqref="K292 K296 K300 K309 K313 K317 K326 K330 K334 K343 K34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23" transitionEvaluation="1"/>
  <dimension ref="A1:O358"/>
  <sheetViews>
    <sheetView showGridLines="0" zoomScale="115" zoomScaleNormal="115" zoomScaleSheetLayoutView="100" workbookViewId="0">
      <pane ySplit="8" topLeftCell="A23" activePane="bottomLeft" state="frozen"/>
      <selection activeCell="J42" sqref="J42"/>
      <selection pane="bottomLeft" activeCell="E34" sqref="E34"/>
    </sheetView>
  </sheetViews>
  <sheetFormatPr defaultColWidth="9.140625" defaultRowHeight="15" x14ac:dyDescent="0.2"/>
  <cols>
    <col min="1" max="2" width="9.140625" style="191"/>
    <col min="3" max="3" width="9" style="45" customWidth="1"/>
    <col min="4" max="4" width="10.28515625" style="45" customWidth="1"/>
    <col min="5" max="5" width="9.140625" style="45"/>
    <col min="6" max="6" width="8.5703125" style="45" customWidth="1"/>
    <col min="7" max="9" width="9.140625" style="45"/>
    <col min="10" max="10" width="9.85546875" style="45" customWidth="1"/>
    <col min="11" max="11" width="13.42578125" style="191" bestFit="1" customWidth="1"/>
    <col min="12" max="12" width="7.7109375" style="45" customWidth="1"/>
    <col min="13" max="13" width="7.42578125" style="45" customWidth="1"/>
    <col min="14" max="16384" width="9.140625" style="45"/>
  </cols>
  <sheetData>
    <row r="1" spans="1:13" ht="15" customHeight="1" x14ac:dyDescent="0.25">
      <c r="A1" s="41" t="s">
        <v>57</v>
      </c>
      <c r="B1" s="41"/>
      <c r="M1" s="209" t="s">
        <v>171</v>
      </c>
    </row>
    <row r="2" spans="1:13" ht="13.5" customHeight="1" x14ac:dyDescent="0.25">
      <c r="A2" s="41" t="s">
        <v>58</v>
      </c>
      <c r="B2" s="41"/>
      <c r="M2" s="209" t="s">
        <v>172</v>
      </c>
    </row>
    <row r="3" spans="1:13" s="47" customFormat="1" ht="18" customHeight="1" x14ac:dyDescent="0.2">
      <c r="A3" s="78" t="s">
        <v>179</v>
      </c>
      <c r="B3" s="78"/>
      <c r="K3" s="199"/>
      <c r="M3" s="210" t="s">
        <v>175</v>
      </c>
    </row>
    <row r="4" spans="1:13" s="48" customFormat="1" ht="15" customHeight="1" x14ac:dyDescent="0.2">
      <c r="A4" s="95" t="s">
        <v>37</v>
      </c>
      <c r="B4" s="95"/>
      <c r="K4" s="200"/>
      <c r="M4" s="97" t="s">
        <v>173</v>
      </c>
    </row>
    <row r="5" spans="1:13" s="49" customFormat="1" ht="15" customHeight="1" x14ac:dyDescent="0.2">
      <c r="A5" s="234" t="s">
        <v>4</v>
      </c>
      <c r="B5" s="260"/>
      <c r="C5" s="236"/>
      <c r="D5" s="235" t="s">
        <v>164</v>
      </c>
      <c r="E5" s="236"/>
      <c r="F5" s="236"/>
      <c r="G5" s="236"/>
      <c r="H5" s="236"/>
      <c r="I5" s="236"/>
      <c r="J5" s="241" t="s">
        <v>159</v>
      </c>
      <c r="K5" s="260" t="s">
        <v>186</v>
      </c>
      <c r="L5" s="260"/>
      <c r="M5" s="257"/>
    </row>
    <row r="6" spans="1:13" s="49" customFormat="1" ht="12" x14ac:dyDescent="0.2">
      <c r="A6" s="248" t="s">
        <v>184</v>
      </c>
      <c r="B6" s="250" t="s">
        <v>183</v>
      </c>
      <c r="D6" s="249"/>
      <c r="E6" s="250" t="s">
        <v>182</v>
      </c>
      <c r="F6" s="250"/>
      <c r="G6" s="250"/>
      <c r="H6" s="250"/>
      <c r="I6" s="250"/>
      <c r="J6" s="251"/>
      <c r="K6" s="277" t="s">
        <v>185</v>
      </c>
      <c r="L6" s="192"/>
      <c r="M6" s="53"/>
    </row>
    <row r="7" spans="1:13" s="61" customFormat="1" ht="12" customHeight="1" x14ac:dyDescent="0.2">
      <c r="A7" s="218" t="s">
        <v>169</v>
      </c>
      <c r="B7" s="223" t="s">
        <v>217</v>
      </c>
      <c r="C7" s="336" t="s">
        <v>165</v>
      </c>
      <c r="D7" s="218" t="s">
        <v>170</v>
      </c>
      <c r="E7" s="220" t="s">
        <v>220</v>
      </c>
      <c r="F7" s="221" t="s">
        <v>162</v>
      </c>
      <c r="G7" s="222" t="s">
        <v>161</v>
      </c>
      <c r="H7" s="223" t="s">
        <v>215</v>
      </c>
      <c r="I7" s="222" t="s">
        <v>160</v>
      </c>
      <c r="J7" s="224" t="s">
        <v>163</v>
      </c>
      <c r="K7" s="218"/>
      <c r="L7" s="255" t="s">
        <v>123</v>
      </c>
      <c r="M7" s="256" t="s">
        <v>5</v>
      </c>
    </row>
    <row r="8" spans="1:13" s="61" customFormat="1" ht="12" customHeight="1" x14ac:dyDescent="0.2">
      <c r="A8" s="226" t="s">
        <v>50</v>
      </c>
      <c r="B8" s="228" t="s">
        <v>218</v>
      </c>
      <c r="C8" s="226" t="s">
        <v>189</v>
      </c>
      <c r="D8" s="226" t="s">
        <v>48</v>
      </c>
      <c r="E8" s="227" t="s">
        <v>96</v>
      </c>
      <c r="F8" s="226" t="s">
        <v>166</v>
      </c>
      <c r="G8" s="227" t="s">
        <v>168</v>
      </c>
      <c r="H8" s="228" t="s">
        <v>216</v>
      </c>
      <c r="I8" s="227" t="s">
        <v>167</v>
      </c>
      <c r="J8" s="229" t="s">
        <v>49</v>
      </c>
      <c r="K8" s="226"/>
      <c r="L8" s="230" t="s">
        <v>71</v>
      </c>
      <c r="M8" s="227" t="s">
        <v>70</v>
      </c>
    </row>
    <row r="9" spans="1:13" s="65" customFormat="1" ht="11.25" hidden="1" x14ac:dyDescent="0.2">
      <c r="A9" s="211">
        <v>254</v>
      </c>
      <c r="B9" s="80"/>
      <c r="C9" s="88"/>
      <c r="D9" s="83">
        <v>10499</v>
      </c>
      <c r="E9" s="91"/>
      <c r="F9" s="195"/>
      <c r="G9" s="195"/>
      <c r="H9" s="195"/>
      <c r="I9" s="195"/>
      <c r="J9" s="83">
        <v>11472</v>
      </c>
      <c r="K9" s="252">
        <f t="shared" ref="K9:K16" si="0">J9+D9+A9</f>
        <v>22225</v>
      </c>
      <c r="L9" s="88"/>
      <c r="M9" s="87">
        <v>2000</v>
      </c>
    </row>
    <row r="10" spans="1:13" s="65" customFormat="1" ht="11.25" hidden="1" x14ac:dyDescent="0.2">
      <c r="A10" s="211">
        <v>258</v>
      </c>
      <c r="B10" s="80"/>
      <c r="C10" s="88"/>
      <c r="D10" s="83">
        <v>8389</v>
      </c>
      <c r="E10" s="91"/>
      <c r="F10" s="195"/>
      <c r="G10" s="195"/>
      <c r="H10" s="195"/>
      <c r="I10" s="195"/>
      <c r="J10" s="83">
        <v>10072</v>
      </c>
      <c r="K10" s="252">
        <f t="shared" si="0"/>
        <v>18719</v>
      </c>
      <c r="L10" s="88"/>
      <c r="M10" s="87">
        <v>2001</v>
      </c>
    </row>
    <row r="11" spans="1:13" s="65" customFormat="1" ht="11.25" hidden="1" x14ac:dyDescent="0.2">
      <c r="A11" s="211">
        <v>200</v>
      </c>
      <c r="B11" s="80"/>
      <c r="C11" s="88"/>
      <c r="D11" s="83">
        <v>9250</v>
      </c>
      <c r="E11" s="91"/>
      <c r="F11" s="195"/>
      <c r="G11" s="195"/>
      <c r="H11" s="195"/>
      <c r="I11" s="195"/>
      <c r="J11" s="83">
        <v>10094</v>
      </c>
      <c r="K11" s="252">
        <f t="shared" si="0"/>
        <v>19544</v>
      </c>
      <c r="L11" s="88"/>
      <c r="M11" s="87">
        <v>2002</v>
      </c>
    </row>
    <row r="12" spans="1:13" s="65" customFormat="1" ht="11.25" hidden="1" x14ac:dyDescent="0.2">
      <c r="A12" s="211">
        <v>234.9648</v>
      </c>
      <c r="B12" s="80"/>
      <c r="C12" s="88"/>
      <c r="D12" s="83">
        <v>8885.3984</v>
      </c>
      <c r="E12" s="91"/>
      <c r="F12" s="195"/>
      <c r="G12" s="195"/>
      <c r="H12" s="195"/>
      <c r="I12" s="195"/>
      <c r="J12" s="83">
        <v>10775.3647</v>
      </c>
      <c r="K12" s="252">
        <f t="shared" si="0"/>
        <v>19895.727900000002</v>
      </c>
      <c r="L12" s="88"/>
      <c r="M12" s="87">
        <v>2003</v>
      </c>
    </row>
    <row r="13" spans="1:13" s="65" customFormat="1" ht="11.25" hidden="1" x14ac:dyDescent="0.2">
      <c r="A13" s="211">
        <v>326.01600000000002</v>
      </c>
      <c r="B13" s="80"/>
      <c r="C13" s="88"/>
      <c r="D13" s="83">
        <v>8727.6760999999969</v>
      </c>
      <c r="E13" s="91"/>
      <c r="F13" s="195"/>
      <c r="G13" s="195"/>
      <c r="H13" s="195"/>
      <c r="I13" s="195"/>
      <c r="J13" s="83">
        <v>12337.940500000002</v>
      </c>
      <c r="K13" s="252">
        <f t="shared" si="0"/>
        <v>21391.632600000001</v>
      </c>
      <c r="L13" s="88"/>
      <c r="M13" s="87">
        <v>2004</v>
      </c>
    </row>
    <row r="14" spans="1:13" s="65" customFormat="1" ht="11.25" hidden="1" x14ac:dyDescent="0.2">
      <c r="A14" s="211">
        <f>SUM(A36:A39)</f>
        <v>291.32100000000003</v>
      </c>
      <c r="B14" s="80"/>
      <c r="C14" s="88"/>
      <c r="D14" s="83">
        <f>SUM(D36:D39)</f>
        <v>8874.9719999999998</v>
      </c>
      <c r="E14" s="91"/>
      <c r="F14" s="195"/>
      <c r="G14" s="195"/>
      <c r="H14" s="195"/>
      <c r="I14" s="195"/>
      <c r="J14" s="83">
        <f>SUM(J36:J39)</f>
        <v>11911.1775</v>
      </c>
      <c r="K14" s="252">
        <f t="shared" si="0"/>
        <v>21077.470499999999</v>
      </c>
      <c r="L14" s="88"/>
      <c r="M14" s="87">
        <v>2005</v>
      </c>
    </row>
    <row r="15" spans="1:13" s="65" customFormat="1" ht="11.25" hidden="1" x14ac:dyDescent="0.2">
      <c r="A15" s="211">
        <v>269</v>
      </c>
      <c r="B15" s="80"/>
      <c r="C15" s="88"/>
      <c r="D15" s="83">
        <v>9626</v>
      </c>
      <c r="E15" s="91"/>
      <c r="F15" s="195"/>
      <c r="G15" s="195"/>
      <c r="H15" s="195"/>
      <c r="I15" s="195"/>
      <c r="J15" s="83">
        <v>10508</v>
      </c>
      <c r="K15" s="252">
        <f t="shared" si="0"/>
        <v>20403</v>
      </c>
      <c r="L15" s="88"/>
      <c r="M15" s="87">
        <v>2006</v>
      </c>
    </row>
    <row r="16" spans="1:13" s="65" customFormat="1" ht="11.25" hidden="1" x14ac:dyDescent="0.2">
      <c r="A16" s="211">
        <f>SUM(A46:A49)</f>
        <v>224.99</v>
      </c>
      <c r="B16" s="80"/>
      <c r="C16" s="88"/>
      <c r="D16" s="83">
        <f>SUM(D46:D49)</f>
        <v>10105.496999999999</v>
      </c>
      <c r="E16" s="91"/>
      <c r="F16" s="195"/>
      <c r="G16" s="195"/>
      <c r="H16" s="195"/>
      <c r="I16" s="195"/>
      <c r="J16" s="83">
        <f>SUM(J46:J49)</f>
        <v>12145.548999999999</v>
      </c>
      <c r="K16" s="252">
        <f t="shared" si="0"/>
        <v>22476.036</v>
      </c>
      <c r="L16" s="88"/>
      <c r="M16" s="87">
        <v>2007</v>
      </c>
    </row>
    <row r="17" spans="1:13" s="65" customFormat="1" ht="11.25" hidden="1" x14ac:dyDescent="0.2">
      <c r="A17" s="211">
        <f>A54+A58+A62+A66</f>
        <v>220.33500000000004</v>
      </c>
      <c r="B17" s="80"/>
      <c r="C17" s="88"/>
      <c r="D17" s="83">
        <f>D54+D58+D62+D66</f>
        <v>10047.229000000001</v>
      </c>
      <c r="E17" s="91">
        <v>232.33588</v>
      </c>
      <c r="F17" s="195"/>
      <c r="G17" s="195"/>
      <c r="H17" s="195"/>
      <c r="I17" s="195"/>
      <c r="J17" s="83">
        <f>J54+J58+J62+J66</f>
        <v>12589.633000000002</v>
      </c>
      <c r="K17" s="252">
        <f t="shared" ref="K17:K29" si="1">J17+E17+D17+A17</f>
        <v>23089.532880000002</v>
      </c>
      <c r="L17" s="88"/>
      <c r="M17" s="87">
        <v>2008</v>
      </c>
    </row>
    <row r="18" spans="1:13" s="65" customFormat="1" ht="11.25" hidden="1" x14ac:dyDescent="0.2">
      <c r="A18" s="211">
        <f>A71+A75+A79+A83</f>
        <v>173.58199999999999</v>
      </c>
      <c r="B18" s="80"/>
      <c r="C18" s="88"/>
      <c r="D18" s="83">
        <f>D71+D75+D79+D83</f>
        <v>9997.2530000000006</v>
      </c>
      <c r="E18" s="91">
        <f>E71+E75+E79+E83</f>
        <v>436.40070000000003</v>
      </c>
      <c r="F18" s="195"/>
      <c r="G18" s="195"/>
      <c r="H18" s="195"/>
      <c r="I18" s="195"/>
      <c r="J18" s="83">
        <f>J71+J75+J79+J83</f>
        <v>10937.204</v>
      </c>
      <c r="K18" s="252">
        <f t="shared" si="1"/>
        <v>21544.439699999999</v>
      </c>
      <c r="L18" s="88"/>
      <c r="M18" s="87">
        <v>2009</v>
      </c>
    </row>
    <row r="19" spans="1:13" s="65" customFormat="1" ht="11.25" hidden="1" x14ac:dyDescent="0.2">
      <c r="A19" s="80">
        <f>A88+A92+A96+A100</f>
        <v>66.271000000000001</v>
      </c>
      <c r="B19" s="80"/>
      <c r="C19" s="86"/>
      <c r="D19" s="83">
        <f>D88+D92+D96+D100</f>
        <v>11227.143</v>
      </c>
      <c r="E19" s="91">
        <f>E88+E92+E96+E100</f>
        <v>709.82098999999994</v>
      </c>
      <c r="F19" s="195"/>
      <c r="G19" s="195"/>
      <c r="H19" s="195"/>
      <c r="I19" s="195"/>
      <c r="J19" s="83">
        <f>J88+J92+J96+J100</f>
        <v>12140.031499999999</v>
      </c>
      <c r="K19" s="252">
        <f t="shared" si="1"/>
        <v>24143.266490000002</v>
      </c>
      <c r="L19" s="88"/>
      <c r="M19" s="87">
        <v>2010</v>
      </c>
    </row>
    <row r="20" spans="1:13" s="65" customFormat="1" ht="11.25" hidden="1" x14ac:dyDescent="0.2">
      <c r="A20" s="80">
        <f>A105+A109+A113+A117</f>
        <v>161.12490000000003</v>
      </c>
      <c r="B20" s="80"/>
      <c r="C20" s="86"/>
      <c r="D20" s="83">
        <f>D105+D109+D113+D117</f>
        <v>11990.760699999999</v>
      </c>
      <c r="E20" s="91">
        <f>E105+E109+E113+E117</f>
        <v>1000.7894</v>
      </c>
      <c r="F20" s="195"/>
      <c r="G20" s="195"/>
      <c r="H20" s="195"/>
      <c r="I20" s="195"/>
      <c r="J20" s="83">
        <f>J105+J109+J113+J117</f>
        <v>12330.988800000001</v>
      </c>
      <c r="K20" s="252">
        <f t="shared" si="1"/>
        <v>25483.663799999998</v>
      </c>
      <c r="L20" s="88"/>
      <c r="M20" s="87">
        <v>2011</v>
      </c>
    </row>
    <row r="21" spans="1:13" s="65" customFormat="1" ht="11.25" hidden="1" x14ac:dyDescent="0.2">
      <c r="A21" s="80">
        <f>A122+A126+A130+A134</f>
        <v>105.57</v>
      </c>
      <c r="B21" s="80"/>
      <c r="C21" s="86"/>
      <c r="D21" s="83">
        <f>D122+D126+D130+D134</f>
        <v>12382.740299999999</v>
      </c>
      <c r="E21" s="91">
        <f>E122+E126+E130+E134</f>
        <v>1270.1099999999999</v>
      </c>
      <c r="F21" s="195"/>
      <c r="G21" s="195"/>
      <c r="H21" s="195"/>
      <c r="I21" s="195"/>
      <c r="J21" s="83">
        <f>J122+J126+J130+J134</f>
        <v>13278.6803</v>
      </c>
      <c r="K21" s="252">
        <f t="shared" si="1"/>
        <v>27037.100599999998</v>
      </c>
      <c r="L21" s="88"/>
      <c r="M21" s="87">
        <v>2012</v>
      </c>
    </row>
    <row r="22" spans="1:13" s="65" customFormat="1" ht="11.25" hidden="1" x14ac:dyDescent="0.2">
      <c r="A22" s="80">
        <f>A139+A143+A147+A151</f>
        <v>160.61696000000001</v>
      </c>
      <c r="B22" s="80"/>
      <c r="C22" s="86"/>
      <c r="D22" s="83">
        <f>D139+D143+D147+D151</f>
        <v>12384.552599999999</v>
      </c>
      <c r="E22" s="91">
        <f>E139+E143+E147+E151</f>
        <v>1655.0990000000002</v>
      </c>
      <c r="F22" s="195"/>
      <c r="G22" s="195"/>
      <c r="H22" s="195"/>
      <c r="I22" s="195"/>
      <c r="J22" s="83">
        <f>J139+J143+J147+J151</f>
        <v>14086.852500000001</v>
      </c>
      <c r="K22" s="252">
        <f t="shared" si="1"/>
        <v>28287.121059999998</v>
      </c>
      <c r="L22" s="88"/>
      <c r="M22" s="87">
        <v>2013</v>
      </c>
    </row>
    <row r="23" spans="1:13" s="65" customFormat="1" ht="11.25" x14ac:dyDescent="0.2">
      <c r="A23" s="159">
        <f>A156+A160+A164+A168</f>
        <v>184.1447037692308</v>
      </c>
      <c r="B23" s="159"/>
      <c r="C23" s="86"/>
      <c r="D23" s="160">
        <f>D156+D160+D164+D168</f>
        <v>13290.384064000002</v>
      </c>
      <c r="E23" s="150">
        <f>E156+E160+E164+E168</f>
        <v>1913.903</v>
      </c>
      <c r="F23" s="195"/>
      <c r="G23" s="195"/>
      <c r="H23" s="195"/>
      <c r="I23" s="195"/>
      <c r="J23" s="160">
        <f>J156+J160+J164+J168</f>
        <v>16623.138701</v>
      </c>
      <c r="K23" s="252">
        <f t="shared" si="1"/>
        <v>32011.570468769231</v>
      </c>
      <c r="L23" s="88"/>
      <c r="M23" s="87">
        <v>2014</v>
      </c>
    </row>
    <row r="24" spans="1:13" s="65" customFormat="1" ht="11.25" x14ac:dyDescent="0.2">
      <c r="A24" s="159">
        <f>A173+A177+A181+A185</f>
        <v>211.91207183628802</v>
      </c>
      <c r="B24" s="159"/>
      <c r="C24" s="86"/>
      <c r="D24" s="160">
        <f>D173+D177+D181+D185</f>
        <v>14324.833413</v>
      </c>
      <c r="E24" s="150">
        <f>E173+E177+E181+E185</f>
        <v>2130.1030000000001</v>
      </c>
      <c r="F24" s="195"/>
      <c r="G24" s="195"/>
      <c r="H24" s="195"/>
      <c r="I24" s="195"/>
      <c r="J24" s="160">
        <f>J173+J177+J181+J185</f>
        <v>16932.103951000001</v>
      </c>
      <c r="K24" s="252">
        <f t="shared" si="1"/>
        <v>33598.952435836291</v>
      </c>
      <c r="L24" s="88"/>
      <c r="M24" s="87">
        <v>2015</v>
      </c>
    </row>
    <row r="25" spans="1:13" s="65" customFormat="1" ht="11.25" x14ac:dyDescent="0.2">
      <c r="A25" s="159">
        <f>A190+A194+A198+A202</f>
        <v>218.29300000000001</v>
      </c>
      <c r="B25" s="159"/>
      <c r="C25" s="86"/>
      <c r="D25" s="160">
        <f>D190+D194+D198+D202</f>
        <v>15392.293351999999</v>
      </c>
      <c r="E25" s="150">
        <f>E190+E194+E198+E202</f>
        <v>2823.1850000000004</v>
      </c>
      <c r="F25" s="195"/>
      <c r="G25" s="195"/>
      <c r="H25" s="195"/>
      <c r="I25" s="195"/>
      <c r="J25" s="160">
        <f>J190+J194+J198+J202</f>
        <v>17876.584305000004</v>
      </c>
      <c r="K25" s="252">
        <f t="shared" si="1"/>
        <v>36310.355657</v>
      </c>
      <c r="L25" s="88"/>
      <c r="M25" s="87">
        <v>2016</v>
      </c>
    </row>
    <row r="26" spans="1:13" s="65" customFormat="1" ht="11.25" x14ac:dyDescent="0.2">
      <c r="A26" s="159">
        <f>A207+A211+A215+A219</f>
        <v>153.34512000000001</v>
      </c>
      <c r="B26" s="159"/>
      <c r="C26" s="86"/>
      <c r="D26" s="160">
        <f>D207+D211+D215+D219</f>
        <v>15209.327300000001</v>
      </c>
      <c r="E26" s="150">
        <f>E207+E211+E215+E219</f>
        <v>2928.1174403333325</v>
      </c>
      <c r="F26" s="195"/>
      <c r="G26" s="195"/>
      <c r="H26" s="195"/>
      <c r="I26" s="195"/>
      <c r="J26" s="160">
        <f>J207+J211+J215+J219</f>
        <v>19139.521570000001</v>
      </c>
      <c r="K26" s="252">
        <f t="shared" si="1"/>
        <v>37430.311430333328</v>
      </c>
      <c r="L26" s="88"/>
      <c r="M26" s="87">
        <v>2017</v>
      </c>
    </row>
    <row r="27" spans="1:13" s="65" customFormat="1" ht="11.25" x14ac:dyDescent="0.2">
      <c r="A27" s="159">
        <f>A224+A228+A232+A236</f>
        <v>175.79899999999998</v>
      </c>
      <c r="B27" s="159"/>
      <c r="C27" s="86"/>
      <c r="D27" s="160">
        <f>D224+D228+D232+D236</f>
        <v>15772.469906999999</v>
      </c>
      <c r="E27" s="150">
        <f>E224+E228+E232+E236</f>
        <v>3416.6850000000004</v>
      </c>
      <c r="F27" s="195"/>
      <c r="G27" s="195"/>
      <c r="H27" s="195"/>
      <c r="I27" s="195"/>
      <c r="J27" s="160">
        <f>J224+J228+J232+J236</f>
        <v>19116.754038999999</v>
      </c>
      <c r="K27" s="252">
        <f t="shared" si="1"/>
        <v>38481.707945999995</v>
      </c>
      <c r="L27" s="88"/>
      <c r="M27" s="87">
        <v>2018</v>
      </c>
    </row>
    <row r="28" spans="1:13" s="65" customFormat="1" ht="11.25" x14ac:dyDescent="0.2">
      <c r="A28" s="159">
        <f>A241+A245+A249+A253</f>
        <v>193.74699999999999</v>
      </c>
      <c r="B28" s="159"/>
      <c r="C28" s="86"/>
      <c r="D28" s="160">
        <f>D241+D245+D249+D253</f>
        <v>15838.641922000001</v>
      </c>
      <c r="E28" s="150">
        <f>E241+E245+E249+E253</f>
        <v>3074.337023</v>
      </c>
      <c r="F28" s="195"/>
      <c r="G28" s="195"/>
      <c r="H28" s="195"/>
      <c r="I28" s="195"/>
      <c r="J28" s="160">
        <f>J241+J245+J249+J253</f>
        <v>18976.427459999999</v>
      </c>
      <c r="K28" s="252">
        <f t="shared" si="1"/>
        <v>38083.153405000005</v>
      </c>
      <c r="L28" s="88"/>
      <c r="M28" s="87">
        <v>2019</v>
      </c>
    </row>
    <row r="29" spans="1:13" s="65" customFormat="1" ht="11.25" x14ac:dyDescent="0.2">
      <c r="A29" s="159">
        <f>A258+A262+A266+A270</f>
        <v>149.16800000000001</v>
      </c>
      <c r="B29" s="159"/>
      <c r="C29" s="146"/>
      <c r="D29" s="160">
        <f>D258+D262+D266+D270</f>
        <v>16065.036319000001</v>
      </c>
      <c r="E29" s="150">
        <f>E258+E262+E266+E270</f>
        <v>4456.55249</v>
      </c>
      <c r="F29" s="217"/>
      <c r="G29" s="217"/>
      <c r="H29" s="217"/>
      <c r="I29" s="217"/>
      <c r="J29" s="160">
        <f>J258+J262+J266+J270</f>
        <v>17658.560979000002</v>
      </c>
      <c r="K29" s="278">
        <f t="shared" si="1"/>
        <v>38329.317788</v>
      </c>
      <c r="L29" s="154"/>
      <c r="M29" s="151">
        <v>2020</v>
      </c>
    </row>
    <row r="30" spans="1:13" s="65" customFormat="1" ht="11.25" x14ac:dyDescent="0.2">
      <c r="A30" s="159">
        <f t="shared" ref="A30:J30" si="2">A275+A279+A283+A287</f>
        <v>210.65889999999999</v>
      </c>
      <c r="B30" s="159">
        <f>B275+B279+B283+B287</f>
        <v>87.328205999999994</v>
      </c>
      <c r="C30" s="146">
        <f t="shared" si="2"/>
        <v>0</v>
      </c>
      <c r="D30" s="160">
        <f t="shared" si="2"/>
        <v>16220.350200000001</v>
      </c>
      <c r="E30" s="150">
        <f>E275+E279+E283+E287</f>
        <v>4805.6542110000009</v>
      </c>
      <c r="F30" s="217">
        <f t="shared" si="2"/>
        <v>4.4800000000000004</v>
      </c>
      <c r="G30" s="217">
        <f t="shared" si="2"/>
        <v>448.13900000000001</v>
      </c>
      <c r="H30" s="217">
        <f t="shared" si="2"/>
        <v>3311.9168359999999</v>
      </c>
      <c r="I30" s="217">
        <f t="shared" si="2"/>
        <v>3819.1642959999999</v>
      </c>
      <c r="J30" s="160">
        <f t="shared" si="2"/>
        <v>11716.351699999999</v>
      </c>
      <c r="K30" s="278">
        <f>K275+K279+K283+K287</f>
        <v>40624.043349</v>
      </c>
      <c r="L30" s="254"/>
      <c r="M30" s="151">
        <v>2021</v>
      </c>
    </row>
    <row r="31" spans="1:13" s="65" customFormat="1" ht="11.25" x14ac:dyDescent="0.2">
      <c r="A31" s="159">
        <f t="shared" ref="A31:J31" si="3">A292+A296+A300+A304</f>
        <v>308.13239999999996</v>
      </c>
      <c r="B31" s="159">
        <f t="shared" si="3"/>
        <v>237.31039699999999</v>
      </c>
      <c r="C31" s="217">
        <f t="shared" si="3"/>
        <v>937.91790259999993</v>
      </c>
      <c r="D31" s="160">
        <f t="shared" si="3"/>
        <v>14766.205399999999</v>
      </c>
      <c r="E31" s="150">
        <f t="shared" si="3"/>
        <v>4456.6139999999996</v>
      </c>
      <c r="F31" s="217">
        <f>F292+F296+F300+F304</f>
        <v>2450.8953339999998</v>
      </c>
      <c r="G31" s="217">
        <f t="shared" si="3"/>
        <v>420.47399999999999</v>
      </c>
      <c r="H31" s="217">
        <f t="shared" si="3"/>
        <v>4459.8741540000001</v>
      </c>
      <c r="I31" s="217">
        <f t="shared" si="3"/>
        <v>3479.1052549999999</v>
      </c>
      <c r="J31" s="160">
        <f t="shared" si="3"/>
        <v>9950.0512999999992</v>
      </c>
      <c r="K31" s="278">
        <f>K292+K296+K300+K304</f>
        <v>41466.580142599996</v>
      </c>
      <c r="L31" s="154"/>
      <c r="M31" s="151">
        <v>2022</v>
      </c>
    </row>
    <row r="32" spans="1:13" s="65" customFormat="1" ht="11.25" x14ac:dyDescent="0.2">
      <c r="A32" s="159">
        <f t="shared" ref="A32:J32" si="4">A309+A313+A317+A321</f>
        <v>279.71800000000002</v>
      </c>
      <c r="B32" s="159">
        <f t="shared" si="4"/>
        <v>71.964676999999995</v>
      </c>
      <c r="C32" s="217">
        <f t="shared" si="4"/>
        <v>3354.3895870276187</v>
      </c>
      <c r="D32" s="160">
        <f t="shared" si="4"/>
        <v>12641.8663</v>
      </c>
      <c r="E32" s="150">
        <f>E309+E313+E317+E321</f>
        <v>3697.701</v>
      </c>
      <c r="F32" s="217">
        <f t="shared" si="4"/>
        <v>4807.0037300000004</v>
      </c>
      <c r="G32" s="217">
        <f t="shared" si="4"/>
        <v>413.62299999999999</v>
      </c>
      <c r="H32" s="217">
        <f>H309+H313+H317+H321</f>
        <v>4366.1267369999996</v>
      </c>
      <c r="I32" s="217">
        <f t="shared" si="4"/>
        <v>2463.7512360000001</v>
      </c>
      <c r="J32" s="160">
        <f t="shared" si="4"/>
        <v>8891.4881999999998</v>
      </c>
      <c r="K32" s="278">
        <f>K309+K313+K317+K321</f>
        <v>40987.632467027615</v>
      </c>
      <c r="L32" s="348"/>
      <c r="M32" s="151">
        <v>2023</v>
      </c>
    </row>
    <row r="33" spans="1:14" s="65" customFormat="1" ht="11.25" x14ac:dyDescent="0.2">
      <c r="A33" s="145">
        <f>A326+A330+A334+A338</f>
        <v>25.460999999999999</v>
      </c>
      <c r="B33" s="159">
        <f t="shared" ref="B33:J33" si="5">B326+B330+B334+B338</f>
        <v>62.756287999999998</v>
      </c>
      <c r="C33" s="217">
        <f t="shared" si="5"/>
        <v>4171.127472932003</v>
      </c>
      <c r="D33" s="160">
        <f t="shared" si="5"/>
        <v>12742.1487</v>
      </c>
      <c r="E33" s="150">
        <f>E326+E330+E334+E338</f>
        <v>3388.7848920000001</v>
      </c>
      <c r="F33" s="217">
        <f t="shared" si="5"/>
        <v>3117.88123</v>
      </c>
      <c r="G33" s="217">
        <f t="shared" si="5"/>
        <v>302.13599999999997</v>
      </c>
      <c r="H33" s="217">
        <f t="shared" si="5"/>
        <v>3343.8512989999999</v>
      </c>
      <c r="I33" s="217">
        <f t="shared" si="5"/>
        <v>2356.4702159999997</v>
      </c>
      <c r="J33" s="160">
        <f t="shared" si="5"/>
        <v>7431.9185999999991</v>
      </c>
      <c r="K33" s="278">
        <f>K326+K330+K334+K338</f>
        <v>36942.535697932006</v>
      </c>
      <c r="L33" s="348"/>
      <c r="M33" s="151">
        <v>2024</v>
      </c>
      <c r="N33" s="353"/>
    </row>
    <row r="34" spans="1:14" s="65" customFormat="1" ht="11.25" x14ac:dyDescent="0.2">
      <c r="A34" s="130">
        <f t="shared" ref="A34:J34" si="6">A343+A347+A348+A349</f>
        <v>0</v>
      </c>
      <c r="B34" s="155">
        <f t="shared" si="6"/>
        <v>32.856242000000002</v>
      </c>
      <c r="C34" s="216">
        <f t="shared" si="6"/>
        <v>3416.1395270000003</v>
      </c>
      <c r="D34" s="156">
        <f t="shared" si="6"/>
        <v>9315.2181</v>
      </c>
      <c r="E34" s="134">
        <f t="shared" si="6"/>
        <v>2179.0176759999999</v>
      </c>
      <c r="F34" s="216">
        <f t="shared" si="6"/>
        <v>2366.5824620000003</v>
      </c>
      <c r="G34" s="216">
        <f t="shared" si="6"/>
        <v>183.21100000000001</v>
      </c>
      <c r="H34" s="216">
        <f t="shared" si="6"/>
        <v>1449.2198600000002</v>
      </c>
      <c r="I34" s="216">
        <f t="shared" si="6"/>
        <v>1624.667696</v>
      </c>
      <c r="J34" s="156">
        <f t="shared" si="6"/>
        <v>5775.2033999999994</v>
      </c>
      <c r="K34" s="261">
        <f>K343+K347+K348+K349</f>
        <v>26342.115963</v>
      </c>
      <c r="L34" s="269" t="s">
        <v>230</v>
      </c>
      <c r="M34" s="135">
        <v>2025</v>
      </c>
      <c r="N34" s="353"/>
    </row>
    <row r="35" spans="1:14" s="65" customFormat="1" ht="11.25" customHeight="1" x14ac:dyDescent="0.2">
      <c r="A35" s="80"/>
      <c r="B35" s="80"/>
      <c r="C35" s="86"/>
      <c r="D35" s="83"/>
      <c r="E35" s="91"/>
      <c r="F35" s="195"/>
      <c r="G35" s="195"/>
      <c r="H35" s="195"/>
      <c r="I35" s="195"/>
      <c r="J35" s="83"/>
      <c r="K35" s="252"/>
      <c r="L35" s="88"/>
      <c r="M35" s="87"/>
    </row>
    <row r="36" spans="1:14" s="65" customFormat="1" ht="11.25" hidden="1" x14ac:dyDescent="0.2">
      <c r="A36" s="80">
        <v>53.225999999999999</v>
      </c>
      <c r="B36" s="80"/>
      <c r="C36" s="86"/>
      <c r="D36" s="83">
        <v>2105.0059999999999</v>
      </c>
      <c r="E36" s="80"/>
      <c r="F36" s="195"/>
      <c r="G36" s="195"/>
      <c r="H36" s="195"/>
      <c r="I36" s="195"/>
      <c r="J36" s="83">
        <v>2822.7655</v>
      </c>
      <c r="K36" s="252">
        <f>J36+D36+A36</f>
        <v>4980.9974999999995</v>
      </c>
      <c r="L36" s="88" t="s">
        <v>53</v>
      </c>
      <c r="M36" s="87">
        <v>2005</v>
      </c>
    </row>
    <row r="37" spans="1:14" s="65" customFormat="1" ht="12" hidden="1" customHeight="1" x14ac:dyDescent="0.2">
      <c r="A37" s="80">
        <v>85.206999999999994</v>
      </c>
      <c r="B37" s="80"/>
      <c r="C37" s="86"/>
      <c r="D37" s="83">
        <v>2220.0720000000001</v>
      </c>
      <c r="E37" s="80"/>
      <c r="F37" s="195"/>
      <c r="G37" s="195"/>
      <c r="H37" s="195"/>
      <c r="I37" s="195"/>
      <c r="J37" s="83">
        <v>3087.518</v>
      </c>
      <c r="K37" s="252">
        <f>J37+D37+A37</f>
        <v>5392.7970000000005</v>
      </c>
      <c r="L37" s="88" t="s">
        <v>54</v>
      </c>
      <c r="M37" s="87"/>
    </row>
    <row r="38" spans="1:14" s="65" customFormat="1" ht="12" hidden="1" customHeight="1" x14ac:dyDescent="0.2">
      <c r="A38" s="80">
        <v>76.459000000000003</v>
      </c>
      <c r="B38" s="80"/>
      <c r="C38" s="86"/>
      <c r="D38" s="83">
        <v>2304.3789999999999</v>
      </c>
      <c r="E38" s="80"/>
      <c r="F38" s="195"/>
      <c r="G38" s="195"/>
      <c r="H38" s="195"/>
      <c r="I38" s="195"/>
      <c r="J38" s="83">
        <v>3041.6950000000002</v>
      </c>
      <c r="K38" s="252">
        <f>J38+D38+A38</f>
        <v>5422.5330000000004</v>
      </c>
      <c r="L38" s="88" t="s">
        <v>55</v>
      </c>
      <c r="M38" s="87"/>
    </row>
    <row r="39" spans="1:14" s="65" customFormat="1" ht="11.25" hidden="1" customHeight="1" x14ac:dyDescent="0.2">
      <c r="A39" s="80">
        <v>76.429000000000002</v>
      </c>
      <c r="B39" s="80"/>
      <c r="C39" s="86"/>
      <c r="D39" s="83">
        <v>2245.5149999999999</v>
      </c>
      <c r="E39" s="80"/>
      <c r="F39" s="195"/>
      <c r="G39" s="195"/>
      <c r="H39" s="195"/>
      <c r="I39" s="195"/>
      <c r="J39" s="83">
        <v>2959.1990000000001</v>
      </c>
      <c r="K39" s="252">
        <f>J39+D39+A39</f>
        <v>5281.143</v>
      </c>
      <c r="L39" s="88" t="s">
        <v>56</v>
      </c>
      <c r="M39" s="87"/>
    </row>
    <row r="40" spans="1:14" s="65" customFormat="1" ht="9.75" hidden="1" customHeight="1" x14ac:dyDescent="0.2">
      <c r="A40" s="88"/>
      <c r="B40" s="88"/>
      <c r="C40" s="86"/>
      <c r="D40" s="86"/>
      <c r="E40" s="88"/>
      <c r="F40" s="195"/>
      <c r="G40" s="195"/>
      <c r="H40" s="195"/>
      <c r="I40" s="195"/>
      <c r="J40" s="86"/>
      <c r="K40" s="252"/>
      <c r="L40" s="88"/>
      <c r="M40" s="87"/>
    </row>
    <row r="41" spans="1:14" s="65" customFormat="1" ht="11.25" hidden="1" x14ac:dyDescent="0.2">
      <c r="A41" s="92">
        <v>49</v>
      </c>
      <c r="B41" s="92"/>
      <c r="C41" s="86"/>
      <c r="D41" s="90">
        <v>2240</v>
      </c>
      <c r="E41" s="91"/>
      <c r="F41" s="195"/>
      <c r="G41" s="195"/>
      <c r="H41" s="195"/>
      <c r="I41" s="195"/>
      <c r="J41" s="84">
        <v>2719</v>
      </c>
      <c r="K41" s="252">
        <f>J41+D41+A41</f>
        <v>5008</v>
      </c>
      <c r="L41" s="88" t="s">
        <v>53</v>
      </c>
      <c r="M41" s="87">
        <v>2006</v>
      </c>
    </row>
    <row r="42" spans="1:14" s="65" customFormat="1" ht="11.25" hidden="1" x14ac:dyDescent="0.2">
      <c r="A42" s="92">
        <v>79</v>
      </c>
      <c r="B42" s="92"/>
      <c r="C42" s="86"/>
      <c r="D42" s="90">
        <v>2374</v>
      </c>
      <c r="E42" s="91"/>
      <c r="F42" s="195"/>
      <c r="G42" s="195"/>
      <c r="H42" s="195"/>
      <c r="I42" s="195"/>
      <c r="J42" s="90">
        <v>2837</v>
      </c>
      <c r="K42" s="252">
        <f>J42+D42+A42</f>
        <v>5290</v>
      </c>
      <c r="L42" s="88" t="s">
        <v>54</v>
      </c>
      <c r="M42" s="87"/>
    </row>
    <row r="43" spans="1:14" s="65" customFormat="1" ht="11.25" hidden="1" x14ac:dyDescent="0.2">
      <c r="A43" s="92">
        <v>71</v>
      </c>
      <c r="B43" s="92"/>
      <c r="C43" s="86"/>
      <c r="D43" s="90">
        <v>2667</v>
      </c>
      <c r="E43" s="91"/>
      <c r="F43" s="195"/>
      <c r="G43" s="195"/>
      <c r="H43" s="195"/>
      <c r="I43" s="195"/>
      <c r="J43" s="90">
        <v>2190</v>
      </c>
      <c r="K43" s="252">
        <f>J43+D43+A43</f>
        <v>4928</v>
      </c>
      <c r="L43" s="88" t="s">
        <v>55</v>
      </c>
      <c r="M43" s="87"/>
    </row>
    <row r="44" spans="1:14" s="65" customFormat="1" ht="11.25" hidden="1" x14ac:dyDescent="0.2">
      <c r="A44" s="92">
        <v>70</v>
      </c>
      <c r="B44" s="92"/>
      <c r="C44" s="86"/>
      <c r="D44" s="90">
        <v>2345</v>
      </c>
      <c r="E44" s="91"/>
      <c r="F44" s="195"/>
      <c r="G44" s="195"/>
      <c r="H44" s="195"/>
      <c r="I44" s="195"/>
      <c r="J44" s="90">
        <v>2762</v>
      </c>
      <c r="K44" s="252">
        <f>J44+D44+A44</f>
        <v>5177</v>
      </c>
      <c r="L44" s="88" t="s">
        <v>56</v>
      </c>
      <c r="M44" s="87"/>
    </row>
    <row r="45" spans="1:14" s="65" customFormat="1" ht="11.25" hidden="1" x14ac:dyDescent="0.2">
      <c r="A45" s="92"/>
      <c r="B45" s="92"/>
      <c r="C45" s="86"/>
      <c r="D45" s="90"/>
      <c r="E45" s="91"/>
      <c r="F45" s="195"/>
      <c r="G45" s="195"/>
      <c r="H45" s="195"/>
      <c r="I45" s="195"/>
      <c r="J45" s="90"/>
      <c r="K45" s="252"/>
      <c r="L45" s="88"/>
      <c r="M45" s="87"/>
    </row>
    <row r="46" spans="1:14" s="65" customFormat="1" ht="11.25" hidden="1" x14ac:dyDescent="0.2">
      <c r="A46" s="92">
        <v>44.622999999999998</v>
      </c>
      <c r="B46" s="92"/>
      <c r="C46" s="86"/>
      <c r="D46" s="90">
        <v>2274.6660000000002</v>
      </c>
      <c r="E46" s="91"/>
      <c r="F46" s="195"/>
      <c r="G46" s="195"/>
      <c r="H46" s="195"/>
      <c r="I46" s="195"/>
      <c r="J46" s="90">
        <v>2984.098</v>
      </c>
      <c r="K46" s="252">
        <f>J46+D46+A46</f>
        <v>5303.3869999999997</v>
      </c>
      <c r="L46" s="88" t="s">
        <v>53</v>
      </c>
      <c r="M46" s="87">
        <v>2007</v>
      </c>
    </row>
    <row r="47" spans="1:14" s="65" customFormat="1" ht="11.25" hidden="1" x14ac:dyDescent="0.2">
      <c r="A47" s="92">
        <v>83.253</v>
      </c>
      <c r="B47" s="92"/>
      <c r="C47" s="86"/>
      <c r="D47" s="90">
        <v>2441.0390000000002</v>
      </c>
      <c r="E47" s="91"/>
      <c r="F47" s="195"/>
      <c r="G47" s="195"/>
      <c r="H47" s="195"/>
      <c r="I47" s="195"/>
      <c r="J47" s="90">
        <v>2871.1260000000002</v>
      </c>
      <c r="K47" s="252">
        <f>J47+D47+A47</f>
        <v>5395.4180000000006</v>
      </c>
      <c r="L47" s="88" t="s">
        <v>54</v>
      </c>
      <c r="M47" s="87"/>
    </row>
    <row r="48" spans="1:14" s="65" customFormat="1" ht="11.25" hidden="1" x14ac:dyDescent="0.2">
      <c r="A48" s="92">
        <v>57.075000000000003</v>
      </c>
      <c r="B48" s="92"/>
      <c r="C48" s="86"/>
      <c r="D48" s="90">
        <v>2609.7190000000001</v>
      </c>
      <c r="E48" s="91"/>
      <c r="F48" s="195"/>
      <c r="G48" s="195"/>
      <c r="H48" s="195"/>
      <c r="I48" s="195"/>
      <c r="J48" s="90">
        <v>3076.1509999999998</v>
      </c>
      <c r="K48" s="252">
        <f>J48+D48+A48</f>
        <v>5742.9449999999997</v>
      </c>
      <c r="L48" s="88" t="s">
        <v>55</v>
      </c>
      <c r="M48" s="87"/>
    </row>
    <row r="49" spans="1:13" s="65" customFormat="1" ht="11.25" hidden="1" x14ac:dyDescent="0.2">
      <c r="A49" s="92">
        <v>40.039000000000001</v>
      </c>
      <c r="B49" s="92"/>
      <c r="C49" s="86"/>
      <c r="D49" s="90">
        <v>2780.0729999999999</v>
      </c>
      <c r="E49" s="92"/>
      <c r="F49" s="195"/>
      <c r="G49" s="195"/>
      <c r="H49" s="195"/>
      <c r="I49" s="195"/>
      <c r="J49" s="90">
        <v>3214.174</v>
      </c>
      <c r="K49" s="252">
        <f>J49+D49+A49</f>
        <v>6034.2859999999991</v>
      </c>
      <c r="L49" s="88" t="s">
        <v>56</v>
      </c>
      <c r="M49" s="87"/>
    </row>
    <row r="50" spans="1:13" s="65" customFormat="1" ht="11.25" hidden="1" x14ac:dyDescent="0.2">
      <c r="A50" s="92"/>
      <c r="B50" s="92"/>
      <c r="C50" s="86"/>
      <c r="D50" s="90"/>
      <c r="E50" s="92"/>
      <c r="F50" s="195"/>
      <c r="G50" s="195"/>
      <c r="H50" s="195"/>
      <c r="I50" s="195"/>
      <c r="J50" s="90"/>
      <c r="K50" s="252"/>
      <c r="L50" s="88"/>
      <c r="M50" s="87"/>
    </row>
    <row r="51" spans="1:13" s="65" customFormat="1" ht="11.25" hidden="1" x14ac:dyDescent="0.2">
      <c r="A51" s="92">
        <v>25.5</v>
      </c>
      <c r="B51" s="92"/>
      <c r="C51" s="86"/>
      <c r="D51" s="90">
        <v>670.05499999999995</v>
      </c>
      <c r="E51" s="92"/>
      <c r="F51" s="195"/>
      <c r="G51" s="195"/>
      <c r="H51" s="195"/>
      <c r="I51" s="195"/>
      <c r="J51" s="90">
        <v>1006.924</v>
      </c>
      <c r="K51" s="252">
        <f t="shared" ref="K51:K66" si="7">J51+D51+A51</f>
        <v>1702.4789999999998</v>
      </c>
      <c r="L51" s="88" t="s">
        <v>78</v>
      </c>
      <c r="M51" s="87">
        <v>2008</v>
      </c>
    </row>
    <row r="52" spans="1:13" s="65" customFormat="1" ht="11.25" hidden="1" x14ac:dyDescent="0.2">
      <c r="A52" s="92">
        <v>21.132000000000001</v>
      </c>
      <c r="B52" s="92"/>
      <c r="C52" s="86"/>
      <c r="D52" s="90">
        <v>882.07899999999995</v>
      </c>
      <c r="E52" s="92"/>
      <c r="F52" s="195"/>
      <c r="G52" s="195"/>
      <c r="H52" s="195"/>
      <c r="I52" s="195"/>
      <c r="J52" s="90">
        <v>1239.8330000000001</v>
      </c>
      <c r="K52" s="252">
        <f t="shared" si="7"/>
        <v>2143.0440000000003</v>
      </c>
      <c r="L52" s="88" t="s">
        <v>79</v>
      </c>
      <c r="M52" s="87"/>
    </row>
    <row r="53" spans="1:13" s="65" customFormat="1" ht="11.25" hidden="1" x14ac:dyDescent="0.2">
      <c r="A53" s="92">
        <v>12.699</v>
      </c>
      <c r="B53" s="92"/>
      <c r="C53" s="86"/>
      <c r="D53" s="90">
        <v>868.67200000000003</v>
      </c>
      <c r="E53" s="92"/>
      <c r="F53" s="195"/>
      <c r="G53" s="195"/>
      <c r="H53" s="195"/>
      <c r="I53" s="195"/>
      <c r="J53" s="90">
        <v>1033.24</v>
      </c>
      <c r="K53" s="252">
        <f t="shared" si="7"/>
        <v>1914.6110000000001</v>
      </c>
      <c r="L53" s="88" t="s">
        <v>80</v>
      </c>
      <c r="M53" s="87"/>
    </row>
    <row r="54" spans="1:13" s="65" customFormat="1" ht="11.25" hidden="1" x14ac:dyDescent="0.2">
      <c r="A54" s="92">
        <f>SUM(A51:A53)</f>
        <v>59.331000000000003</v>
      </c>
      <c r="B54" s="92"/>
      <c r="C54" s="86"/>
      <c r="D54" s="90">
        <f>SUM(D51:D53)</f>
        <v>2420.806</v>
      </c>
      <c r="E54" s="92"/>
      <c r="F54" s="195"/>
      <c r="G54" s="195"/>
      <c r="H54" s="195"/>
      <c r="I54" s="195"/>
      <c r="J54" s="90">
        <f>SUM(J51:J53)</f>
        <v>3279.9970000000003</v>
      </c>
      <c r="K54" s="252">
        <f t="shared" si="7"/>
        <v>5760.134</v>
      </c>
      <c r="L54" s="88" t="s">
        <v>53</v>
      </c>
      <c r="M54" s="87">
        <v>2008</v>
      </c>
    </row>
    <row r="55" spans="1:13" s="65" customFormat="1" ht="11.25" hidden="1" x14ac:dyDescent="0.2">
      <c r="A55" s="92">
        <v>20.588000000000001</v>
      </c>
      <c r="B55" s="92"/>
      <c r="C55" s="86"/>
      <c r="D55" s="90">
        <v>892.62599999999998</v>
      </c>
      <c r="E55" s="92"/>
      <c r="F55" s="195"/>
      <c r="G55" s="195"/>
      <c r="H55" s="195"/>
      <c r="I55" s="195"/>
      <c r="J55" s="90">
        <v>1247.991</v>
      </c>
      <c r="K55" s="252">
        <f t="shared" si="7"/>
        <v>2161.2050000000004</v>
      </c>
      <c r="L55" s="88" t="s">
        <v>68</v>
      </c>
      <c r="M55" s="87"/>
    </row>
    <row r="56" spans="1:13" s="65" customFormat="1" ht="11.25" hidden="1" x14ac:dyDescent="0.2">
      <c r="A56" s="92">
        <v>19.673999999999999</v>
      </c>
      <c r="B56" s="92"/>
      <c r="C56" s="86"/>
      <c r="D56" s="90">
        <v>815.45</v>
      </c>
      <c r="E56" s="92"/>
      <c r="F56" s="195"/>
      <c r="G56" s="195"/>
      <c r="H56" s="195"/>
      <c r="I56" s="195"/>
      <c r="J56" s="90">
        <v>1041.2460000000001</v>
      </c>
      <c r="K56" s="252">
        <f t="shared" si="7"/>
        <v>1876.3700000000001</v>
      </c>
      <c r="L56" s="88" t="s">
        <v>82</v>
      </c>
      <c r="M56" s="87"/>
    </row>
    <row r="57" spans="1:13" s="65" customFormat="1" ht="11.25" hidden="1" x14ac:dyDescent="0.2">
      <c r="A57" s="92">
        <v>12.868</v>
      </c>
      <c r="B57" s="92"/>
      <c r="C57" s="86"/>
      <c r="D57" s="90">
        <v>799.28800000000001</v>
      </c>
      <c r="E57" s="92"/>
      <c r="F57" s="195"/>
      <c r="G57" s="195"/>
      <c r="H57" s="195"/>
      <c r="I57" s="195"/>
      <c r="J57" s="90">
        <v>1192.5650000000001</v>
      </c>
      <c r="K57" s="252">
        <f t="shared" si="7"/>
        <v>2004.721</v>
      </c>
      <c r="L57" s="88" t="s">
        <v>83</v>
      </c>
      <c r="M57" s="87"/>
    </row>
    <row r="58" spans="1:13" s="65" customFormat="1" ht="11.25" hidden="1" x14ac:dyDescent="0.2">
      <c r="A58" s="92">
        <f>SUM(A55:A57)</f>
        <v>53.13</v>
      </c>
      <c r="B58" s="92"/>
      <c r="C58" s="86"/>
      <c r="D58" s="90">
        <f>SUM(D55:D57)</f>
        <v>2507.364</v>
      </c>
      <c r="E58" s="92"/>
      <c r="F58" s="195"/>
      <c r="G58" s="195"/>
      <c r="H58" s="195"/>
      <c r="I58" s="195"/>
      <c r="J58" s="90">
        <f>SUM(J55:J57)</f>
        <v>3481.8020000000001</v>
      </c>
      <c r="K58" s="252">
        <f t="shared" si="7"/>
        <v>6042.2960000000003</v>
      </c>
      <c r="L58" s="88" t="s">
        <v>54</v>
      </c>
      <c r="M58" s="87"/>
    </row>
    <row r="59" spans="1:13" s="65" customFormat="1" ht="11.25" hidden="1" x14ac:dyDescent="0.2">
      <c r="A59" s="92">
        <v>22.611000000000001</v>
      </c>
      <c r="B59" s="92"/>
      <c r="C59" s="86"/>
      <c r="D59" s="90">
        <v>836.29499999999996</v>
      </c>
      <c r="E59" s="92"/>
      <c r="F59" s="195"/>
      <c r="G59" s="195"/>
      <c r="H59" s="195"/>
      <c r="I59" s="195"/>
      <c r="J59" s="90">
        <v>1194.45</v>
      </c>
      <c r="K59" s="252">
        <f t="shared" si="7"/>
        <v>2053.3559999999998</v>
      </c>
      <c r="L59" s="88" t="s">
        <v>85</v>
      </c>
      <c r="M59" s="87"/>
    </row>
    <row r="60" spans="1:13" s="65" customFormat="1" ht="11.25" hidden="1" x14ac:dyDescent="0.2">
      <c r="A60" s="92">
        <v>12.826000000000001</v>
      </c>
      <c r="B60" s="92"/>
      <c r="C60" s="86"/>
      <c r="D60" s="90">
        <v>869.23</v>
      </c>
      <c r="E60" s="92"/>
      <c r="F60" s="195"/>
      <c r="G60" s="195"/>
      <c r="H60" s="195"/>
      <c r="I60" s="195"/>
      <c r="J60" s="90">
        <v>992.68100000000004</v>
      </c>
      <c r="K60" s="252">
        <f t="shared" si="7"/>
        <v>1874.7370000000001</v>
      </c>
      <c r="L60" s="88" t="s">
        <v>86</v>
      </c>
      <c r="M60" s="87"/>
    </row>
    <row r="61" spans="1:13" s="65" customFormat="1" ht="11.25" hidden="1" x14ac:dyDescent="0.2">
      <c r="A61" s="92">
        <v>11.685</v>
      </c>
      <c r="B61" s="92"/>
      <c r="C61" s="86"/>
      <c r="D61" s="90">
        <v>792.57600000000002</v>
      </c>
      <c r="E61" s="92"/>
      <c r="F61" s="195"/>
      <c r="G61" s="195"/>
      <c r="H61" s="195"/>
      <c r="I61" s="195"/>
      <c r="J61" s="90">
        <v>870.06799999999998</v>
      </c>
      <c r="K61" s="252">
        <f t="shared" si="7"/>
        <v>1674.329</v>
      </c>
      <c r="L61" s="88" t="s">
        <v>87</v>
      </c>
      <c r="M61" s="87"/>
    </row>
    <row r="62" spans="1:13" s="65" customFormat="1" ht="11.25" hidden="1" x14ac:dyDescent="0.2">
      <c r="A62" s="92">
        <f>SUM(A59:A61)</f>
        <v>47.122</v>
      </c>
      <c r="B62" s="92"/>
      <c r="C62" s="86"/>
      <c r="D62" s="90">
        <f>SUM(D59:D61)</f>
        <v>2498.1010000000001</v>
      </c>
      <c r="E62" s="92"/>
      <c r="F62" s="195"/>
      <c r="G62" s="195"/>
      <c r="H62" s="195"/>
      <c r="I62" s="195"/>
      <c r="J62" s="90">
        <f>SUM(J59:J61)</f>
        <v>3057.1990000000005</v>
      </c>
      <c r="K62" s="252">
        <f t="shared" si="7"/>
        <v>5602.4220000000014</v>
      </c>
      <c r="L62" s="88" t="s">
        <v>55</v>
      </c>
      <c r="M62" s="87"/>
    </row>
    <row r="63" spans="1:13" s="65" customFormat="1" ht="11.25" hidden="1" x14ac:dyDescent="0.2">
      <c r="A63" s="92">
        <v>13.303000000000001</v>
      </c>
      <c r="B63" s="92"/>
      <c r="C63" s="86"/>
      <c r="D63" s="90">
        <v>969.48400000000004</v>
      </c>
      <c r="E63" s="92"/>
      <c r="F63" s="195"/>
      <c r="G63" s="195"/>
      <c r="H63" s="195"/>
      <c r="I63" s="195"/>
      <c r="J63" s="90">
        <v>955.45500000000004</v>
      </c>
      <c r="K63" s="252">
        <f t="shared" si="7"/>
        <v>1938.2420000000002</v>
      </c>
      <c r="L63" s="88" t="s">
        <v>89</v>
      </c>
      <c r="M63" s="87"/>
    </row>
    <row r="64" spans="1:13" s="65" customFormat="1" ht="11.25" hidden="1" x14ac:dyDescent="0.2">
      <c r="A64" s="92">
        <v>25.952999999999999</v>
      </c>
      <c r="B64" s="92"/>
      <c r="C64" s="86"/>
      <c r="D64" s="90">
        <v>930.33500000000004</v>
      </c>
      <c r="E64" s="92"/>
      <c r="F64" s="195"/>
      <c r="G64" s="195"/>
      <c r="H64" s="195"/>
      <c r="I64" s="195"/>
      <c r="J64" s="90">
        <v>933.20799999999997</v>
      </c>
      <c r="K64" s="252">
        <f t="shared" si="7"/>
        <v>1889.4960000000001</v>
      </c>
      <c r="L64" s="88" t="s">
        <v>90</v>
      </c>
      <c r="M64" s="87"/>
    </row>
    <row r="65" spans="1:13" s="65" customFormat="1" ht="11.25" hidden="1" x14ac:dyDescent="0.2">
      <c r="A65" s="92">
        <v>21.495999999999999</v>
      </c>
      <c r="B65" s="92"/>
      <c r="C65" s="86"/>
      <c r="D65" s="90">
        <v>721.13900000000001</v>
      </c>
      <c r="E65" s="92"/>
      <c r="F65" s="195"/>
      <c r="G65" s="195"/>
      <c r="H65" s="195"/>
      <c r="I65" s="195"/>
      <c r="J65" s="90">
        <v>881.97199999999998</v>
      </c>
      <c r="K65" s="252">
        <f t="shared" si="7"/>
        <v>1624.607</v>
      </c>
      <c r="L65" s="88" t="s">
        <v>91</v>
      </c>
      <c r="M65" s="87"/>
    </row>
    <row r="66" spans="1:13" s="65" customFormat="1" ht="11.25" hidden="1" x14ac:dyDescent="0.2">
      <c r="A66" s="92">
        <f>SUM(A63:A65)</f>
        <v>60.751999999999995</v>
      </c>
      <c r="B66" s="92"/>
      <c r="C66" s="86"/>
      <c r="D66" s="90">
        <f>SUM(D63:D65)</f>
        <v>2620.9580000000001</v>
      </c>
      <c r="E66" s="92"/>
      <c r="F66" s="195"/>
      <c r="G66" s="195"/>
      <c r="H66" s="195"/>
      <c r="I66" s="195"/>
      <c r="J66" s="90">
        <f>SUM(J63:J65)</f>
        <v>2770.6350000000002</v>
      </c>
      <c r="K66" s="252">
        <f t="shared" si="7"/>
        <v>5452.3450000000012</v>
      </c>
      <c r="L66" s="88" t="s">
        <v>56</v>
      </c>
      <c r="M66" s="87"/>
    </row>
    <row r="67" spans="1:13" s="65" customFormat="1" ht="11.25" hidden="1" x14ac:dyDescent="0.2">
      <c r="A67" s="92"/>
      <c r="B67" s="92"/>
      <c r="C67" s="86"/>
      <c r="D67" s="90"/>
      <c r="E67" s="92"/>
      <c r="F67" s="195"/>
      <c r="G67" s="195"/>
      <c r="H67" s="195"/>
      <c r="I67" s="195"/>
      <c r="J67" s="90"/>
      <c r="K67" s="252"/>
      <c r="L67" s="88"/>
      <c r="M67" s="87"/>
    </row>
    <row r="68" spans="1:13" s="65" customFormat="1" ht="11.25" hidden="1" x14ac:dyDescent="0.2">
      <c r="A68" s="92">
        <v>16.992000000000001</v>
      </c>
      <c r="B68" s="92"/>
      <c r="C68" s="86"/>
      <c r="D68" s="90">
        <v>544.31600000000003</v>
      </c>
      <c r="E68" s="92">
        <v>25.102</v>
      </c>
      <c r="F68" s="195"/>
      <c r="G68" s="195"/>
      <c r="H68" s="195"/>
      <c r="I68" s="195"/>
      <c r="J68" s="90">
        <v>869.09500000000003</v>
      </c>
      <c r="K68" s="252">
        <f t="shared" ref="K68:K83" si="8">J68+E68+D68+A68</f>
        <v>1455.5049999999999</v>
      </c>
      <c r="L68" s="88" t="s">
        <v>78</v>
      </c>
      <c r="M68" s="87"/>
    </row>
    <row r="69" spans="1:13" s="65" customFormat="1" ht="11.25" hidden="1" x14ac:dyDescent="0.2">
      <c r="A69" s="92">
        <v>19.34</v>
      </c>
      <c r="B69" s="92"/>
      <c r="C69" s="86"/>
      <c r="D69" s="90">
        <v>703.774</v>
      </c>
      <c r="E69" s="92">
        <v>40.991</v>
      </c>
      <c r="F69" s="195"/>
      <c r="G69" s="195"/>
      <c r="H69" s="195"/>
      <c r="I69" s="195"/>
      <c r="J69" s="90">
        <v>575.60400000000004</v>
      </c>
      <c r="K69" s="252">
        <f t="shared" si="8"/>
        <v>1339.7090000000001</v>
      </c>
      <c r="L69" s="88" t="s">
        <v>79</v>
      </c>
      <c r="M69" s="87"/>
    </row>
    <row r="70" spans="1:13" s="65" customFormat="1" ht="11.25" hidden="1" x14ac:dyDescent="0.2">
      <c r="A70" s="92">
        <v>15.135</v>
      </c>
      <c r="B70" s="92"/>
      <c r="C70" s="86"/>
      <c r="D70" s="90">
        <v>859.02200000000005</v>
      </c>
      <c r="E70" s="92">
        <v>36.109000000000002</v>
      </c>
      <c r="F70" s="195"/>
      <c r="G70" s="195"/>
      <c r="H70" s="195"/>
      <c r="I70" s="195"/>
      <c r="J70" s="90">
        <v>948.02099999999996</v>
      </c>
      <c r="K70" s="252">
        <f t="shared" si="8"/>
        <v>1858.287</v>
      </c>
      <c r="L70" s="88" t="s">
        <v>80</v>
      </c>
      <c r="M70" s="87"/>
    </row>
    <row r="71" spans="1:13" s="65" customFormat="1" ht="11.25" hidden="1" x14ac:dyDescent="0.2">
      <c r="A71" s="130">
        <f>SUM(A68:A70)</f>
        <v>51.466999999999999</v>
      </c>
      <c r="B71" s="130"/>
      <c r="C71" s="86"/>
      <c r="D71" s="127">
        <f>SUM(D68:D70)</f>
        <v>2107.1120000000001</v>
      </c>
      <c r="E71" s="130">
        <f>SUM(E68:E70)</f>
        <v>102.202</v>
      </c>
      <c r="F71" s="195"/>
      <c r="G71" s="195"/>
      <c r="H71" s="195"/>
      <c r="I71" s="195"/>
      <c r="J71" s="127">
        <f>SUM(J68:J70)</f>
        <v>2392.7200000000003</v>
      </c>
      <c r="K71" s="252">
        <f t="shared" si="8"/>
        <v>4653.5010000000002</v>
      </c>
      <c r="L71" s="88" t="s">
        <v>53</v>
      </c>
      <c r="M71" s="87">
        <v>2009</v>
      </c>
    </row>
    <row r="72" spans="1:13" s="65" customFormat="1" ht="11.25" hidden="1" x14ac:dyDescent="0.2">
      <c r="A72" s="92">
        <v>15.022</v>
      </c>
      <c r="B72" s="92"/>
      <c r="C72" s="86"/>
      <c r="D72" s="90">
        <v>787.173</v>
      </c>
      <c r="E72" s="92">
        <v>34.850999999999999</v>
      </c>
      <c r="F72" s="195"/>
      <c r="G72" s="195"/>
      <c r="H72" s="195"/>
      <c r="I72" s="195"/>
      <c r="J72" s="90">
        <v>988.66800000000001</v>
      </c>
      <c r="K72" s="252">
        <f t="shared" si="8"/>
        <v>1825.7139999999999</v>
      </c>
      <c r="L72" s="88" t="s">
        <v>68</v>
      </c>
      <c r="M72" s="87"/>
    </row>
    <row r="73" spans="1:13" s="65" customFormat="1" ht="11.25" hidden="1" x14ac:dyDescent="0.2">
      <c r="A73" s="92">
        <v>10.119</v>
      </c>
      <c r="B73" s="92"/>
      <c r="C73" s="86"/>
      <c r="D73" s="90">
        <v>749.47900000000004</v>
      </c>
      <c r="E73" s="92">
        <v>34.298000000000002</v>
      </c>
      <c r="F73" s="195"/>
      <c r="G73" s="195"/>
      <c r="H73" s="195"/>
      <c r="I73" s="195"/>
      <c r="J73" s="90">
        <v>966.95100000000002</v>
      </c>
      <c r="K73" s="252">
        <f t="shared" si="8"/>
        <v>1760.847</v>
      </c>
      <c r="L73" s="88" t="s">
        <v>82</v>
      </c>
      <c r="M73" s="87"/>
    </row>
    <row r="74" spans="1:13" s="65" customFormat="1" ht="11.25" hidden="1" x14ac:dyDescent="0.2">
      <c r="A74" s="92">
        <v>10.627000000000001</v>
      </c>
      <c r="B74" s="92"/>
      <c r="C74" s="86"/>
      <c r="D74" s="90">
        <v>822.94500000000005</v>
      </c>
      <c r="E74" s="92">
        <v>42.329000000000001</v>
      </c>
      <c r="F74" s="195"/>
      <c r="G74" s="195"/>
      <c r="H74" s="195"/>
      <c r="I74" s="195"/>
      <c r="J74" s="90">
        <v>1012.614</v>
      </c>
      <c r="K74" s="252">
        <f t="shared" si="8"/>
        <v>1888.5149999999999</v>
      </c>
      <c r="L74" s="88" t="s">
        <v>83</v>
      </c>
      <c r="M74" s="87"/>
    </row>
    <row r="75" spans="1:13" s="65" customFormat="1" ht="11.25" hidden="1" x14ac:dyDescent="0.2">
      <c r="A75" s="130">
        <f>SUM(A72:A74)</f>
        <v>35.768000000000001</v>
      </c>
      <c r="B75" s="130"/>
      <c r="C75" s="86"/>
      <c r="D75" s="127">
        <f>SUM(D72:D74)</f>
        <v>2359.5970000000002</v>
      </c>
      <c r="E75" s="130">
        <v>111.47799999999999</v>
      </c>
      <c r="F75" s="195"/>
      <c r="G75" s="195"/>
      <c r="H75" s="195"/>
      <c r="I75" s="195"/>
      <c r="J75" s="127">
        <f>SUM(J72:J74)</f>
        <v>2968.2330000000002</v>
      </c>
      <c r="K75" s="252">
        <f t="shared" si="8"/>
        <v>5475.0760000000009</v>
      </c>
      <c r="L75" s="88" t="s">
        <v>54</v>
      </c>
      <c r="M75" s="87"/>
    </row>
    <row r="76" spans="1:13" s="65" customFormat="1" ht="11.25" hidden="1" x14ac:dyDescent="0.2">
      <c r="A76" s="92">
        <v>8.4700000000000006</v>
      </c>
      <c r="B76" s="92"/>
      <c r="C76" s="86"/>
      <c r="D76" s="90">
        <v>999.44100000000003</v>
      </c>
      <c r="E76" s="92">
        <v>38.158000000000001</v>
      </c>
      <c r="F76" s="195"/>
      <c r="G76" s="195"/>
      <c r="H76" s="195"/>
      <c r="I76" s="195"/>
      <c r="J76" s="90">
        <v>1073.9639999999999</v>
      </c>
      <c r="K76" s="252">
        <f t="shared" si="8"/>
        <v>2120.0329999999999</v>
      </c>
      <c r="L76" s="88" t="s">
        <v>85</v>
      </c>
      <c r="M76" s="87"/>
    </row>
    <row r="77" spans="1:13" s="65" customFormat="1" ht="11.25" hidden="1" x14ac:dyDescent="0.2">
      <c r="A77" s="92">
        <v>13.593999999999999</v>
      </c>
      <c r="B77" s="92"/>
      <c r="C77" s="86"/>
      <c r="D77" s="90">
        <v>976.06799999999998</v>
      </c>
      <c r="E77" s="92">
        <v>58.637999999999998</v>
      </c>
      <c r="F77" s="195"/>
      <c r="G77" s="195"/>
      <c r="H77" s="195"/>
      <c r="I77" s="195"/>
      <c r="J77" s="90">
        <v>958.75900000000001</v>
      </c>
      <c r="K77" s="252">
        <f t="shared" si="8"/>
        <v>2007.0590000000002</v>
      </c>
      <c r="L77" s="88" t="s">
        <v>86</v>
      </c>
      <c r="M77" s="87"/>
    </row>
    <row r="78" spans="1:13" s="65" customFormat="1" ht="11.25" hidden="1" x14ac:dyDescent="0.2">
      <c r="A78" s="92">
        <v>8.0579999999999998</v>
      </c>
      <c r="B78" s="92"/>
      <c r="C78" s="86"/>
      <c r="D78" s="90">
        <v>823.40599999999995</v>
      </c>
      <c r="E78" s="92">
        <v>21.324999999999999</v>
      </c>
      <c r="F78" s="195"/>
      <c r="G78" s="195"/>
      <c r="H78" s="195"/>
      <c r="I78" s="195"/>
      <c r="J78" s="90">
        <v>860.85599999999999</v>
      </c>
      <c r="K78" s="252">
        <f t="shared" si="8"/>
        <v>1713.645</v>
      </c>
      <c r="L78" s="88" t="s">
        <v>87</v>
      </c>
      <c r="M78" s="87"/>
    </row>
    <row r="79" spans="1:13" s="65" customFormat="1" ht="11.25" hidden="1" x14ac:dyDescent="0.2">
      <c r="A79" s="130">
        <f>SUM(A76:A78)</f>
        <v>30.122</v>
      </c>
      <c r="B79" s="130"/>
      <c r="C79" s="86"/>
      <c r="D79" s="127">
        <f>SUM(D76:D78)</f>
        <v>2798.915</v>
      </c>
      <c r="E79" s="130">
        <f>SUM(E76:E78)</f>
        <v>118.121</v>
      </c>
      <c r="F79" s="195"/>
      <c r="G79" s="195"/>
      <c r="H79" s="195"/>
      <c r="I79" s="195"/>
      <c r="J79" s="127">
        <f>SUM(J76:J78)</f>
        <v>2893.5789999999997</v>
      </c>
      <c r="K79" s="252">
        <f t="shared" si="8"/>
        <v>5840.7370000000001</v>
      </c>
      <c r="L79" s="88" t="s">
        <v>55</v>
      </c>
      <c r="M79" s="87"/>
    </row>
    <row r="80" spans="1:13" s="65" customFormat="1" ht="11.25" hidden="1" x14ac:dyDescent="0.2">
      <c r="A80" s="92">
        <v>29.004999999999999</v>
      </c>
      <c r="B80" s="92"/>
      <c r="C80" s="86"/>
      <c r="D80" s="90">
        <v>850.60500000000002</v>
      </c>
      <c r="E80" s="92">
        <v>26.047999999999998</v>
      </c>
      <c r="F80" s="195"/>
      <c r="G80" s="195"/>
      <c r="H80" s="195"/>
      <c r="I80" s="195"/>
      <c r="J80" s="90">
        <v>860.96299999999997</v>
      </c>
      <c r="K80" s="252">
        <f t="shared" si="8"/>
        <v>1766.6210000000001</v>
      </c>
      <c r="L80" s="88" t="s">
        <v>89</v>
      </c>
      <c r="M80" s="87"/>
    </row>
    <row r="81" spans="1:13" s="65" customFormat="1" ht="11.25" hidden="1" x14ac:dyDescent="0.2">
      <c r="A81" s="92">
        <v>13.22</v>
      </c>
      <c r="B81" s="92"/>
      <c r="C81" s="86"/>
      <c r="D81" s="90">
        <v>1001.921</v>
      </c>
      <c r="E81" s="92">
        <v>39.192700000000002</v>
      </c>
      <c r="F81" s="195"/>
      <c r="G81" s="195"/>
      <c r="H81" s="195"/>
      <c r="I81" s="195"/>
      <c r="J81" s="90">
        <v>907.91600000000005</v>
      </c>
      <c r="K81" s="252">
        <f t="shared" si="8"/>
        <v>1962.2497000000001</v>
      </c>
      <c r="L81" s="88" t="s">
        <v>90</v>
      </c>
      <c r="M81" s="87"/>
    </row>
    <row r="82" spans="1:13" s="65" customFormat="1" ht="11.25" hidden="1" x14ac:dyDescent="0.2">
      <c r="A82" s="92">
        <v>14</v>
      </c>
      <c r="B82" s="92"/>
      <c r="C82" s="86"/>
      <c r="D82" s="90">
        <v>879.10299999999995</v>
      </c>
      <c r="E82" s="92">
        <v>39.359000000000002</v>
      </c>
      <c r="F82" s="195"/>
      <c r="G82" s="195"/>
      <c r="H82" s="195"/>
      <c r="I82" s="195"/>
      <c r="J82" s="90">
        <v>913.79300000000001</v>
      </c>
      <c r="K82" s="252">
        <f t="shared" si="8"/>
        <v>1846.2550000000001</v>
      </c>
      <c r="L82" s="88" t="s">
        <v>91</v>
      </c>
      <c r="M82" s="87"/>
    </row>
    <row r="83" spans="1:13" s="65" customFormat="1" ht="11.25" hidden="1" x14ac:dyDescent="0.2">
      <c r="A83" s="130">
        <f>SUM(A80:A82)</f>
        <v>56.225000000000001</v>
      </c>
      <c r="B83" s="130"/>
      <c r="C83" s="86"/>
      <c r="D83" s="127">
        <f>SUM(D80:D82)</f>
        <v>2731.6289999999999</v>
      </c>
      <c r="E83" s="130">
        <f>SUM(E80:E82)</f>
        <v>104.59970000000001</v>
      </c>
      <c r="F83" s="195"/>
      <c r="G83" s="195"/>
      <c r="H83" s="195"/>
      <c r="I83" s="195"/>
      <c r="J83" s="127">
        <f>SUM(J80:J82)</f>
        <v>2682.672</v>
      </c>
      <c r="K83" s="252">
        <f t="shared" si="8"/>
        <v>5575.1257000000005</v>
      </c>
      <c r="L83" s="88" t="s">
        <v>56</v>
      </c>
      <c r="M83" s="87"/>
    </row>
    <row r="84" spans="1:13" s="65" customFormat="1" ht="11.25" hidden="1" x14ac:dyDescent="0.2">
      <c r="A84" s="92"/>
      <c r="B84" s="92"/>
      <c r="C84" s="86"/>
      <c r="D84" s="90"/>
      <c r="E84" s="92"/>
      <c r="F84" s="195"/>
      <c r="G84" s="195"/>
      <c r="H84" s="195"/>
      <c r="I84" s="195"/>
      <c r="J84" s="90"/>
      <c r="K84" s="252"/>
      <c r="L84" s="88"/>
      <c r="M84" s="87"/>
    </row>
    <row r="85" spans="1:13" s="65" customFormat="1" ht="11.25" hidden="1" x14ac:dyDescent="0.2">
      <c r="A85" s="92">
        <v>15.2</v>
      </c>
      <c r="B85" s="92"/>
      <c r="C85" s="86"/>
      <c r="D85" s="90">
        <v>923.49599999999998</v>
      </c>
      <c r="E85" s="92">
        <v>31.879470000000001</v>
      </c>
      <c r="F85" s="195"/>
      <c r="G85" s="195"/>
      <c r="H85" s="195"/>
      <c r="I85" s="195"/>
      <c r="J85" s="90">
        <v>968.31100000000004</v>
      </c>
      <c r="K85" s="252">
        <f t="shared" ref="K85:K100" si="9">J85+E85+D85+A85</f>
        <v>1938.8864700000001</v>
      </c>
      <c r="L85" s="88" t="s">
        <v>78</v>
      </c>
      <c r="M85" s="87">
        <v>2010</v>
      </c>
    </row>
    <row r="86" spans="1:13" s="65" customFormat="1" ht="11.25" hidden="1" x14ac:dyDescent="0.2">
      <c r="A86" s="92">
        <v>3.3</v>
      </c>
      <c r="B86" s="92"/>
      <c r="C86" s="86"/>
      <c r="D86" s="90">
        <v>863.81799999999998</v>
      </c>
      <c r="E86" s="92">
        <v>29.617999999999999</v>
      </c>
      <c r="F86" s="195"/>
      <c r="G86" s="195"/>
      <c r="H86" s="195"/>
      <c r="I86" s="195"/>
      <c r="J86" s="90">
        <v>887.36900000000003</v>
      </c>
      <c r="K86" s="252">
        <f t="shared" si="9"/>
        <v>1784.105</v>
      </c>
      <c r="L86" s="88" t="s">
        <v>79</v>
      </c>
      <c r="M86" s="87"/>
    </row>
    <row r="87" spans="1:13" s="65" customFormat="1" ht="11.25" hidden="1" x14ac:dyDescent="0.2">
      <c r="A87" s="92">
        <v>5.1219999999999999</v>
      </c>
      <c r="B87" s="92"/>
      <c r="C87" s="86"/>
      <c r="D87" s="90">
        <v>951.04100000000005</v>
      </c>
      <c r="E87" s="92">
        <v>64.650000000000006</v>
      </c>
      <c r="F87" s="195"/>
      <c r="G87" s="195"/>
      <c r="H87" s="195"/>
      <c r="I87" s="195"/>
      <c r="J87" s="90">
        <v>1029.6310000000001</v>
      </c>
      <c r="K87" s="252">
        <f t="shared" si="9"/>
        <v>2050.444</v>
      </c>
      <c r="L87" s="88" t="s">
        <v>80</v>
      </c>
      <c r="M87" s="87"/>
    </row>
    <row r="88" spans="1:13" s="65" customFormat="1" ht="11.25" hidden="1" x14ac:dyDescent="0.2">
      <c r="A88" s="145">
        <f>SUM(A85:A87)</f>
        <v>23.622</v>
      </c>
      <c r="B88" s="145"/>
      <c r="C88" s="86"/>
      <c r="D88" s="144">
        <f>SUM(D85:D87)</f>
        <v>2738.355</v>
      </c>
      <c r="E88" s="145">
        <f>SUM(E85:E87)</f>
        <v>126.14747</v>
      </c>
      <c r="F88" s="195"/>
      <c r="G88" s="195"/>
      <c r="H88" s="195"/>
      <c r="I88" s="195"/>
      <c r="J88" s="144">
        <f>SUM(J85:J87)</f>
        <v>2885.3110000000001</v>
      </c>
      <c r="K88" s="252">
        <f t="shared" si="9"/>
        <v>5773.4354700000004</v>
      </c>
      <c r="L88" s="88" t="s">
        <v>53</v>
      </c>
      <c r="M88" s="87">
        <v>2010</v>
      </c>
    </row>
    <row r="89" spans="1:13" s="65" customFormat="1" ht="11.25" hidden="1" x14ac:dyDescent="0.2">
      <c r="A89" s="145">
        <v>3.8</v>
      </c>
      <c r="B89" s="145"/>
      <c r="C89" s="86"/>
      <c r="D89" s="144">
        <v>983.44</v>
      </c>
      <c r="E89" s="145">
        <v>91.537000000000006</v>
      </c>
      <c r="F89" s="195"/>
      <c r="G89" s="195"/>
      <c r="H89" s="195"/>
      <c r="I89" s="195"/>
      <c r="J89" s="144">
        <v>921.72900000000004</v>
      </c>
      <c r="K89" s="252">
        <f t="shared" si="9"/>
        <v>2000.5060000000001</v>
      </c>
      <c r="L89" s="88" t="s">
        <v>68</v>
      </c>
      <c r="M89" s="87"/>
    </row>
    <row r="90" spans="1:13" s="65" customFormat="1" ht="11.25" hidden="1" x14ac:dyDescent="0.2">
      <c r="A90" s="145">
        <v>2.5499999999999998</v>
      </c>
      <c r="B90" s="145"/>
      <c r="C90" s="86"/>
      <c r="D90" s="144">
        <v>930.58199999999999</v>
      </c>
      <c r="E90" s="145">
        <v>48.515819999999998</v>
      </c>
      <c r="F90" s="195"/>
      <c r="G90" s="195"/>
      <c r="H90" s="195"/>
      <c r="I90" s="195"/>
      <c r="J90" s="144">
        <v>988.21199999999999</v>
      </c>
      <c r="K90" s="252">
        <f t="shared" si="9"/>
        <v>1969.8598199999999</v>
      </c>
      <c r="L90" s="88" t="s">
        <v>82</v>
      </c>
      <c r="M90" s="87"/>
    </row>
    <row r="91" spans="1:13" s="65" customFormat="1" ht="11.25" hidden="1" x14ac:dyDescent="0.2">
      <c r="A91" s="145">
        <v>2.5</v>
      </c>
      <c r="B91" s="145"/>
      <c r="C91" s="86"/>
      <c r="D91" s="144">
        <v>1051.77</v>
      </c>
      <c r="E91" s="145">
        <v>53.642000000000003</v>
      </c>
      <c r="F91" s="195"/>
      <c r="G91" s="195"/>
      <c r="H91" s="195"/>
      <c r="I91" s="195"/>
      <c r="J91" s="144">
        <v>961.85299999999995</v>
      </c>
      <c r="K91" s="252">
        <f t="shared" si="9"/>
        <v>2069.7649999999999</v>
      </c>
      <c r="L91" s="88" t="s">
        <v>83</v>
      </c>
      <c r="M91" s="87"/>
    </row>
    <row r="92" spans="1:13" s="65" customFormat="1" ht="11.25" hidden="1" x14ac:dyDescent="0.2">
      <c r="A92" s="145">
        <f>SUM(A89:A91)</f>
        <v>8.85</v>
      </c>
      <c r="B92" s="145"/>
      <c r="C92" s="86"/>
      <c r="D92" s="144">
        <f>SUM(D89:D91)</f>
        <v>2965.7919999999999</v>
      </c>
      <c r="E92" s="145">
        <f>SUM(E89:E91)</f>
        <v>193.69481999999999</v>
      </c>
      <c r="F92" s="195"/>
      <c r="G92" s="195"/>
      <c r="H92" s="195"/>
      <c r="I92" s="195"/>
      <c r="J92" s="144">
        <f>SUM(J89:J91)</f>
        <v>2871.7939999999999</v>
      </c>
      <c r="K92" s="252">
        <f t="shared" si="9"/>
        <v>6040.1308200000003</v>
      </c>
      <c r="L92" s="88" t="s">
        <v>54</v>
      </c>
      <c r="M92" s="87"/>
    </row>
    <row r="93" spans="1:13" s="65" customFormat="1" ht="11.25" hidden="1" x14ac:dyDescent="0.2">
      <c r="A93" s="145">
        <v>0.26</v>
      </c>
      <c r="B93" s="145"/>
      <c r="C93" s="86"/>
      <c r="D93" s="144">
        <v>923.46100000000001</v>
      </c>
      <c r="E93" s="145">
        <v>54.974930000000001</v>
      </c>
      <c r="F93" s="195"/>
      <c r="G93" s="195"/>
      <c r="H93" s="195"/>
      <c r="I93" s="195"/>
      <c r="J93" s="144">
        <v>1074.9369999999999</v>
      </c>
      <c r="K93" s="252">
        <f t="shared" si="9"/>
        <v>2053.6329300000002</v>
      </c>
      <c r="L93" s="88" t="s">
        <v>85</v>
      </c>
      <c r="M93" s="87"/>
    </row>
    <row r="94" spans="1:13" s="65" customFormat="1" ht="11.25" hidden="1" x14ac:dyDescent="0.2">
      <c r="A94" s="145">
        <v>0.221</v>
      </c>
      <c r="B94" s="145"/>
      <c r="C94" s="86"/>
      <c r="D94" s="144">
        <v>1040.585</v>
      </c>
      <c r="E94" s="144">
        <v>66.744</v>
      </c>
      <c r="F94" s="195"/>
      <c r="G94" s="195"/>
      <c r="H94" s="195"/>
      <c r="I94" s="195"/>
      <c r="J94" s="144">
        <v>1066.652</v>
      </c>
      <c r="K94" s="252">
        <f t="shared" si="9"/>
        <v>2174.2019999999998</v>
      </c>
      <c r="L94" s="88" t="s">
        <v>86</v>
      </c>
      <c r="M94" s="87"/>
    </row>
    <row r="95" spans="1:13" s="65" customFormat="1" ht="11.25" hidden="1" x14ac:dyDescent="0.2">
      <c r="A95" s="145">
        <v>0.23499999999999999</v>
      </c>
      <c r="B95" s="145"/>
      <c r="C95" s="86"/>
      <c r="D95" s="144">
        <v>725.90200000000004</v>
      </c>
      <c r="E95" s="144">
        <v>49.436</v>
      </c>
      <c r="F95" s="195"/>
      <c r="G95" s="195"/>
      <c r="H95" s="195"/>
      <c r="I95" s="195"/>
      <c r="J95" s="144">
        <v>1011.028</v>
      </c>
      <c r="K95" s="252">
        <f t="shared" si="9"/>
        <v>1786.6009999999999</v>
      </c>
      <c r="L95" s="88" t="s">
        <v>87</v>
      </c>
      <c r="M95" s="87"/>
    </row>
    <row r="96" spans="1:13" s="65" customFormat="1" ht="11.25" hidden="1" x14ac:dyDescent="0.2">
      <c r="A96" s="145">
        <f>SUM(A93:A95)</f>
        <v>0.71599999999999997</v>
      </c>
      <c r="B96" s="145"/>
      <c r="C96" s="86"/>
      <c r="D96" s="144">
        <f>SUM(D93:D95)</f>
        <v>2689.9480000000003</v>
      </c>
      <c r="E96" s="144">
        <f>SUM(E93:E95)</f>
        <v>171.15493000000001</v>
      </c>
      <c r="F96" s="195"/>
      <c r="G96" s="195"/>
      <c r="H96" s="195"/>
      <c r="I96" s="195"/>
      <c r="J96" s="144">
        <f>SUM(J93:J95)</f>
        <v>3152.6170000000002</v>
      </c>
      <c r="K96" s="252">
        <f t="shared" si="9"/>
        <v>6014.4359300000015</v>
      </c>
      <c r="L96" s="88" t="s">
        <v>55</v>
      </c>
      <c r="M96" s="87"/>
    </row>
    <row r="97" spans="1:13" s="65" customFormat="1" ht="11.25" hidden="1" x14ac:dyDescent="0.2">
      <c r="A97" s="145">
        <v>4.9470000000000001</v>
      </c>
      <c r="B97" s="145"/>
      <c r="C97" s="86"/>
      <c r="D97" s="144">
        <v>996.31700000000001</v>
      </c>
      <c r="E97" s="144">
        <v>67.763239999999996</v>
      </c>
      <c r="F97" s="195"/>
      <c r="G97" s="195"/>
      <c r="H97" s="195"/>
      <c r="I97" s="195"/>
      <c r="J97" s="144">
        <v>1074.0616</v>
      </c>
      <c r="K97" s="252">
        <f t="shared" si="9"/>
        <v>2143.0888400000003</v>
      </c>
      <c r="L97" s="88" t="s">
        <v>89</v>
      </c>
      <c r="M97" s="87"/>
    </row>
    <row r="98" spans="1:13" s="65" customFormat="1" ht="11.25" hidden="1" x14ac:dyDescent="0.2">
      <c r="A98" s="145">
        <v>14.884</v>
      </c>
      <c r="B98" s="145"/>
      <c r="C98" s="86"/>
      <c r="D98" s="144">
        <v>885.71400000000006</v>
      </c>
      <c r="E98" s="144">
        <v>78.908000000000001</v>
      </c>
      <c r="F98" s="195"/>
      <c r="G98" s="195"/>
      <c r="H98" s="195"/>
      <c r="I98" s="195"/>
      <c r="J98" s="144">
        <v>1063.9052999999999</v>
      </c>
      <c r="K98" s="252">
        <f t="shared" si="9"/>
        <v>2043.4112999999998</v>
      </c>
      <c r="L98" s="88" t="s">
        <v>90</v>
      </c>
      <c r="M98" s="87"/>
    </row>
    <row r="99" spans="1:13" s="65" customFormat="1" ht="11.25" hidden="1" x14ac:dyDescent="0.2">
      <c r="A99" s="145">
        <v>13.252000000000001</v>
      </c>
      <c r="B99" s="145"/>
      <c r="C99" s="86"/>
      <c r="D99" s="144">
        <v>951.01700000000005</v>
      </c>
      <c r="E99" s="144">
        <v>72.152529999999999</v>
      </c>
      <c r="F99" s="195"/>
      <c r="G99" s="195"/>
      <c r="H99" s="195"/>
      <c r="I99" s="195"/>
      <c r="J99" s="144">
        <v>1092.3425999999999</v>
      </c>
      <c r="K99" s="252">
        <f t="shared" si="9"/>
        <v>2128.76413</v>
      </c>
      <c r="L99" s="88" t="s">
        <v>91</v>
      </c>
      <c r="M99" s="87"/>
    </row>
    <row r="100" spans="1:13" s="65" customFormat="1" ht="11.25" hidden="1" x14ac:dyDescent="0.2">
      <c r="A100" s="145">
        <f>SUM(A97:A99)</f>
        <v>33.082999999999998</v>
      </c>
      <c r="B100" s="145"/>
      <c r="C100" s="86"/>
      <c r="D100" s="144">
        <f>SUM(D97:D99)</f>
        <v>2833.0479999999998</v>
      </c>
      <c r="E100" s="144">
        <f>SUM(E97:E99)</f>
        <v>218.82377000000002</v>
      </c>
      <c r="F100" s="195"/>
      <c r="G100" s="195"/>
      <c r="H100" s="195"/>
      <c r="I100" s="195"/>
      <c r="J100" s="144">
        <f>SUM(J97:J99)</f>
        <v>3230.3094999999998</v>
      </c>
      <c r="K100" s="252">
        <f t="shared" si="9"/>
        <v>6315.2642699999988</v>
      </c>
      <c r="L100" s="88" t="s">
        <v>56</v>
      </c>
      <c r="M100" s="87"/>
    </row>
    <row r="101" spans="1:13" s="65" customFormat="1" ht="11.25" hidden="1" x14ac:dyDescent="0.2">
      <c r="A101" s="145"/>
      <c r="B101" s="145"/>
      <c r="C101" s="86"/>
      <c r="D101" s="144"/>
      <c r="E101" s="144"/>
      <c r="F101" s="195"/>
      <c r="G101" s="195"/>
      <c r="H101" s="195"/>
      <c r="I101" s="195"/>
      <c r="J101" s="144"/>
      <c r="K101" s="252"/>
      <c r="L101" s="88"/>
      <c r="M101" s="87"/>
    </row>
    <row r="102" spans="1:13" s="65" customFormat="1" ht="11.25" hidden="1" x14ac:dyDescent="0.2">
      <c r="A102" s="145">
        <v>12.7942</v>
      </c>
      <c r="B102" s="145"/>
      <c r="C102" s="86"/>
      <c r="D102" s="144">
        <v>932.99860000000001</v>
      </c>
      <c r="E102" s="144">
        <v>82.436000000000007</v>
      </c>
      <c r="F102" s="195"/>
      <c r="G102" s="195"/>
      <c r="H102" s="195"/>
      <c r="I102" s="195"/>
      <c r="J102" s="144">
        <v>902.80460000000005</v>
      </c>
      <c r="K102" s="252">
        <f t="shared" ref="K102:K117" si="10">J102+E102+D102+A102</f>
        <v>1931.0334</v>
      </c>
      <c r="L102" s="88" t="s">
        <v>78</v>
      </c>
      <c r="M102" s="87">
        <v>2011</v>
      </c>
    </row>
    <row r="103" spans="1:13" s="65" customFormat="1" ht="11.25" hidden="1" x14ac:dyDescent="0.2">
      <c r="A103" s="145">
        <v>14.125999999999999</v>
      </c>
      <c r="B103" s="145"/>
      <c r="C103" s="86"/>
      <c r="D103" s="144">
        <v>1006.2698</v>
      </c>
      <c r="E103" s="144">
        <v>73.877399999999994</v>
      </c>
      <c r="F103" s="195"/>
      <c r="G103" s="195"/>
      <c r="H103" s="195"/>
      <c r="I103" s="195"/>
      <c r="J103" s="144">
        <v>970.58029999999997</v>
      </c>
      <c r="K103" s="252">
        <f t="shared" si="10"/>
        <v>2064.8535000000002</v>
      </c>
      <c r="L103" s="88" t="s">
        <v>79</v>
      </c>
      <c r="M103" s="87"/>
    </row>
    <row r="104" spans="1:13" s="65" customFormat="1" ht="11.25" hidden="1" x14ac:dyDescent="0.2">
      <c r="A104" s="145">
        <v>13.27</v>
      </c>
      <c r="B104" s="145"/>
      <c r="C104" s="86"/>
      <c r="D104" s="144">
        <v>1076.3653999999999</v>
      </c>
      <c r="E104" s="144">
        <v>79.962000000000003</v>
      </c>
      <c r="F104" s="195"/>
      <c r="G104" s="195"/>
      <c r="H104" s="195"/>
      <c r="I104" s="195"/>
      <c r="J104" s="144">
        <v>1114.5954999999999</v>
      </c>
      <c r="K104" s="252">
        <f t="shared" si="10"/>
        <v>2284.1928999999996</v>
      </c>
      <c r="L104" s="88" t="s">
        <v>80</v>
      </c>
      <c r="M104" s="87"/>
    </row>
    <row r="105" spans="1:13" s="65" customFormat="1" ht="11.25" hidden="1" x14ac:dyDescent="0.2">
      <c r="A105" s="145">
        <f>SUM(A102:A104)</f>
        <v>40.190200000000004</v>
      </c>
      <c r="B105" s="145"/>
      <c r="C105" s="86"/>
      <c r="D105" s="144">
        <f>SUM(D102:D104)</f>
        <v>3015.6337999999996</v>
      </c>
      <c r="E105" s="144">
        <f>SUM(E102:E104)</f>
        <v>236.27539999999999</v>
      </c>
      <c r="F105" s="195"/>
      <c r="G105" s="195"/>
      <c r="H105" s="195"/>
      <c r="I105" s="195"/>
      <c r="J105" s="144">
        <f>SUM(J102:J104)</f>
        <v>2987.9803999999999</v>
      </c>
      <c r="K105" s="252">
        <f t="shared" si="10"/>
        <v>6280.0797999999995</v>
      </c>
      <c r="L105" s="88" t="s">
        <v>53</v>
      </c>
      <c r="M105" s="87">
        <v>2011</v>
      </c>
    </row>
    <row r="106" spans="1:13" s="65" customFormat="1" ht="11.25" hidden="1" x14ac:dyDescent="0.2">
      <c r="A106" s="145">
        <v>11.606999999999999</v>
      </c>
      <c r="B106" s="145"/>
      <c r="C106" s="86"/>
      <c r="D106" s="144">
        <v>953.62099999999998</v>
      </c>
      <c r="E106" s="144">
        <v>62.813000000000002</v>
      </c>
      <c r="F106" s="195"/>
      <c r="G106" s="195"/>
      <c r="H106" s="195"/>
      <c r="I106" s="195"/>
      <c r="J106" s="144">
        <v>1001.9959</v>
      </c>
      <c r="K106" s="252">
        <f t="shared" si="10"/>
        <v>2030.0369000000001</v>
      </c>
      <c r="L106" s="88" t="s">
        <v>68</v>
      </c>
      <c r="M106" s="87"/>
    </row>
    <row r="107" spans="1:13" s="65" customFormat="1" ht="11.25" hidden="1" x14ac:dyDescent="0.2">
      <c r="A107" s="145">
        <v>12.587999999999999</v>
      </c>
      <c r="B107" s="145"/>
      <c r="C107" s="86"/>
      <c r="D107" s="144">
        <v>985.60310000000004</v>
      </c>
      <c r="E107" s="144">
        <v>115.36</v>
      </c>
      <c r="F107" s="195"/>
      <c r="G107" s="195"/>
      <c r="H107" s="195"/>
      <c r="I107" s="195"/>
      <c r="J107" s="144">
        <v>1152.5658000000001</v>
      </c>
      <c r="K107" s="252">
        <f t="shared" si="10"/>
        <v>2266.1169000000004</v>
      </c>
      <c r="L107" s="88" t="s">
        <v>82</v>
      </c>
      <c r="M107" s="87"/>
    </row>
    <row r="108" spans="1:13" s="65" customFormat="1" ht="11.25" hidden="1" x14ac:dyDescent="0.2">
      <c r="A108" s="145">
        <v>17.2607</v>
      </c>
      <c r="B108" s="145"/>
      <c r="C108" s="86"/>
      <c r="D108" s="144">
        <v>964.68399999999997</v>
      </c>
      <c r="E108" s="144">
        <v>95.238</v>
      </c>
      <c r="F108" s="195"/>
      <c r="G108" s="195"/>
      <c r="H108" s="195"/>
      <c r="I108" s="195"/>
      <c r="J108" s="144">
        <v>1062.7942</v>
      </c>
      <c r="K108" s="252">
        <f t="shared" si="10"/>
        <v>2139.9768999999997</v>
      </c>
      <c r="L108" s="88" t="s">
        <v>83</v>
      </c>
      <c r="M108" s="87"/>
    </row>
    <row r="109" spans="1:13" s="65" customFormat="1" ht="11.25" hidden="1" x14ac:dyDescent="0.2">
      <c r="A109" s="145">
        <f>SUM(A106:A108)</f>
        <v>41.4557</v>
      </c>
      <c r="B109" s="145"/>
      <c r="C109" s="86"/>
      <c r="D109" s="144">
        <f>SUM(D106:D108)</f>
        <v>2903.9080999999996</v>
      </c>
      <c r="E109" s="144">
        <f>SUM(E106:E108)</f>
        <v>273.411</v>
      </c>
      <c r="F109" s="195"/>
      <c r="G109" s="195"/>
      <c r="H109" s="195"/>
      <c r="I109" s="195"/>
      <c r="J109" s="144">
        <f>SUM(J106:J108)</f>
        <v>3217.3559000000005</v>
      </c>
      <c r="K109" s="252">
        <f t="shared" si="10"/>
        <v>6436.1307000000006</v>
      </c>
      <c r="L109" s="88" t="s">
        <v>54</v>
      </c>
      <c r="M109" s="87"/>
    </row>
    <row r="110" spans="1:13" s="65" customFormat="1" ht="11.25" hidden="1" x14ac:dyDescent="0.2">
      <c r="A110" s="145">
        <v>15.834</v>
      </c>
      <c r="B110" s="145"/>
      <c r="C110" s="86"/>
      <c r="D110" s="144">
        <v>1040.6796999999999</v>
      </c>
      <c r="E110" s="144">
        <v>71.861000000000004</v>
      </c>
      <c r="F110" s="195"/>
      <c r="G110" s="195"/>
      <c r="H110" s="195"/>
      <c r="I110" s="195"/>
      <c r="J110" s="144">
        <v>1026.5406</v>
      </c>
      <c r="K110" s="252">
        <f t="shared" si="10"/>
        <v>2154.9152999999997</v>
      </c>
      <c r="L110" s="88" t="s">
        <v>85</v>
      </c>
      <c r="M110" s="87"/>
    </row>
    <row r="111" spans="1:13" s="65" customFormat="1" ht="11.25" hidden="1" x14ac:dyDescent="0.2">
      <c r="A111" s="145">
        <v>18.038</v>
      </c>
      <c r="B111" s="145"/>
      <c r="C111" s="86"/>
      <c r="D111" s="144">
        <v>1177.5415</v>
      </c>
      <c r="E111" s="144">
        <v>106.24299999999999</v>
      </c>
      <c r="F111" s="195"/>
      <c r="G111" s="195"/>
      <c r="H111" s="195"/>
      <c r="I111" s="195"/>
      <c r="J111" s="144">
        <v>1119.9576</v>
      </c>
      <c r="K111" s="252">
        <f t="shared" si="10"/>
        <v>2421.7800999999999</v>
      </c>
      <c r="L111" s="88" t="s">
        <v>86</v>
      </c>
      <c r="M111" s="87"/>
    </row>
    <row r="112" spans="1:13" s="65" customFormat="1" ht="11.25" hidden="1" x14ac:dyDescent="0.2">
      <c r="A112" s="145">
        <v>12.308999999999999</v>
      </c>
      <c r="B112" s="145"/>
      <c r="C112" s="86"/>
      <c r="D112" s="144">
        <v>920.36339999999996</v>
      </c>
      <c r="E112" s="144">
        <v>58.637</v>
      </c>
      <c r="F112" s="195"/>
      <c r="G112" s="195"/>
      <c r="H112" s="195"/>
      <c r="I112" s="195"/>
      <c r="J112" s="144">
        <v>838.41800000000001</v>
      </c>
      <c r="K112" s="252">
        <f t="shared" si="10"/>
        <v>1829.7274</v>
      </c>
      <c r="L112" s="88" t="s">
        <v>87</v>
      </c>
      <c r="M112" s="87"/>
    </row>
    <row r="113" spans="1:13" s="65" customFormat="1" ht="11.25" hidden="1" x14ac:dyDescent="0.2">
      <c r="A113" s="145">
        <f>SUM(A110:A112)</f>
        <v>46.180999999999997</v>
      </c>
      <c r="B113" s="145"/>
      <c r="C113" s="86"/>
      <c r="D113" s="144">
        <f>SUM(D110:D112)</f>
        <v>3138.5846000000001</v>
      </c>
      <c r="E113" s="144">
        <f>SUM(E110:E112)</f>
        <v>236.74099999999999</v>
      </c>
      <c r="F113" s="195"/>
      <c r="G113" s="195"/>
      <c r="H113" s="195"/>
      <c r="I113" s="195"/>
      <c r="J113" s="144">
        <f>SUM(J110:J112)</f>
        <v>2984.9162000000001</v>
      </c>
      <c r="K113" s="252">
        <f t="shared" si="10"/>
        <v>6406.4227999999994</v>
      </c>
      <c r="L113" s="88" t="s">
        <v>55</v>
      </c>
      <c r="M113" s="87"/>
    </row>
    <row r="114" spans="1:13" s="65" customFormat="1" ht="11.25" hidden="1" x14ac:dyDescent="0.2">
      <c r="A114" s="145">
        <v>13.74</v>
      </c>
      <c r="B114" s="145"/>
      <c r="C114" s="86"/>
      <c r="D114" s="144">
        <v>987.70690000000002</v>
      </c>
      <c r="E114" s="144">
        <v>115.9</v>
      </c>
      <c r="F114" s="195"/>
      <c r="G114" s="195"/>
      <c r="H114" s="195"/>
      <c r="I114" s="195"/>
      <c r="J114" s="144">
        <v>1140.2193</v>
      </c>
      <c r="K114" s="252">
        <f t="shared" si="10"/>
        <v>2257.5661999999998</v>
      </c>
      <c r="L114" s="88" t="s">
        <v>89</v>
      </c>
      <c r="M114" s="87"/>
    </row>
    <row r="115" spans="1:13" s="65" customFormat="1" ht="11.25" hidden="1" x14ac:dyDescent="0.2">
      <c r="A115" s="145">
        <v>11.185</v>
      </c>
      <c r="B115" s="145"/>
      <c r="C115" s="86"/>
      <c r="D115" s="144">
        <v>974.16240000000005</v>
      </c>
      <c r="E115" s="144">
        <v>79.504999999999995</v>
      </c>
      <c r="F115" s="195"/>
      <c r="G115" s="195"/>
      <c r="H115" s="195"/>
      <c r="I115" s="195"/>
      <c r="J115" s="144">
        <v>1092.2075</v>
      </c>
      <c r="K115" s="252">
        <f t="shared" si="10"/>
        <v>2157.0599000000002</v>
      </c>
      <c r="L115" s="88" t="s">
        <v>90</v>
      </c>
      <c r="M115" s="87"/>
    </row>
    <row r="116" spans="1:13" s="65" customFormat="1" ht="11.25" hidden="1" x14ac:dyDescent="0.2">
      <c r="A116" s="145">
        <v>8.3729999999999993</v>
      </c>
      <c r="B116" s="145"/>
      <c r="C116" s="86"/>
      <c r="D116" s="144">
        <v>970.76490000000001</v>
      </c>
      <c r="E116" s="144">
        <v>58.957000000000001</v>
      </c>
      <c r="F116" s="195"/>
      <c r="G116" s="195"/>
      <c r="H116" s="195"/>
      <c r="I116" s="195"/>
      <c r="J116" s="144">
        <v>908.30949999999996</v>
      </c>
      <c r="K116" s="252">
        <f t="shared" si="10"/>
        <v>1946.4043999999999</v>
      </c>
      <c r="L116" s="88" t="s">
        <v>91</v>
      </c>
      <c r="M116" s="87"/>
    </row>
    <row r="117" spans="1:13" s="65" customFormat="1" ht="11.25" hidden="1" x14ac:dyDescent="0.2">
      <c r="A117" s="145">
        <f>SUM(A114:A116)</f>
        <v>33.298000000000002</v>
      </c>
      <c r="B117" s="145"/>
      <c r="C117" s="86"/>
      <c r="D117" s="144">
        <f>SUM(D114:D116)</f>
        <v>2932.6342</v>
      </c>
      <c r="E117" s="144">
        <f>SUM(E114:E116)</f>
        <v>254.36199999999999</v>
      </c>
      <c r="F117" s="195"/>
      <c r="G117" s="195"/>
      <c r="H117" s="195"/>
      <c r="I117" s="195"/>
      <c r="J117" s="144">
        <f>SUM(J114:J116)</f>
        <v>3140.7363</v>
      </c>
      <c r="K117" s="252">
        <f t="shared" si="10"/>
        <v>6361.0304999999998</v>
      </c>
      <c r="L117" s="88" t="s">
        <v>56</v>
      </c>
      <c r="M117" s="87"/>
    </row>
    <row r="118" spans="1:13" s="65" customFormat="1" ht="11.25" hidden="1" x14ac:dyDescent="0.2">
      <c r="A118" s="154"/>
      <c r="B118" s="154"/>
      <c r="C118" s="86"/>
      <c r="D118" s="153"/>
      <c r="E118" s="154"/>
      <c r="F118" s="195"/>
      <c r="G118" s="195"/>
      <c r="H118" s="195"/>
      <c r="I118" s="195"/>
      <c r="J118" s="153"/>
      <c r="K118" s="252"/>
      <c r="L118" s="88"/>
      <c r="M118" s="87"/>
    </row>
    <row r="119" spans="1:13" s="65" customFormat="1" ht="11.25" hidden="1" x14ac:dyDescent="0.2">
      <c r="A119" s="145">
        <v>5.4269999999999996</v>
      </c>
      <c r="B119" s="145"/>
      <c r="C119" s="86"/>
      <c r="D119" s="144">
        <v>1110.2308</v>
      </c>
      <c r="E119" s="144">
        <v>86.066000000000003</v>
      </c>
      <c r="F119" s="195"/>
      <c r="G119" s="195"/>
      <c r="H119" s="195"/>
      <c r="I119" s="195"/>
      <c r="J119" s="144">
        <v>1141.8406</v>
      </c>
      <c r="K119" s="252">
        <f t="shared" ref="K119:K134" si="11">J119+E119+D119+A119</f>
        <v>2343.5644000000002</v>
      </c>
      <c r="L119" s="88" t="s">
        <v>78</v>
      </c>
      <c r="M119" s="87">
        <v>2012</v>
      </c>
    </row>
    <row r="120" spans="1:13" s="65" customFormat="1" ht="11.25" hidden="1" x14ac:dyDescent="0.2">
      <c r="A120" s="145">
        <v>8.718</v>
      </c>
      <c r="B120" s="145"/>
      <c r="C120" s="86"/>
      <c r="D120" s="144">
        <v>841.04970000000003</v>
      </c>
      <c r="E120" s="144">
        <v>59.585999999999999</v>
      </c>
      <c r="F120" s="195"/>
      <c r="G120" s="195"/>
      <c r="H120" s="195"/>
      <c r="I120" s="195"/>
      <c r="J120" s="144">
        <v>893.78689999999995</v>
      </c>
      <c r="K120" s="252">
        <f t="shared" si="11"/>
        <v>1803.1405999999999</v>
      </c>
      <c r="L120" s="88" t="s">
        <v>79</v>
      </c>
      <c r="M120" s="87"/>
    </row>
    <row r="121" spans="1:13" s="65" customFormat="1" ht="11.25" hidden="1" x14ac:dyDescent="0.2">
      <c r="A121" s="145">
        <v>6.8129999999999997</v>
      </c>
      <c r="B121" s="145"/>
      <c r="C121" s="86"/>
      <c r="D121" s="144">
        <v>991.73810000000003</v>
      </c>
      <c r="E121" s="144">
        <v>128.673</v>
      </c>
      <c r="F121" s="195"/>
      <c r="G121" s="195"/>
      <c r="H121" s="195"/>
      <c r="I121" s="195"/>
      <c r="J121" s="144">
        <v>1249.4070999999999</v>
      </c>
      <c r="K121" s="252">
        <f t="shared" si="11"/>
        <v>2376.6311999999998</v>
      </c>
      <c r="L121" s="88" t="s">
        <v>80</v>
      </c>
      <c r="M121" s="87"/>
    </row>
    <row r="122" spans="1:13" s="65" customFormat="1" ht="10.5" hidden="1" customHeight="1" x14ac:dyDescent="0.2">
      <c r="A122" s="145">
        <f>SUM(A119:A121)</f>
        <v>20.957999999999998</v>
      </c>
      <c r="B122" s="145"/>
      <c r="C122" s="86"/>
      <c r="D122" s="144">
        <f>SUM(D119:D121)</f>
        <v>2943.0186000000003</v>
      </c>
      <c r="E122" s="144">
        <f>SUM(E119:E121)</f>
        <v>274.32499999999999</v>
      </c>
      <c r="F122" s="195"/>
      <c r="G122" s="195"/>
      <c r="H122" s="195"/>
      <c r="I122" s="195"/>
      <c r="J122" s="144">
        <f>SUM(J119:J121)</f>
        <v>3285.0346</v>
      </c>
      <c r="K122" s="252">
        <f t="shared" si="11"/>
        <v>6523.3361999999997</v>
      </c>
      <c r="L122" s="88" t="s">
        <v>53</v>
      </c>
      <c r="M122" s="87">
        <v>2012</v>
      </c>
    </row>
    <row r="123" spans="1:13" s="65" customFormat="1" ht="11.25" hidden="1" x14ac:dyDescent="0.2">
      <c r="A123" s="145">
        <v>10.76</v>
      </c>
      <c r="B123" s="145"/>
      <c r="C123" s="86"/>
      <c r="D123" s="144">
        <v>1047.5354</v>
      </c>
      <c r="E123" s="144">
        <v>109.991</v>
      </c>
      <c r="F123" s="195"/>
      <c r="G123" s="195"/>
      <c r="H123" s="195"/>
      <c r="I123" s="195"/>
      <c r="J123" s="144">
        <v>1175.2405000000001</v>
      </c>
      <c r="K123" s="252">
        <f t="shared" si="11"/>
        <v>2343.5269000000003</v>
      </c>
      <c r="L123" s="88" t="s">
        <v>68</v>
      </c>
      <c r="M123" s="87"/>
    </row>
    <row r="124" spans="1:13" s="65" customFormat="1" ht="11.25" hidden="1" x14ac:dyDescent="0.2">
      <c r="A124" s="145">
        <v>7.915</v>
      </c>
      <c r="B124" s="145"/>
      <c r="C124" s="86"/>
      <c r="D124" s="144">
        <v>1167.8181999999999</v>
      </c>
      <c r="E124" s="144">
        <v>109.63200000000001</v>
      </c>
      <c r="F124" s="195"/>
      <c r="G124" s="195"/>
      <c r="H124" s="195"/>
      <c r="I124" s="195"/>
      <c r="J124" s="144">
        <v>1257.5202999999999</v>
      </c>
      <c r="K124" s="252">
        <f t="shared" si="11"/>
        <v>2542.8854999999999</v>
      </c>
      <c r="L124" s="88" t="s">
        <v>82</v>
      </c>
      <c r="M124" s="87"/>
    </row>
    <row r="125" spans="1:13" s="65" customFormat="1" ht="11.25" hidden="1" x14ac:dyDescent="0.2">
      <c r="A125" s="145">
        <v>12.571999999999999</v>
      </c>
      <c r="B125" s="145"/>
      <c r="C125" s="86"/>
      <c r="D125" s="144">
        <v>1003.5314</v>
      </c>
      <c r="E125" s="144">
        <v>116.89</v>
      </c>
      <c r="F125" s="195"/>
      <c r="G125" s="195"/>
      <c r="H125" s="195"/>
      <c r="I125" s="195"/>
      <c r="J125" s="144">
        <v>1004.7742</v>
      </c>
      <c r="K125" s="252">
        <f t="shared" si="11"/>
        <v>2137.7676000000001</v>
      </c>
      <c r="L125" s="88" t="s">
        <v>83</v>
      </c>
      <c r="M125" s="87"/>
    </row>
    <row r="126" spans="1:13" s="65" customFormat="1" ht="11.25" hidden="1" x14ac:dyDescent="0.2">
      <c r="A126" s="145">
        <f>SUM(A123:A125)</f>
        <v>31.247</v>
      </c>
      <c r="B126" s="145"/>
      <c r="C126" s="86"/>
      <c r="D126" s="144">
        <f>SUM(D123:D125)</f>
        <v>3218.8849999999998</v>
      </c>
      <c r="E126" s="144">
        <f>SUM(E123:E125)</f>
        <v>336.51299999999998</v>
      </c>
      <c r="F126" s="195"/>
      <c r="G126" s="195"/>
      <c r="H126" s="195"/>
      <c r="I126" s="195"/>
      <c r="J126" s="144">
        <f>SUM(J123:J125)</f>
        <v>3437.5349999999999</v>
      </c>
      <c r="K126" s="252">
        <f t="shared" si="11"/>
        <v>7024.1799999999994</v>
      </c>
      <c r="L126" s="88" t="s">
        <v>54</v>
      </c>
      <c r="M126" s="87"/>
    </row>
    <row r="127" spans="1:13" s="65" customFormat="1" ht="11.25" hidden="1" x14ac:dyDescent="0.2">
      <c r="A127" s="145">
        <v>10.792</v>
      </c>
      <c r="B127" s="145"/>
      <c r="C127" s="86"/>
      <c r="D127" s="144">
        <v>1190.3945000000001</v>
      </c>
      <c r="E127" s="144">
        <v>154.29400000000001</v>
      </c>
      <c r="F127" s="195"/>
      <c r="G127" s="195"/>
      <c r="H127" s="195"/>
      <c r="I127" s="195"/>
      <c r="J127" s="144">
        <v>1115.6078</v>
      </c>
      <c r="K127" s="252">
        <f t="shared" si="11"/>
        <v>2471.0882999999999</v>
      </c>
      <c r="L127" s="88" t="s">
        <v>85</v>
      </c>
      <c r="M127" s="87"/>
    </row>
    <row r="128" spans="1:13" s="65" customFormat="1" ht="11.25" hidden="1" x14ac:dyDescent="0.2">
      <c r="A128" s="145">
        <v>2.4820000000000002</v>
      </c>
      <c r="B128" s="145"/>
      <c r="C128" s="86"/>
      <c r="D128" s="144">
        <v>1230.6013</v>
      </c>
      <c r="E128" s="144">
        <v>105.051</v>
      </c>
      <c r="F128" s="195"/>
      <c r="G128" s="195"/>
      <c r="H128" s="195"/>
      <c r="I128" s="195"/>
      <c r="J128" s="144">
        <v>1238.8322000000001</v>
      </c>
      <c r="K128" s="252">
        <f t="shared" si="11"/>
        <v>2576.9665</v>
      </c>
      <c r="L128" s="88" t="s">
        <v>86</v>
      </c>
      <c r="M128" s="87"/>
    </row>
    <row r="129" spans="1:13" s="65" customFormat="1" ht="11.25" hidden="1" x14ac:dyDescent="0.2">
      <c r="A129" s="145">
        <v>10.173999999999999</v>
      </c>
      <c r="B129" s="145"/>
      <c r="C129" s="86"/>
      <c r="D129" s="144">
        <v>878.83929999999998</v>
      </c>
      <c r="E129" s="144">
        <v>89.108000000000004</v>
      </c>
      <c r="F129" s="195"/>
      <c r="G129" s="195"/>
      <c r="H129" s="195"/>
      <c r="I129" s="195"/>
      <c r="J129" s="144">
        <v>1031.7109</v>
      </c>
      <c r="K129" s="252">
        <f t="shared" si="11"/>
        <v>2009.8321999999998</v>
      </c>
      <c r="L129" s="88" t="s">
        <v>87</v>
      </c>
      <c r="M129" s="87"/>
    </row>
    <row r="130" spans="1:13" s="65" customFormat="1" ht="11.25" hidden="1" x14ac:dyDescent="0.2">
      <c r="A130" s="145">
        <f>SUM(A127:A129)</f>
        <v>23.448</v>
      </c>
      <c r="B130" s="145"/>
      <c r="C130" s="86"/>
      <c r="D130" s="144">
        <f>SUM(D127:D129)</f>
        <v>3299.8351000000002</v>
      </c>
      <c r="E130" s="144">
        <f>SUM(E127:E129)</f>
        <v>348.45300000000003</v>
      </c>
      <c r="F130" s="195"/>
      <c r="G130" s="195"/>
      <c r="H130" s="195"/>
      <c r="I130" s="195"/>
      <c r="J130" s="144">
        <f>SUM(J127:J129)</f>
        <v>3386.1509000000001</v>
      </c>
      <c r="K130" s="252">
        <f t="shared" si="11"/>
        <v>7057.8870000000006</v>
      </c>
      <c r="L130" s="88" t="s">
        <v>55</v>
      </c>
      <c r="M130" s="87"/>
    </row>
    <row r="131" spans="1:13" s="65" customFormat="1" ht="11.25" hidden="1" x14ac:dyDescent="0.2">
      <c r="A131" s="145">
        <v>8.9770000000000003</v>
      </c>
      <c r="B131" s="145"/>
      <c r="C131" s="86"/>
      <c r="D131" s="144">
        <v>1094.6595</v>
      </c>
      <c r="E131" s="144">
        <v>106.342</v>
      </c>
      <c r="F131" s="195"/>
      <c r="G131" s="195"/>
      <c r="H131" s="195"/>
      <c r="I131" s="195"/>
      <c r="J131" s="144">
        <v>1086.5582999999999</v>
      </c>
      <c r="K131" s="252">
        <f t="shared" si="11"/>
        <v>2296.5367999999999</v>
      </c>
      <c r="L131" s="88" t="s">
        <v>89</v>
      </c>
      <c r="M131" s="87"/>
    </row>
    <row r="132" spans="1:13" s="65" customFormat="1" ht="11.25" hidden="1" x14ac:dyDescent="0.2">
      <c r="A132" s="145">
        <v>7.3159999999999998</v>
      </c>
      <c r="B132" s="145"/>
      <c r="C132" s="86"/>
      <c r="D132" s="144">
        <v>878.85550000000001</v>
      </c>
      <c r="E132" s="144">
        <v>95.090999999999994</v>
      </c>
      <c r="F132" s="195"/>
      <c r="G132" s="195"/>
      <c r="H132" s="195"/>
      <c r="I132" s="195"/>
      <c r="J132" s="144">
        <v>976.27710000000002</v>
      </c>
      <c r="K132" s="252">
        <f t="shared" si="11"/>
        <v>1957.5395999999998</v>
      </c>
      <c r="L132" s="88" t="s">
        <v>90</v>
      </c>
      <c r="M132" s="87"/>
    </row>
    <row r="133" spans="1:13" s="65" customFormat="1" ht="11.25" hidden="1" x14ac:dyDescent="0.2">
      <c r="A133" s="145">
        <v>13.624000000000001</v>
      </c>
      <c r="B133" s="145"/>
      <c r="C133" s="86"/>
      <c r="D133" s="144">
        <v>947.48659999999995</v>
      </c>
      <c r="E133" s="144">
        <v>109.386</v>
      </c>
      <c r="F133" s="195"/>
      <c r="G133" s="195"/>
      <c r="H133" s="195"/>
      <c r="I133" s="195"/>
      <c r="J133" s="144">
        <v>1107.1243999999999</v>
      </c>
      <c r="K133" s="252">
        <f t="shared" si="11"/>
        <v>2177.6209999999996</v>
      </c>
      <c r="L133" s="88" t="s">
        <v>91</v>
      </c>
      <c r="M133" s="87"/>
    </row>
    <row r="134" spans="1:13" s="65" customFormat="1" ht="11.25" hidden="1" x14ac:dyDescent="0.2">
      <c r="A134" s="145">
        <f>SUM(A131:A133)</f>
        <v>29.917000000000002</v>
      </c>
      <c r="B134" s="145"/>
      <c r="C134" s="86"/>
      <c r="D134" s="144">
        <f>SUM(D131:D133)</f>
        <v>2921.0015999999996</v>
      </c>
      <c r="E134" s="144">
        <f>SUM(E131:E133)</f>
        <v>310.81899999999996</v>
      </c>
      <c r="F134" s="195"/>
      <c r="G134" s="195"/>
      <c r="H134" s="195"/>
      <c r="I134" s="195"/>
      <c r="J134" s="144">
        <f>SUM(J131:J133)</f>
        <v>3169.9597999999996</v>
      </c>
      <c r="K134" s="252">
        <f t="shared" si="11"/>
        <v>6431.6974</v>
      </c>
      <c r="L134" s="88" t="s">
        <v>56</v>
      </c>
      <c r="M134" s="87"/>
    </row>
    <row r="135" spans="1:13" s="65" customFormat="1" ht="11.25" hidden="1" x14ac:dyDescent="0.2">
      <c r="A135" s="145"/>
      <c r="B135" s="145"/>
      <c r="C135" s="86"/>
      <c r="D135" s="144"/>
      <c r="E135" s="144"/>
      <c r="F135" s="195"/>
      <c r="G135" s="195"/>
      <c r="H135" s="195"/>
      <c r="I135" s="195"/>
      <c r="J135" s="144"/>
      <c r="K135" s="252"/>
      <c r="L135" s="88"/>
      <c r="M135" s="87"/>
    </row>
    <row r="136" spans="1:13" s="65" customFormat="1" ht="11.25" hidden="1" x14ac:dyDescent="0.2">
      <c r="A136" s="145">
        <v>8.81</v>
      </c>
      <c r="B136" s="145"/>
      <c r="C136" s="86"/>
      <c r="D136" s="144">
        <v>963.50189999999998</v>
      </c>
      <c r="E136" s="144">
        <v>105.068</v>
      </c>
      <c r="F136" s="195"/>
      <c r="G136" s="195"/>
      <c r="H136" s="195"/>
      <c r="I136" s="195"/>
      <c r="J136" s="144">
        <v>1247.7823000000001</v>
      </c>
      <c r="K136" s="252">
        <f t="shared" ref="K136:K151" si="12">J136+E136+D136+A136</f>
        <v>2325.1622000000002</v>
      </c>
      <c r="L136" s="88" t="s">
        <v>78</v>
      </c>
      <c r="M136" s="87">
        <v>2013</v>
      </c>
    </row>
    <row r="137" spans="1:13" s="65" customFormat="1" ht="11.25" hidden="1" x14ac:dyDescent="0.2">
      <c r="A137" s="145">
        <v>7.2556000000000003</v>
      </c>
      <c r="B137" s="145"/>
      <c r="C137" s="86"/>
      <c r="D137" s="144">
        <v>973.40390000000002</v>
      </c>
      <c r="E137" s="144">
        <v>128.41200000000001</v>
      </c>
      <c r="F137" s="195"/>
      <c r="G137" s="195"/>
      <c r="H137" s="195"/>
      <c r="I137" s="195"/>
      <c r="J137" s="144">
        <v>1190.325</v>
      </c>
      <c r="K137" s="252">
        <f t="shared" si="12"/>
        <v>2299.3965000000003</v>
      </c>
      <c r="L137" s="88" t="s">
        <v>79</v>
      </c>
      <c r="M137" s="87"/>
    </row>
    <row r="138" spans="1:13" s="65" customFormat="1" ht="11.25" hidden="1" x14ac:dyDescent="0.2">
      <c r="A138" s="145">
        <v>12.7218</v>
      </c>
      <c r="B138" s="145"/>
      <c r="C138" s="86"/>
      <c r="D138" s="144">
        <v>873.91570000000002</v>
      </c>
      <c r="E138" s="144">
        <v>126.277</v>
      </c>
      <c r="F138" s="195"/>
      <c r="G138" s="195"/>
      <c r="H138" s="195"/>
      <c r="I138" s="195"/>
      <c r="J138" s="144">
        <v>1104.7077999999999</v>
      </c>
      <c r="K138" s="252">
        <f t="shared" si="12"/>
        <v>2117.6222999999995</v>
      </c>
      <c r="L138" s="88" t="s">
        <v>80</v>
      </c>
      <c r="M138" s="87"/>
    </row>
    <row r="139" spans="1:13" s="65" customFormat="1" ht="11.25" hidden="1" x14ac:dyDescent="0.2">
      <c r="A139" s="145">
        <f>SUM(A136:A138)</f>
        <v>28.787399999999998</v>
      </c>
      <c r="B139" s="145"/>
      <c r="C139" s="86"/>
      <c r="D139" s="144">
        <f>SUM(D136:D138)</f>
        <v>2810.8215</v>
      </c>
      <c r="E139" s="144">
        <f>SUM(E136:E138)</f>
        <v>359.75700000000001</v>
      </c>
      <c r="F139" s="195"/>
      <c r="G139" s="195"/>
      <c r="H139" s="195"/>
      <c r="I139" s="195"/>
      <c r="J139" s="144">
        <f>SUM(J136:J138)</f>
        <v>3542.8150999999998</v>
      </c>
      <c r="K139" s="252">
        <f t="shared" si="12"/>
        <v>6742.1809999999996</v>
      </c>
      <c r="L139" s="88" t="s">
        <v>53</v>
      </c>
      <c r="M139" s="87">
        <v>2013</v>
      </c>
    </row>
    <row r="140" spans="1:13" s="65" customFormat="1" ht="11.25" hidden="1" x14ac:dyDescent="0.2">
      <c r="A140" s="145">
        <v>11.062344</v>
      </c>
      <c r="B140" s="145"/>
      <c r="C140" s="86"/>
      <c r="D140" s="144">
        <v>1015.962</v>
      </c>
      <c r="E140" s="144">
        <v>120.58499999999999</v>
      </c>
      <c r="F140" s="195"/>
      <c r="G140" s="195"/>
      <c r="H140" s="195"/>
      <c r="I140" s="195"/>
      <c r="J140" s="144">
        <v>1311.2</v>
      </c>
      <c r="K140" s="252">
        <f t="shared" si="12"/>
        <v>2458.8093440000002</v>
      </c>
      <c r="L140" s="88" t="s">
        <v>68</v>
      </c>
      <c r="M140" s="87"/>
    </row>
    <row r="141" spans="1:13" s="65" customFormat="1" ht="11.25" hidden="1" x14ac:dyDescent="0.2">
      <c r="A141" s="145">
        <v>13.002566</v>
      </c>
      <c r="B141" s="145"/>
      <c r="C141" s="86"/>
      <c r="D141" s="144">
        <v>1053.1223</v>
      </c>
      <c r="E141" s="144">
        <v>127.623</v>
      </c>
      <c r="F141" s="195"/>
      <c r="G141" s="195"/>
      <c r="H141" s="195"/>
      <c r="I141" s="195"/>
      <c r="J141" s="144">
        <v>1275.8511000000001</v>
      </c>
      <c r="K141" s="252">
        <f t="shared" si="12"/>
        <v>2469.5989660000005</v>
      </c>
      <c r="L141" s="88" t="s">
        <v>82</v>
      </c>
      <c r="M141" s="87"/>
    </row>
    <row r="142" spans="1:13" s="65" customFormat="1" ht="11.25" hidden="1" x14ac:dyDescent="0.2">
      <c r="A142" s="145">
        <v>15.85778</v>
      </c>
      <c r="B142" s="145"/>
      <c r="C142" s="86"/>
      <c r="D142" s="144">
        <v>1170.0788</v>
      </c>
      <c r="E142" s="144">
        <v>138.33199999999999</v>
      </c>
      <c r="F142" s="195"/>
      <c r="G142" s="195"/>
      <c r="H142" s="195"/>
      <c r="I142" s="195"/>
      <c r="J142" s="144">
        <v>1122.4104</v>
      </c>
      <c r="K142" s="252">
        <f t="shared" si="12"/>
        <v>2446.6789800000001</v>
      </c>
      <c r="L142" s="88" t="s">
        <v>83</v>
      </c>
      <c r="M142" s="87"/>
    </row>
    <row r="143" spans="1:13" s="65" customFormat="1" ht="11.25" hidden="1" x14ac:dyDescent="0.2">
      <c r="A143" s="145">
        <f>SUM(A140:A142)</f>
        <v>39.922689999999996</v>
      </c>
      <c r="B143" s="145"/>
      <c r="C143" s="86"/>
      <c r="D143" s="144">
        <f>SUM(D140:D142)</f>
        <v>3239.1630999999998</v>
      </c>
      <c r="E143" s="144">
        <f>SUM(E140:E142)</f>
        <v>386.53999999999996</v>
      </c>
      <c r="F143" s="195"/>
      <c r="G143" s="195"/>
      <c r="H143" s="195"/>
      <c r="I143" s="195"/>
      <c r="J143" s="144">
        <f>SUM(J140:J142)</f>
        <v>3709.4615000000003</v>
      </c>
      <c r="K143" s="252">
        <f t="shared" si="12"/>
        <v>7375.0872900000004</v>
      </c>
      <c r="L143" s="88" t="s">
        <v>54</v>
      </c>
      <c r="M143" s="87"/>
    </row>
    <row r="144" spans="1:13" s="65" customFormat="1" ht="11.25" hidden="1" x14ac:dyDescent="0.2">
      <c r="A144" s="145">
        <v>15.28</v>
      </c>
      <c r="B144" s="145"/>
      <c r="C144" s="86"/>
      <c r="D144" s="144">
        <v>1243.9411</v>
      </c>
      <c r="E144" s="144">
        <v>165.095</v>
      </c>
      <c r="F144" s="195"/>
      <c r="G144" s="195"/>
      <c r="H144" s="195"/>
      <c r="I144" s="195"/>
      <c r="J144" s="144">
        <v>1274.5454999999999</v>
      </c>
      <c r="K144" s="252">
        <f t="shared" si="12"/>
        <v>2698.8616000000002</v>
      </c>
      <c r="L144" s="88" t="s">
        <v>85</v>
      </c>
      <c r="M144" s="87"/>
    </row>
    <row r="145" spans="1:13" s="65" customFormat="1" ht="11.25" hidden="1" x14ac:dyDescent="0.2">
      <c r="A145" s="145">
        <v>14.662414999999999</v>
      </c>
      <c r="B145" s="145"/>
      <c r="C145" s="86"/>
      <c r="D145" s="144">
        <v>1104.5461</v>
      </c>
      <c r="E145" s="144">
        <v>183.28800000000001</v>
      </c>
      <c r="F145" s="195"/>
      <c r="G145" s="195"/>
      <c r="H145" s="195"/>
      <c r="I145" s="195"/>
      <c r="J145" s="144">
        <v>1292.8934999999999</v>
      </c>
      <c r="K145" s="252">
        <f t="shared" si="12"/>
        <v>2595.3900149999999</v>
      </c>
      <c r="L145" s="88" t="s">
        <v>86</v>
      </c>
      <c r="M145" s="87"/>
    </row>
    <row r="146" spans="1:13" s="65" customFormat="1" ht="11.25" hidden="1" x14ac:dyDescent="0.2">
      <c r="A146" s="145">
        <v>11.360766</v>
      </c>
      <c r="B146" s="145"/>
      <c r="C146" s="86"/>
      <c r="D146" s="144">
        <v>899.13779999999997</v>
      </c>
      <c r="E146" s="144">
        <v>111.18600000000001</v>
      </c>
      <c r="F146" s="195"/>
      <c r="G146" s="195"/>
      <c r="H146" s="195"/>
      <c r="I146" s="195"/>
      <c r="J146" s="144">
        <v>1046.0613000000001</v>
      </c>
      <c r="K146" s="252">
        <f t="shared" si="12"/>
        <v>2067.7458659999998</v>
      </c>
      <c r="L146" s="88" t="s">
        <v>87</v>
      </c>
      <c r="M146" s="87"/>
    </row>
    <row r="147" spans="1:13" s="65" customFormat="1" ht="11.25" hidden="1" x14ac:dyDescent="0.2">
      <c r="A147" s="145">
        <f>SUM(A144:A146)</f>
        <v>41.303180999999995</v>
      </c>
      <c r="B147" s="145"/>
      <c r="C147" s="86"/>
      <c r="D147" s="144">
        <f>SUM(D144:D146)</f>
        <v>3247.625</v>
      </c>
      <c r="E147" s="145">
        <f>SUM(E144:E146)</f>
        <v>459.56900000000007</v>
      </c>
      <c r="F147" s="195"/>
      <c r="G147" s="195"/>
      <c r="H147" s="195"/>
      <c r="I147" s="195"/>
      <c r="J147" s="144">
        <f>SUM(J144:J146)</f>
        <v>3613.5002999999997</v>
      </c>
      <c r="K147" s="252">
        <f t="shared" si="12"/>
        <v>7361.9974809999994</v>
      </c>
      <c r="L147" s="88" t="s">
        <v>55</v>
      </c>
      <c r="M147" s="87"/>
    </row>
    <row r="148" spans="1:13" s="65" customFormat="1" ht="11.25" hidden="1" x14ac:dyDescent="0.2">
      <c r="A148" s="145">
        <v>14.27336</v>
      </c>
      <c r="B148" s="145"/>
      <c r="C148" s="86"/>
      <c r="D148" s="144">
        <v>1088.7782</v>
      </c>
      <c r="E148" s="145">
        <v>162.65700000000001</v>
      </c>
      <c r="F148" s="195"/>
      <c r="G148" s="195"/>
      <c r="H148" s="195"/>
      <c r="I148" s="195"/>
      <c r="J148" s="144">
        <v>930.53620000000001</v>
      </c>
      <c r="K148" s="252">
        <f t="shared" si="12"/>
        <v>2196.24476</v>
      </c>
      <c r="L148" s="88" t="s">
        <v>89</v>
      </c>
      <c r="M148" s="87"/>
    </row>
    <row r="149" spans="1:13" s="65" customFormat="1" ht="11.25" hidden="1" x14ac:dyDescent="0.2">
      <c r="A149" s="145">
        <v>12.197024000000001</v>
      </c>
      <c r="B149" s="145"/>
      <c r="C149" s="86"/>
      <c r="D149" s="144">
        <v>1031.2753</v>
      </c>
      <c r="E149" s="145">
        <v>113.048</v>
      </c>
      <c r="F149" s="195"/>
      <c r="G149" s="195"/>
      <c r="H149" s="195"/>
      <c r="I149" s="195"/>
      <c r="J149" s="144">
        <v>1086.5703000000001</v>
      </c>
      <c r="K149" s="252">
        <f t="shared" si="12"/>
        <v>2243.0906240000004</v>
      </c>
      <c r="L149" s="88" t="s">
        <v>90</v>
      </c>
      <c r="M149" s="87"/>
    </row>
    <row r="150" spans="1:13" s="65" customFormat="1" ht="11.25" hidden="1" x14ac:dyDescent="0.2">
      <c r="A150" s="145">
        <v>24.133305</v>
      </c>
      <c r="B150" s="145"/>
      <c r="C150" s="86"/>
      <c r="D150" s="144">
        <v>966.8895</v>
      </c>
      <c r="E150" s="145">
        <v>173.52799999999999</v>
      </c>
      <c r="F150" s="195"/>
      <c r="G150" s="195"/>
      <c r="H150" s="195"/>
      <c r="I150" s="195"/>
      <c r="J150" s="144">
        <v>1203.9691</v>
      </c>
      <c r="K150" s="252">
        <f t="shared" si="12"/>
        <v>2368.5199049999997</v>
      </c>
      <c r="L150" s="88" t="s">
        <v>91</v>
      </c>
      <c r="M150" s="87"/>
    </row>
    <row r="151" spans="1:13" s="65" customFormat="1" ht="11.25" hidden="1" x14ac:dyDescent="0.2">
      <c r="A151" s="145">
        <f>SUM(A148:A150)</f>
        <v>50.603689000000003</v>
      </c>
      <c r="B151" s="145"/>
      <c r="C151" s="86"/>
      <c r="D151" s="144">
        <f>SUM(D148:D150)</f>
        <v>3086.9430000000002</v>
      </c>
      <c r="E151" s="145">
        <f>SUM(E148:E150)</f>
        <v>449.23300000000006</v>
      </c>
      <c r="F151" s="195"/>
      <c r="G151" s="195"/>
      <c r="H151" s="195"/>
      <c r="I151" s="195"/>
      <c r="J151" s="144">
        <f>SUM(J148:J150)</f>
        <v>3221.0756000000001</v>
      </c>
      <c r="K151" s="252">
        <f t="shared" si="12"/>
        <v>6807.8552890000001</v>
      </c>
      <c r="L151" s="88" t="s">
        <v>56</v>
      </c>
      <c r="M151" s="87"/>
    </row>
    <row r="152" spans="1:13" s="65" customFormat="1" ht="11.25" hidden="1" x14ac:dyDescent="0.2">
      <c r="A152" s="130"/>
      <c r="B152" s="130"/>
      <c r="C152" s="86"/>
      <c r="D152" s="127"/>
      <c r="E152" s="130"/>
      <c r="F152" s="195"/>
      <c r="G152" s="195"/>
      <c r="H152" s="195"/>
      <c r="I152" s="195"/>
      <c r="J152" s="127"/>
      <c r="K152" s="252"/>
      <c r="L152" s="88"/>
      <c r="M152" s="87"/>
    </row>
    <row r="153" spans="1:13" s="65" customFormat="1" ht="11.25" hidden="1" x14ac:dyDescent="0.2">
      <c r="A153" s="145">
        <v>17.112302</v>
      </c>
      <c r="B153" s="145"/>
      <c r="C153" s="86"/>
      <c r="D153" s="144">
        <v>1198.3848840000001</v>
      </c>
      <c r="E153" s="145">
        <v>182.40299999999999</v>
      </c>
      <c r="F153" s="195"/>
      <c r="G153" s="195"/>
      <c r="H153" s="195"/>
      <c r="I153" s="195"/>
      <c r="J153" s="144">
        <v>1330.641736</v>
      </c>
      <c r="K153" s="252">
        <f t="shared" ref="K153:K168" si="13">J153+E153+D153+A153</f>
        <v>2728.5419219999999</v>
      </c>
      <c r="L153" s="88" t="s">
        <v>78</v>
      </c>
      <c r="M153" s="87">
        <v>2014</v>
      </c>
    </row>
    <row r="154" spans="1:13" s="65" customFormat="1" ht="11.25" hidden="1" x14ac:dyDescent="0.2">
      <c r="A154" s="145">
        <v>14.531000000000001</v>
      </c>
      <c r="B154" s="145"/>
      <c r="C154" s="86"/>
      <c r="D154" s="144">
        <v>1104.58781</v>
      </c>
      <c r="E154" s="145">
        <v>113.76</v>
      </c>
      <c r="F154" s="195"/>
      <c r="G154" s="195"/>
      <c r="H154" s="195"/>
      <c r="I154" s="195"/>
      <c r="J154" s="144">
        <v>1127.867371</v>
      </c>
      <c r="K154" s="252">
        <f t="shared" si="13"/>
        <v>2360.746181</v>
      </c>
      <c r="L154" s="88" t="s">
        <v>79</v>
      </c>
      <c r="M154" s="87"/>
    </row>
    <row r="155" spans="1:13" s="65" customFormat="1" ht="11.25" hidden="1" x14ac:dyDescent="0.2">
      <c r="A155" s="145">
        <v>16.825918999999999</v>
      </c>
      <c r="B155" s="145"/>
      <c r="C155" s="86"/>
      <c r="D155" s="144">
        <v>1287.660361</v>
      </c>
      <c r="E155" s="145">
        <v>190.30699999999999</v>
      </c>
      <c r="F155" s="195"/>
      <c r="G155" s="195"/>
      <c r="H155" s="195"/>
      <c r="I155" s="195"/>
      <c r="J155" s="144">
        <v>1281.447987</v>
      </c>
      <c r="K155" s="252">
        <f t="shared" si="13"/>
        <v>2776.2412669999999</v>
      </c>
      <c r="L155" s="88" t="s">
        <v>80</v>
      </c>
      <c r="M155" s="87"/>
    </row>
    <row r="156" spans="1:13" s="65" customFormat="1" ht="11.25" hidden="1" x14ac:dyDescent="0.2">
      <c r="A156" s="145">
        <f>SUM(A153:A155)</f>
        <v>48.469220999999997</v>
      </c>
      <c r="B156" s="145"/>
      <c r="C156" s="86"/>
      <c r="D156" s="144">
        <f>SUM(D153:D155)</f>
        <v>3590.6330550000002</v>
      </c>
      <c r="E156" s="145">
        <f>SUM(E153:E155)</f>
        <v>486.47</v>
      </c>
      <c r="F156" s="195"/>
      <c r="G156" s="195"/>
      <c r="H156" s="195"/>
      <c r="I156" s="195"/>
      <c r="J156" s="144">
        <f>SUM(J153:J155)</f>
        <v>3739.9570939999999</v>
      </c>
      <c r="K156" s="252">
        <f t="shared" si="13"/>
        <v>7865.5293700000002</v>
      </c>
      <c r="L156" s="88" t="s">
        <v>53</v>
      </c>
      <c r="M156" s="87">
        <v>2014</v>
      </c>
    </row>
    <row r="157" spans="1:13" s="65" customFormat="1" ht="11.25" hidden="1" x14ac:dyDescent="0.2">
      <c r="A157" s="145">
        <v>19.229894000000002</v>
      </c>
      <c r="B157" s="145"/>
      <c r="C157" s="86"/>
      <c r="D157" s="144">
        <v>929.07458399999996</v>
      </c>
      <c r="E157" s="145">
        <v>186.91800000000001</v>
      </c>
      <c r="F157" s="195"/>
      <c r="G157" s="195"/>
      <c r="H157" s="195"/>
      <c r="I157" s="195"/>
      <c r="J157" s="144">
        <v>1484.9238069999999</v>
      </c>
      <c r="K157" s="252">
        <f t="shared" si="13"/>
        <v>2620.1462849999998</v>
      </c>
      <c r="L157" s="88" t="s">
        <v>68</v>
      </c>
      <c r="M157" s="87"/>
    </row>
    <row r="158" spans="1:13" s="65" customFormat="1" ht="11.25" hidden="1" x14ac:dyDescent="0.2">
      <c r="A158" s="145">
        <v>16.066230769230799</v>
      </c>
      <c r="B158" s="145"/>
      <c r="C158" s="86"/>
      <c r="D158" s="144">
        <v>1113.742896</v>
      </c>
      <c r="E158" s="145">
        <v>171.17400000000001</v>
      </c>
      <c r="F158" s="195"/>
      <c r="G158" s="195"/>
      <c r="H158" s="195"/>
      <c r="I158" s="195"/>
      <c r="J158" s="144">
        <v>1435.0216479999999</v>
      </c>
      <c r="K158" s="252">
        <f t="shared" si="13"/>
        <v>2736.0047747692306</v>
      </c>
      <c r="L158" s="88" t="s">
        <v>82</v>
      </c>
      <c r="M158" s="87"/>
    </row>
    <row r="159" spans="1:13" s="65" customFormat="1" ht="11.25" hidden="1" x14ac:dyDescent="0.2">
      <c r="A159" s="145">
        <v>17.315750000000001</v>
      </c>
      <c r="B159" s="145"/>
      <c r="C159" s="86"/>
      <c r="D159" s="144">
        <v>1104.204299</v>
      </c>
      <c r="E159" s="145">
        <v>150.31100000000001</v>
      </c>
      <c r="F159" s="195"/>
      <c r="G159" s="195"/>
      <c r="H159" s="195"/>
      <c r="I159" s="195"/>
      <c r="J159" s="144">
        <v>1437.3345839999999</v>
      </c>
      <c r="K159" s="252">
        <f t="shared" si="13"/>
        <v>2709.1656330000001</v>
      </c>
      <c r="L159" s="88" t="s">
        <v>83</v>
      </c>
      <c r="M159" s="87"/>
    </row>
    <row r="160" spans="1:13" s="65" customFormat="1" ht="11.25" hidden="1" x14ac:dyDescent="0.2">
      <c r="A160" s="145">
        <f>SUM(A157:A159)</f>
        <v>52.611874769230802</v>
      </c>
      <c r="B160" s="145"/>
      <c r="C160" s="86"/>
      <c r="D160" s="144">
        <f>SUM(D157:D159)</f>
        <v>3147.0217789999997</v>
      </c>
      <c r="E160" s="145">
        <f>SUM(E157:E159)</f>
        <v>508.40300000000002</v>
      </c>
      <c r="F160" s="195"/>
      <c r="G160" s="195"/>
      <c r="H160" s="195"/>
      <c r="I160" s="195"/>
      <c r="J160" s="144">
        <f>SUM(J157:J159)</f>
        <v>4357.2800390000002</v>
      </c>
      <c r="K160" s="252">
        <f t="shared" si="13"/>
        <v>8065.3166927692309</v>
      </c>
      <c r="L160" s="88" t="s">
        <v>54</v>
      </c>
      <c r="M160" s="87"/>
    </row>
    <row r="161" spans="1:13" s="65" customFormat="1" ht="11.25" hidden="1" x14ac:dyDescent="0.2">
      <c r="A161" s="145">
        <v>17.152000000000001</v>
      </c>
      <c r="B161" s="145"/>
      <c r="C161" s="86"/>
      <c r="D161" s="144">
        <v>1045.5036130000001</v>
      </c>
      <c r="E161" s="145">
        <v>168.03399999999999</v>
      </c>
      <c r="F161" s="195"/>
      <c r="G161" s="195"/>
      <c r="H161" s="195"/>
      <c r="I161" s="195"/>
      <c r="J161" s="144">
        <v>1717.747597</v>
      </c>
      <c r="K161" s="252">
        <f t="shared" si="13"/>
        <v>2948.4372100000001</v>
      </c>
      <c r="L161" s="88" t="s">
        <v>85</v>
      </c>
      <c r="M161" s="87"/>
    </row>
    <row r="162" spans="1:13" s="65" customFormat="1" ht="11.25" hidden="1" x14ac:dyDescent="0.2">
      <c r="A162" s="145">
        <v>10.283607999999999</v>
      </c>
      <c r="B162" s="145"/>
      <c r="C162" s="86"/>
      <c r="D162" s="144">
        <v>1135.0285389999999</v>
      </c>
      <c r="E162" s="145">
        <v>178.75899999999999</v>
      </c>
      <c r="F162" s="195"/>
      <c r="G162" s="195"/>
      <c r="H162" s="195"/>
      <c r="I162" s="195"/>
      <c r="J162" s="144">
        <v>1327.651944</v>
      </c>
      <c r="K162" s="252">
        <f t="shared" si="13"/>
        <v>2651.7230910000003</v>
      </c>
      <c r="L162" s="88" t="s">
        <v>86</v>
      </c>
      <c r="M162" s="87"/>
    </row>
    <row r="163" spans="1:13" s="65" customFormat="1" ht="11.25" hidden="1" x14ac:dyDescent="0.2">
      <c r="A163" s="145">
        <v>9.6349999999999998</v>
      </c>
      <c r="B163" s="145"/>
      <c r="C163" s="86"/>
      <c r="D163" s="144">
        <v>1083.1353280000001</v>
      </c>
      <c r="E163" s="145">
        <v>121.468</v>
      </c>
      <c r="F163" s="195"/>
      <c r="G163" s="195"/>
      <c r="H163" s="195"/>
      <c r="I163" s="195"/>
      <c r="J163" s="144">
        <v>1356.4209330000001</v>
      </c>
      <c r="K163" s="252">
        <f t="shared" si="13"/>
        <v>2570.6592610000007</v>
      </c>
      <c r="L163" s="88" t="s">
        <v>87</v>
      </c>
      <c r="M163" s="87"/>
    </row>
    <row r="164" spans="1:13" s="65" customFormat="1" ht="11.25" hidden="1" x14ac:dyDescent="0.2">
      <c r="A164" s="145">
        <f>SUM(A161:A163)</f>
        <v>37.070608</v>
      </c>
      <c r="B164" s="145"/>
      <c r="C164" s="86"/>
      <c r="D164" s="144">
        <f>SUM(D161:D163)</f>
        <v>3263.6674800000001</v>
      </c>
      <c r="E164" s="145">
        <f>SUM(E161:E163)</f>
        <v>468.26100000000002</v>
      </c>
      <c r="F164" s="195"/>
      <c r="G164" s="195"/>
      <c r="H164" s="195"/>
      <c r="I164" s="195"/>
      <c r="J164" s="144">
        <f>SUM(J161:J163)</f>
        <v>4401.8204740000001</v>
      </c>
      <c r="K164" s="252">
        <f t="shared" si="13"/>
        <v>8170.8195620000006</v>
      </c>
      <c r="L164" s="88" t="s">
        <v>55</v>
      </c>
      <c r="M164" s="87"/>
    </row>
    <row r="165" spans="1:13" s="65" customFormat="1" ht="11.25" hidden="1" x14ac:dyDescent="0.2">
      <c r="A165" s="145">
        <v>7.9589999999999996</v>
      </c>
      <c r="B165" s="145"/>
      <c r="C165" s="86"/>
      <c r="D165" s="144">
        <v>1005.629319</v>
      </c>
      <c r="E165" s="145">
        <v>141.48400000000001</v>
      </c>
      <c r="F165" s="195"/>
      <c r="G165" s="195"/>
      <c r="H165" s="195"/>
      <c r="I165" s="195"/>
      <c r="J165" s="144">
        <v>1354.502598</v>
      </c>
      <c r="K165" s="252">
        <f t="shared" si="13"/>
        <v>2509.5749169999999</v>
      </c>
      <c r="L165" s="88" t="s">
        <v>89</v>
      </c>
      <c r="M165" s="87"/>
    </row>
    <row r="166" spans="1:13" s="65" customFormat="1" ht="11.25" hidden="1" x14ac:dyDescent="0.2">
      <c r="A166" s="145">
        <v>15.458</v>
      </c>
      <c r="B166" s="145"/>
      <c r="C166" s="86"/>
      <c r="D166" s="144">
        <v>1057.0959009999999</v>
      </c>
      <c r="E166" s="145">
        <v>156.05699999999999</v>
      </c>
      <c r="F166" s="195"/>
      <c r="G166" s="195"/>
      <c r="H166" s="195"/>
      <c r="I166" s="195"/>
      <c r="J166" s="144">
        <v>1272.959617</v>
      </c>
      <c r="K166" s="252">
        <f t="shared" si="13"/>
        <v>2501.570518</v>
      </c>
      <c r="L166" s="88" t="s">
        <v>90</v>
      </c>
      <c r="M166" s="87"/>
    </row>
    <row r="167" spans="1:13" s="65" customFormat="1" ht="11.25" hidden="1" x14ac:dyDescent="0.2">
      <c r="A167" s="145">
        <v>22.576000000000001</v>
      </c>
      <c r="B167" s="145"/>
      <c r="C167" s="86"/>
      <c r="D167" s="144">
        <v>1226.33653</v>
      </c>
      <c r="E167" s="145">
        <v>153.22800000000001</v>
      </c>
      <c r="F167" s="195"/>
      <c r="G167" s="195"/>
      <c r="H167" s="195"/>
      <c r="I167" s="195"/>
      <c r="J167" s="144">
        <v>1496.6188790000001</v>
      </c>
      <c r="K167" s="252">
        <f t="shared" si="13"/>
        <v>2898.7594090000002</v>
      </c>
      <c r="L167" s="88" t="s">
        <v>91</v>
      </c>
      <c r="M167" s="87"/>
    </row>
    <row r="168" spans="1:13" s="65" customFormat="1" ht="11.25" hidden="1" x14ac:dyDescent="0.2">
      <c r="A168" s="145">
        <f>SUM(A165:A167)</f>
        <v>45.993000000000002</v>
      </c>
      <c r="B168" s="145"/>
      <c r="C168" s="86"/>
      <c r="D168" s="144">
        <f>SUM(D165:D167)</f>
        <v>3289.0617499999998</v>
      </c>
      <c r="E168" s="145">
        <f>SUM(E165:E167)</f>
        <v>450.76900000000001</v>
      </c>
      <c r="F168" s="195"/>
      <c r="G168" s="195"/>
      <c r="H168" s="195"/>
      <c r="I168" s="195"/>
      <c r="J168" s="144">
        <f>SUM(J165:J167)</f>
        <v>4124.0810940000001</v>
      </c>
      <c r="K168" s="252">
        <f t="shared" si="13"/>
        <v>7909.9048440000006</v>
      </c>
      <c r="L168" s="88" t="s">
        <v>56</v>
      </c>
      <c r="M168" s="87"/>
    </row>
    <row r="169" spans="1:13" s="65" customFormat="1" ht="11.25" hidden="1" x14ac:dyDescent="0.2">
      <c r="A169" s="130"/>
      <c r="B169" s="130"/>
      <c r="C169" s="86"/>
      <c r="D169" s="127"/>
      <c r="E169" s="130"/>
      <c r="F169" s="195"/>
      <c r="G169" s="195"/>
      <c r="H169" s="195"/>
      <c r="I169" s="195"/>
      <c r="J169" s="127"/>
      <c r="K169" s="252"/>
      <c r="L169" s="88"/>
      <c r="M169" s="87"/>
    </row>
    <row r="170" spans="1:13" s="65" customFormat="1" ht="11.25" hidden="1" x14ac:dyDescent="0.2">
      <c r="A170" s="145">
        <v>16.687999999999999</v>
      </c>
      <c r="B170" s="145"/>
      <c r="C170" s="86"/>
      <c r="D170" s="144">
        <v>1040.6468170000001</v>
      </c>
      <c r="E170" s="145">
        <v>136.51599999999999</v>
      </c>
      <c r="F170" s="195"/>
      <c r="G170" s="195"/>
      <c r="H170" s="195"/>
      <c r="I170" s="195"/>
      <c r="J170" s="144">
        <v>1319.4281960000001</v>
      </c>
      <c r="K170" s="252">
        <f t="shared" ref="K170:K185" si="14">J170+E170+D170+A170</f>
        <v>2513.2790130000003</v>
      </c>
      <c r="L170" s="88" t="s">
        <v>78</v>
      </c>
      <c r="M170" s="87">
        <v>2015</v>
      </c>
    </row>
    <row r="171" spans="1:13" s="65" customFormat="1" ht="11.25" hidden="1" x14ac:dyDescent="0.2">
      <c r="A171" s="145">
        <v>15.163</v>
      </c>
      <c r="B171" s="145"/>
      <c r="C171" s="86"/>
      <c r="D171" s="144">
        <v>1056.832226</v>
      </c>
      <c r="E171" s="145">
        <v>122.93899999999999</v>
      </c>
      <c r="F171" s="195"/>
      <c r="G171" s="195"/>
      <c r="H171" s="195"/>
      <c r="I171" s="195"/>
      <c r="J171" s="144">
        <v>1346.2599250000001</v>
      </c>
      <c r="K171" s="252">
        <f t="shared" si="14"/>
        <v>2541.1941510000001</v>
      </c>
      <c r="L171" s="88" t="s">
        <v>79</v>
      </c>
      <c r="M171" s="87"/>
    </row>
    <row r="172" spans="1:13" s="65" customFormat="1" ht="11.25" hidden="1" x14ac:dyDescent="0.2">
      <c r="A172" s="145">
        <v>14.477259999999999</v>
      </c>
      <c r="B172" s="145"/>
      <c r="C172" s="86"/>
      <c r="D172" s="144">
        <v>1277.078156</v>
      </c>
      <c r="E172" s="145">
        <v>200.703</v>
      </c>
      <c r="F172" s="195"/>
      <c r="G172" s="195"/>
      <c r="H172" s="195"/>
      <c r="I172" s="195"/>
      <c r="J172" s="144">
        <v>1638.18723</v>
      </c>
      <c r="K172" s="252">
        <f t="shared" si="14"/>
        <v>3130.4456460000001</v>
      </c>
      <c r="L172" s="88" t="s">
        <v>80</v>
      </c>
      <c r="M172" s="87"/>
    </row>
    <row r="173" spans="1:13" s="65" customFormat="1" ht="11.25" hidden="1" x14ac:dyDescent="0.2">
      <c r="A173" s="145">
        <f>SUM(A170:A172)</f>
        <v>46.32826</v>
      </c>
      <c r="B173" s="145"/>
      <c r="C173" s="86"/>
      <c r="D173" s="144">
        <f>SUM(D170:D172)</f>
        <v>3374.5571990000003</v>
      </c>
      <c r="E173" s="145">
        <f>SUM(E170:E172)</f>
        <v>460.15800000000002</v>
      </c>
      <c r="F173" s="195"/>
      <c r="G173" s="195"/>
      <c r="H173" s="195"/>
      <c r="I173" s="195"/>
      <c r="J173" s="144">
        <f>SUM(J170:J172)</f>
        <v>4303.8753510000006</v>
      </c>
      <c r="K173" s="252">
        <f t="shared" si="14"/>
        <v>8184.918810000001</v>
      </c>
      <c r="L173" s="88" t="s">
        <v>53</v>
      </c>
      <c r="M173" s="87">
        <v>2015</v>
      </c>
    </row>
    <row r="174" spans="1:13" s="65" customFormat="1" ht="11.25" hidden="1" x14ac:dyDescent="0.2">
      <c r="A174" s="145">
        <v>18.5669</v>
      </c>
      <c r="B174" s="145"/>
      <c r="C174" s="86"/>
      <c r="D174" s="144">
        <v>1028.561146</v>
      </c>
      <c r="E174" s="145">
        <v>176.57</v>
      </c>
      <c r="F174" s="195"/>
      <c r="G174" s="195"/>
      <c r="H174" s="195"/>
      <c r="I174" s="195"/>
      <c r="J174" s="144">
        <v>1363.4177999999999</v>
      </c>
      <c r="K174" s="252">
        <f t="shared" si="14"/>
        <v>2587.1158459999997</v>
      </c>
      <c r="L174" s="88" t="s">
        <v>68</v>
      </c>
      <c r="M174" s="87"/>
    </row>
    <row r="175" spans="1:13" s="65" customFormat="1" ht="11.25" hidden="1" x14ac:dyDescent="0.2">
      <c r="A175" s="145">
        <v>20.001000000000001</v>
      </c>
      <c r="B175" s="145"/>
      <c r="C175" s="86"/>
      <c r="D175" s="144">
        <v>1136.1616959999999</v>
      </c>
      <c r="E175" s="145">
        <v>164.60900000000001</v>
      </c>
      <c r="F175" s="195"/>
      <c r="G175" s="195"/>
      <c r="H175" s="195"/>
      <c r="I175" s="195"/>
      <c r="J175" s="144">
        <v>1412.4945</v>
      </c>
      <c r="K175" s="252">
        <f t="shared" si="14"/>
        <v>2733.266196</v>
      </c>
      <c r="L175" s="88" t="s">
        <v>82</v>
      </c>
      <c r="M175" s="87"/>
    </row>
    <row r="176" spans="1:13" s="65" customFormat="1" ht="11.25" hidden="1" x14ac:dyDescent="0.2">
      <c r="A176" s="145">
        <v>16.536999999999999</v>
      </c>
      <c r="B176" s="145"/>
      <c r="C176" s="86"/>
      <c r="D176" s="144">
        <v>1292.4134750000001</v>
      </c>
      <c r="E176" s="145">
        <v>199.012</v>
      </c>
      <c r="F176" s="195"/>
      <c r="G176" s="195"/>
      <c r="H176" s="195"/>
      <c r="I176" s="195"/>
      <c r="J176" s="144">
        <v>1444.3894</v>
      </c>
      <c r="K176" s="252">
        <f t="shared" si="14"/>
        <v>2952.3518749999998</v>
      </c>
      <c r="L176" s="88" t="s">
        <v>83</v>
      </c>
      <c r="M176" s="87"/>
    </row>
    <row r="177" spans="1:13" s="65" customFormat="1" ht="11.25" hidden="1" x14ac:dyDescent="0.2">
      <c r="A177" s="145">
        <f>SUM(A174:A176)</f>
        <v>55.104900000000001</v>
      </c>
      <c r="B177" s="145"/>
      <c r="C177" s="86"/>
      <c r="D177" s="144">
        <f>SUM(D174:D176)</f>
        <v>3457.1363170000004</v>
      </c>
      <c r="E177" s="145">
        <f>SUM(E174:E176)</f>
        <v>540.19100000000003</v>
      </c>
      <c r="F177" s="195"/>
      <c r="G177" s="195"/>
      <c r="H177" s="195"/>
      <c r="I177" s="195"/>
      <c r="J177" s="144">
        <f>SUM(J174:J176)</f>
        <v>4220.3017</v>
      </c>
      <c r="K177" s="252">
        <f t="shared" si="14"/>
        <v>8272.7339169999996</v>
      </c>
      <c r="L177" s="88" t="s">
        <v>54</v>
      </c>
      <c r="M177" s="87"/>
    </row>
    <row r="178" spans="1:13" s="65" customFormat="1" ht="11.25" hidden="1" x14ac:dyDescent="0.2">
      <c r="A178" s="145">
        <v>23.51652</v>
      </c>
      <c r="B178" s="145"/>
      <c r="C178" s="86"/>
      <c r="D178" s="166">
        <v>1264.747912</v>
      </c>
      <c r="E178" s="145">
        <v>165.75399999999999</v>
      </c>
      <c r="F178" s="195"/>
      <c r="G178" s="195"/>
      <c r="H178" s="195"/>
      <c r="I178" s="195"/>
      <c r="J178" s="144">
        <v>1323.1977999999999</v>
      </c>
      <c r="K178" s="252">
        <f t="shared" si="14"/>
        <v>2777.2162319999998</v>
      </c>
      <c r="L178" s="88" t="s">
        <v>85</v>
      </c>
      <c r="M178" s="87"/>
    </row>
    <row r="179" spans="1:13" s="65" customFormat="1" ht="11.25" hidden="1" x14ac:dyDescent="0.2">
      <c r="A179" s="145">
        <v>20.579000000000001</v>
      </c>
      <c r="B179" s="145"/>
      <c r="C179" s="86"/>
      <c r="D179" s="166">
        <v>1337.5614430000001</v>
      </c>
      <c r="E179" s="145">
        <v>213.04300000000001</v>
      </c>
      <c r="F179" s="195"/>
      <c r="G179" s="195"/>
      <c r="H179" s="195"/>
      <c r="I179" s="195"/>
      <c r="J179" s="166">
        <v>1270.0273999999999</v>
      </c>
      <c r="K179" s="252">
        <f t="shared" si="14"/>
        <v>2841.2108430000003</v>
      </c>
      <c r="L179" s="88" t="s">
        <v>86</v>
      </c>
      <c r="M179" s="87"/>
    </row>
    <row r="180" spans="1:13" s="65" customFormat="1" ht="11.25" hidden="1" x14ac:dyDescent="0.2">
      <c r="A180" s="145">
        <v>3.05142452369321</v>
      </c>
      <c r="B180" s="145"/>
      <c r="C180" s="86"/>
      <c r="D180" s="166">
        <v>1057.114701</v>
      </c>
      <c r="E180" s="145">
        <v>180.53899999999999</v>
      </c>
      <c r="F180" s="195"/>
      <c r="G180" s="195"/>
      <c r="H180" s="195"/>
      <c r="I180" s="195"/>
      <c r="J180" s="166">
        <v>1409.973</v>
      </c>
      <c r="K180" s="252">
        <f t="shared" si="14"/>
        <v>2650.6781255236933</v>
      </c>
      <c r="L180" s="88" t="s">
        <v>87</v>
      </c>
      <c r="M180" s="87"/>
    </row>
    <row r="181" spans="1:13" s="65" customFormat="1" ht="11.25" hidden="1" x14ac:dyDescent="0.2">
      <c r="A181" s="145">
        <f>SUM(A178:A180)</f>
        <v>47.146944523693207</v>
      </c>
      <c r="B181" s="145"/>
      <c r="C181" s="86"/>
      <c r="D181" s="166">
        <f>SUM(D178:D180)</f>
        <v>3659.4240560000003</v>
      </c>
      <c r="E181" s="145">
        <f>SUM(E178:E180)</f>
        <v>559.33600000000001</v>
      </c>
      <c r="F181" s="195"/>
      <c r="G181" s="195"/>
      <c r="H181" s="195"/>
      <c r="I181" s="195"/>
      <c r="J181" s="166">
        <f>SUM(J178:J180)</f>
        <v>4003.1981999999998</v>
      </c>
      <c r="K181" s="252">
        <f t="shared" si="14"/>
        <v>8269.1052005236925</v>
      </c>
      <c r="L181" s="88" t="s">
        <v>55</v>
      </c>
      <c r="M181" s="87"/>
    </row>
    <row r="182" spans="1:13" s="65" customFormat="1" ht="11.25" hidden="1" x14ac:dyDescent="0.2">
      <c r="A182" s="145">
        <v>36.497999999999998</v>
      </c>
      <c r="B182" s="145"/>
      <c r="C182" s="86"/>
      <c r="D182" s="166">
        <v>1289.312322</v>
      </c>
      <c r="E182" s="145">
        <v>178.80600000000001</v>
      </c>
      <c r="F182" s="195"/>
      <c r="G182" s="195"/>
      <c r="H182" s="195"/>
      <c r="I182" s="195"/>
      <c r="J182" s="166">
        <v>1525.5945999999999</v>
      </c>
      <c r="K182" s="252">
        <f t="shared" si="14"/>
        <v>3030.2109219999998</v>
      </c>
      <c r="L182" s="88" t="s">
        <v>89</v>
      </c>
      <c r="M182" s="87"/>
    </row>
    <row r="183" spans="1:13" s="65" customFormat="1" ht="11.25" hidden="1" x14ac:dyDescent="0.2">
      <c r="A183" s="145">
        <v>8.9031663125948395</v>
      </c>
      <c r="B183" s="145"/>
      <c r="C183" s="86"/>
      <c r="D183" s="166">
        <v>1250.1405999999999</v>
      </c>
      <c r="E183" s="145">
        <v>191.071</v>
      </c>
      <c r="F183" s="195"/>
      <c r="G183" s="195"/>
      <c r="H183" s="195"/>
      <c r="I183" s="195"/>
      <c r="J183" s="166">
        <v>1396.7747999999999</v>
      </c>
      <c r="K183" s="252">
        <f t="shared" si="14"/>
        <v>2846.8895663125945</v>
      </c>
      <c r="L183" s="88" t="s">
        <v>90</v>
      </c>
      <c r="M183" s="87"/>
    </row>
    <row r="184" spans="1:13" s="65" customFormat="1" ht="11.25" hidden="1" x14ac:dyDescent="0.2">
      <c r="A184" s="145">
        <v>17.930800999999999</v>
      </c>
      <c r="B184" s="145"/>
      <c r="C184" s="86"/>
      <c r="D184" s="166">
        <v>1294.262919</v>
      </c>
      <c r="E184" s="145">
        <v>200.541</v>
      </c>
      <c r="F184" s="195"/>
      <c r="G184" s="195"/>
      <c r="H184" s="195"/>
      <c r="I184" s="195"/>
      <c r="J184" s="166">
        <v>1482.3593000000001</v>
      </c>
      <c r="K184" s="252">
        <f t="shared" si="14"/>
        <v>2995.09402</v>
      </c>
      <c r="L184" s="88" t="s">
        <v>91</v>
      </c>
      <c r="M184" s="87"/>
    </row>
    <row r="185" spans="1:13" s="65" customFormat="1" ht="11.25" hidden="1" x14ac:dyDescent="0.2">
      <c r="A185" s="145">
        <f>SUM(A182:A184)</f>
        <v>63.331967312594841</v>
      </c>
      <c r="B185" s="145"/>
      <c r="C185" s="86"/>
      <c r="D185" s="166">
        <f>SUM(D182:D184)</f>
        <v>3833.7158410000002</v>
      </c>
      <c r="E185" s="145">
        <f>SUM(E182:E184)</f>
        <v>570.41800000000001</v>
      </c>
      <c r="F185" s="195"/>
      <c r="G185" s="195"/>
      <c r="H185" s="195"/>
      <c r="I185" s="195"/>
      <c r="J185" s="166">
        <f>SUM(J182:J184)</f>
        <v>4404.7286999999997</v>
      </c>
      <c r="K185" s="252">
        <f t="shared" si="14"/>
        <v>8872.1945083125938</v>
      </c>
      <c r="L185" s="88" t="s">
        <v>56</v>
      </c>
      <c r="M185" s="87"/>
    </row>
    <row r="186" spans="1:13" s="65" customFormat="1" ht="11.25" hidden="1" x14ac:dyDescent="0.2">
      <c r="A186" s="130"/>
      <c r="B186" s="130"/>
      <c r="C186" s="86"/>
      <c r="D186" s="158"/>
      <c r="E186" s="130"/>
      <c r="F186" s="195"/>
      <c r="G186" s="195"/>
      <c r="H186" s="195"/>
      <c r="I186" s="195"/>
      <c r="J186" s="158"/>
      <c r="K186" s="252"/>
      <c r="L186" s="88"/>
      <c r="M186" s="87"/>
    </row>
    <row r="187" spans="1:13" s="65" customFormat="1" ht="11.25" hidden="1" x14ac:dyDescent="0.2">
      <c r="A187" s="145">
        <v>17.594999999999999</v>
      </c>
      <c r="B187" s="145"/>
      <c r="C187" s="86"/>
      <c r="D187" s="166">
        <v>1148.4791740000001</v>
      </c>
      <c r="E187" s="145">
        <v>213.934</v>
      </c>
      <c r="F187" s="195"/>
      <c r="G187" s="195"/>
      <c r="H187" s="195"/>
      <c r="I187" s="195"/>
      <c r="J187" s="166">
        <v>1404.6694110000001</v>
      </c>
      <c r="K187" s="252">
        <f t="shared" ref="K187:K202" si="15">J187+E187+D187+A187</f>
        <v>2784.6775849999999</v>
      </c>
      <c r="L187" s="88" t="s">
        <v>78</v>
      </c>
      <c r="M187" s="87">
        <v>2016</v>
      </c>
    </row>
    <row r="188" spans="1:13" s="65" customFormat="1" ht="11.25" hidden="1" x14ac:dyDescent="0.2">
      <c r="A188" s="145">
        <v>9.1829999999999998</v>
      </c>
      <c r="B188" s="145"/>
      <c r="C188" s="86"/>
      <c r="D188" s="166">
        <v>1259.92725</v>
      </c>
      <c r="E188" s="145">
        <v>219.93299999999999</v>
      </c>
      <c r="F188" s="195"/>
      <c r="G188" s="195"/>
      <c r="H188" s="195"/>
      <c r="I188" s="195"/>
      <c r="J188" s="166">
        <v>1418.9004460000001</v>
      </c>
      <c r="K188" s="252">
        <f t="shared" si="15"/>
        <v>2907.9436960000003</v>
      </c>
      <c r="L188" s="88" t="s">
        <v>79</v>
      </c>
      <c r="M188" s="87"/>
    </row>
    <row r="189" spans="1:13" s="65" customFormat="1" ht="11.25" hidden="1" x14ac:dyDescent="0.2">
      <c r="A189" s="145">
        <v>22.012</v>
      </c>
      <c r="B189" s="145"/>
      <c r="C189" s="86"/>
      <c r="D189" s="144">
        <v>1379.6438270000001</v>
      </c>
      <c r="E189" s="145">
        <v>248.17400000000001</v>
      </c>
      <c r="F189" s="195"/>
      <c r="G189" s="195"/>
      <c r="H189" s="195"/>
      <c r="I189" s="195"/>
      <c r="J189" s="166">
        <v>1581.116239</v>
      </c>
      <c r="K189" s="252">
        <f t="shared" si="15"/>
        <v>3230.946066</v>
      </c>
      <c r="L189" s="88" t="s">
        <v>80</v>
      </c>
      <c r="M189" s="87"/>
    </row>
    <row r="190" spans="1:13" s="65" customFormat="1" ht="11.25" hidden="1" x14ac:dyDescent="0.2">
      <c r="A190" s="145">
        <f>SUM(A187:A189)</f>
        <v>48.79</v>
      </c>
      <c r="B190" s="145"/>
      <c r="C190" s="86"/>
      <c r="D190" s="166">
        <f>SUM(D187:D189)</f>
        <v>3788.0502509999997</v>
      </c>
      <c r="E190" s="145">
        <f>SUM(E187:E189)</f>
        <v>682.04099999999994</v>
      </c>
      <c r="F190" s="195"/>
      <c r="G190" s="195"/>
      <c r="H190" s="195"/>
      <c r="I190" s="195"/>
      <c r="J190" s="166">
        <f>SUM(J187:J189)</f>
        <v>4404.6860960000004</v>
      </c>
      <c r="K190" s="252">
        <f t="shared" si="15"/>
        <v>8923.5673470000002</v>
      </c>
      <c r="L190" s="88" t="s">
        <v>53</v>
      </c>
      <c r="M190" s="87">
        <v>2016</v>
      </c>
    </row>
    <row r="191" spans="1:13" s="65" customFormat="1" ht="11.25" hidden="1" x14ac:dyDescent="0.2">
      <c r="A191" s="145">
        <v>22.417000000000002</v>
      </c>
      <c r="B191" s="145"/>
      <c r="C191" s="86"/>
      <c r="D191" s="166">
        <v>1141.484103</v>
      </c>
      <c r="E191" s="145">
        <v>239.86600000000001</v>
      </c>
      <c r="F191" s="195"/>
      <c r="G191" s="195"/>
      <c r="H191" s="195"/>
      <c r="I191" s="195"/>
      <c r="J191" s="166">
        <v>1389.2174130000001</v>
      </c>
      <c r="K191" s="252">
        <f t="shared" si="15"/>
        <v>2792.984516</v>
      </c>
      <c r="L191" s="88" t="s">
        <v>68</v>
      </c>
      <c r="M191" s="87"/>
    </row>
    <row r="192" spans="1:13" s="65" customFormat="1" ht="11.25" hidden="1" x14ac:dyDescent="0.2">
      <c r="A192" s="145">
        <v>16.718</v>
      </c>
      <c r="B192" s="145"/>
      <c r="C192" s="86"/>
      <c r="D192" s="166">
        <v>1475.5755300000001</v>
      </c>
      <c r="E192" s="145">
        <v>274.202</v>
      </c>
      <c r="F192" s="195"/>
      <c r="G192" s="195"/>
      <c r="H192" s="195"/>
      <c r="I192" s="195"/>
      <c r="J192" s="166">
        <v>1686.3930800000001</v>
      </c>
      <c r="K192" s="252">
        <f t="shared" si="15"/>
        <v>3452.88861</v>
      </c>
      <c r="L192" s="88" t="s">
        <v>82</v>
      </c>
      <c r="M192" s="87"/>
    </row>
    <row r="193" spans="1:13" s="65" customFormat="1" ht="11.25" hidden="1" x14ac:dyDescent="0.2">
      <c r="A193" s="145">
        <v>18.396000000000001</v>
      </c>
      <c r="B193" s="145"/>
      <c r="C193" s="86"/>
      <c r="D193" s="166">
        <v>1325.0086920000001</v>
      </c>
      <c r="E193" s="145">
        <v>247.614</v>
      </c>
      <c r="F193" s="195"/>
      <c r="G193" s="195"/>
      <c r="H193" s="195"/>
      <c r="I193" s="195"/>
      <c r="J193" s="166">
        <v>1455.9331569999999</v>
      </c>
      <c r="K193" s="252">
        <f t="shared" si="15"/>
        <v>3046.9518490000005</v>
      </c>
      <c r="L193" s="88" t="s">
        <v>83</v>
      </c>
      <c r="M193" s="87"/>
    </row>
    <row r="194" spans="1:13" s="65" customFormat="1" ht="11.25" hidden="1" x14ac:dyDescent="0.2">
      <c r="A194" s="145">
        <f>SUM(A191:A193)</f>
        <v>57.531000000000006</v>
      </c>
      <c r="B194" s="145"/>
      <c r="C194" s="86"/>
      <c r="D194" s="166">
        <f>SUM(D191:D193)</f>
        <v>3942.0683250000002</v>
      </c>
      <c r="E194" s="145">
        <f>SUM(E191:E193)</f>
        <v>761.68200000000002</v>
      </c>
      <c r="F194" s="195"/>
      <c r="G194" s="195"/>
      <c r="H194" s="195"/>
      <c r="I194" s="195"/>
      <c r="J194" s="166">
        <f>SUM(J191:J193)</f>
        <v>4531.5436499999996</v>
      </c>
      <c r="K194" s="252">
        <f t="shared" si="15"/>
        <v>9292.8249750000014</v>
      </c>
      <c r="L194" s="88" t="s">
        <v>54</v>
      </c>
      <c r="M194" s="87"/>
    </row>
    <row r="195" spans="1:13" s="65" customFormat="1" ht="11.25" hidden="1" x14ac:dyDescent="0.2">
      <c r="A195" s="145">
        <v>25.24</v>
      </c>
      <c r="B195" s="145"/>
      <c r="C195" s="86"/>
      <c r="D195" s="166">
        <v>1255.6478689999999</v>
      </c>
      <c r="E195" s="145">
        <v>244.00200000000001</v>
      </c>
      <c r="F195" s="195"/>
      <c r="G195" s="195"/>
      <c r="H195" s="195"/>
      <c r="I195" s="195"/>
      <c r="J195" s="166">
        <v>1500.531403</v>
      </c>
      <c r="K195" s="252">
        <f t="shared" si="15"/>
        <v>3025.4212719999996</v>
      </c>
      <c r="L195" s="88" t="s">
        <v>85</v>
      </c>
      <c r="M195" s="87"/>
    </row>
    <row r="196" spans="1:13" s="65" customFormat="1" ht="11.25" hidden="1" x14ac:dyDescent="0.2">
      <c r="A196" s="145">
        <v>17.917000000000002</v>
      </c>
      <c r="B196" s="145"/>
      <c r="C196" s="86"/>
      <c r="D196" s="166">
        <v>1479.1805770000001</v>
      </c>
      <c r="E196" s="145">
        <v>229.517</v>
      </c>
      <c r="F196" s="195"/>
      <c r="G196" s="195"/>
      <c r="H196" s="195"/>
      <c r="I196" s="195"/>
      <c r="J196" s="166">
        <v>1511.7312999999999</v>
      </c>
      <c r="K196" s="252">
        <f t="shared" si="15"/>
        <v>3238.3458770000002</v>
      </c>
      <c r="L196" s="88" t="s">
        <v>86</v>
      </c>
      <c r="M196" s="87"/>
    </row>
    <row r="197" spans="1:13" s="65" customFormat="1" ht="11.25" hidden="1" x14ac:dyDescent="0.2">
      <c r="A197" s="145">
        <v>13.753</v>
      </c>
      <c r="B197" s="145"/>
      <c r="C197" s="86"/>
      <c r="D197" s="166">
        <v>1383.31413</v>
      </c>
      <c r="E197" s="145">
        <v>241.53299999999999</v>
      </c>
      <c r="F197" s="195"/>
      <c r="G197" s="195"/>
      <c r="H197" s="195"/>
      <c r="I197" s="195"/>
      <c r="J197" s="166">
        <v>1478.849297</v>
      </c>
      <c r="K197" s="252">
        <f t="shared" si="15"/>
        <v>3117.449427</v>
      </c>
      <c r="L197" s="88" t="s">
        <v>87</v>
      </c>
      <c r="M197" s="87"/>
    </row>
    <row r="198" spans="1:13" s="65" customFormat="1" ht="11.25" hidden="1" x14ac:dyDescent="0.2">
      <c r="A198" s="145">
        <f>SUM(A195:A197)</f>
        <v>56.91</v>
      </c>
      <c r="B198" s="145"/>
      <c r="C198" s="86"/>
      <c r="D198" s="166">
        <f>SUM(D195:D197)</f>
        <v>4118.1425760000002</v>
      </c>
      <c r="E198" s="145">
        <f>SUM(E195:E197)</f>
        <v>715.05200000000002</v>
      </c>
      <c r="F198" s="195"/>
      <c r="G198" s="195"/>
      <c r="H198" s="195"/>
      <c r="I198" s="195"/>
      <c r="J198" s="166">
        <f>SUM(J195:J197)</f>
        <v>4491.1120000000001</v>
      </c>
      <c r="K198" s="252">
        <f t="shared" si="15"/>
        <v>9381.2165759999989</v>
      </c>
      <c r="L198" s="88" t="s">
        <v>55</v>
      </c>
      <c r="M198" s="87"/>
    </row>
    <row r="199" spans="1:13" s="65" customFormat="1" ht="11.25" hidden="1" x14ac:dyDescent="0.2">
      <c r="A199" s="145">
        <v>15.276999999999999</v>
      </c>
      <c r="B199" s="145"/>
      <c r="C199" s="86"/>
      <c r="D199" s="166">
        <v>1030.4709</v>
      </c>
      <c r="E199" s="145">
        <v>194.488</v>
      </c>
      <c r="F199" s="195"/>
      <c r="G199" s="195"/>
      <c r="H199" s="195"/>
      <c r="I199" s="195"/>
      <c r="J199" s="166">
        <v>1563.3525</v>
      </c>
      <c r="K199" s="252">
        <f t="shared" si="15"/>
        <v>2803.5884000000001</v>
      </c>
      <c r="L199" s="88" t="s">
        <v>89</v>
      </c>
      <c r="M199" s="87"/>
    </row>
    <row r="200" spans="1:13" s="65" customFormat="1" ht="11.25" hidden="1" x14ac:dyDescent="0.2">
      <c r="A200" s="145">
        <v>15.776999999999999</v>
      </c>
      <c r="B200" s="145"/>
      <c r="C200" s="86"/>
      <c r="D200" s="166">
        <v>1305.9649999999999</v>
      </c>
      <c r="E200" s="145">
        <v>238.98500000000001</v>
      </c>
      <c r="F200" s="195"/>
      <c r="G200" s="195"/>
      <c r="H200" s="195"/>
      <c r="I200" s="195"/>
      <c r="J200" s="166">
        <v>1368.2104360000001</v>
      </c>
      <c r="K200" s="252">
        <f t="shared" si="15"/>
        <v>2928.9374360000002</v>
      </c>
      <c r="L200" s="88" t="s">
        <v>90</v>
      </c>
      <c r="M200" s="87"/>
    </row>
    <row r="201" spans="1:13" s="65" customFormat="1" ht="11.25" hidden="1" x14ac:dyDescent="0.2">
      <c r="A201" s="145">
        <v>24.007999999999999</v>
      </c>
      <c r="B201" s="145"/>
      <c r="C201" s="86"/>
      <c r="D201" s="166">
        <v>1207.5962999999999</v>
      </c>
      <c r="E201" s="145">
        <v>230.93700000000001</v>
      </c>
      <c r="F201" s="195"/>
      <c r="G201" s="195"/>
      <c r="H201" s="195"/>
      <c r="I201" s="195"/>
      <c r="J201" s="166">
        <v>1517.679623</v>
      </c>
      <c r="K201" s="252">
        <f t="shared" si="15"/>
        <v>2980.2209229999999</v>
      </c>
      <c r="L201" s="88" t="s">
        <v>91</v>
      </c>
      <c r="M201" s="87"/>
    </row>
    <row r="202" spans="1:13" s="65" customFormat="1" ht="11.25" hidden="1" x14ac:dyDescent="0.2">
      <c r="A202" s="145">
        <f>SUM(A199:A201)</f>
        <v>55.061999999999998</v>
      </c>
      <c r="B202" s="145"/>
      <c r="C202" s="86"/>
      <c r="D202" s="166">
        <f>SUM(D199:D201)</f>
        <v>3544.0321999999996</v>
      </c>
      <c r="E202" s="145">
        <f>SUM(E199:E201)</f>
        <v>664.41000000000008</v>
      </c>
      <c r="F202" s="195"/>
      <c r="G202" s="195"/>
      <c r="H202" s="195"/>
      <c r="I202" s="195"/>
      <c r="J202" s="166">
        <f>SUM(J199:J201)</f>
        <v>4449.2425590000003</v>
      </c>
      <c r="K202" s="252">
        <f t="shared" si="15"/>
        <v>8712.7467589999997</v>
      </c>
      <c r="L202" s="88" t="s">
        <v>56</v>
      </c>
      <c r="M202" s="87"/>
    </row>
    <row r="203" spans="1:13" s="65" customFormat="1" ht="11.25" hidden="1" x14ac:dyDescent="0.2">
      <c r="A203" s="130"/>
      <c r="B203" s="130"/>
      <c r="C203" s="86"/>
      <c r="D203" s="158"/>
      <c r="E203" s="130"/>
      <c r="F203" s="195"/>
      <c r="G203" s="195"/>
      <c r="H203" s="195"/>
      <c r="I203" s="195"/>
      <c r="J203" s="158"/>
      <c r="K203" s="252"/>
      <c r="L203" s="88"/>
      <c r="M203" s="87"/>
    </row>
    <row r="204" spans="1:13" s="65" customFormat="1" ht="11.25" hidden="1" x14ac:dyDescent="0.2">
      <c r="A204" s="145">
        <v>8.0106199999999994</v>
      </c>
      <c r="B204" s="145"/>
      <c r="C204" s="146"/>
      <c r="D204" s="166">
        <v>1323.6106</v>
      </c>
      <c r="E204" s="145">
        <v>225.291</v>
      </c>
      <c r="F204" s="217"/>
      <c r="G204" s="217"/>
      <c r="H204" s="217"/>
      <c r="I204" s="217"/>
      <c r="J204" s="166">
        <v>1570.33331</v>
      </c>
      <c r="K204" s="252">
        <f t="shared" ref="K204:K219" si="16">J204+E204+D204+A204</f>
        <v>3127.2455300000001</v>
      </c>
      <c r="L204" s="88" t="s">
        <v>78</v>
      </c>
      <c r="M204" s="87">
        <v>2017</v>
      </c>
    </row>
    <row r="205" spans="1:13" s="65" customFormat="1" ht="11.25" hidden="1" x14ac:dyDescent="0.2">
      <c r="A205" s="145">
        <v>6.8635000000000002</v>
      </c>
      <c r="B205" s="145"/>
      <c r="C205" s="146"/>
      <c r="D205" s="166">
        <v>1161.9002</v>
      </c>
      <c r="E205" s="145">
        <v>265.28800000000001</v>
      </c>
      <c r="F205" s="217"/>
      <c r="G205" s="217"/>
      <c r="H205" s="217"/>
      <c r="I205" s="217"/>
      <c r="J205" s="166">
        <v>1347.3865229999999</v>
      </c>
      <c r="K205" s="252">
        <f t="shared" si="16"/>
        <v>2781.4382229999997</v>
      </c>
      <c r="L205" s="88" t="s">
        <v>79</v>
      </c>
      <c r="M205" s="87"/>
    </row>
    <row r="206" spans="1:13" s="65" customFormat="1" ht="11.25" hidden="1" x14ac:dyDescent="0.2">
      <c r="A206" s="145">
        <v>26.077000000000002</v>
      </c>
      <c r="B206" s="145"/>
      <c r="C206" s="146"/>
      <c r="D206" s="166">
        <v>1223.6115</v>
      </c>
      <c r="E206" s="145">
        <v>252.471</v>
      </c>
      <c r="F206" s="217"/>
      <c r="G206" s="217"/>
      <c r="H206" s="217"/>
      <c r="I206" s="217"/>
      <c r="J206" s="166">
        <v>1660.64951</v>
      </c>
      <c r="K206" s="252">
        <f t="shared" si="16"/>
        <v>3162.8090099999999</v>
      </c>
      <c r="L206" s="88" t="s">
        <v>80</v>
      </c>
      <c r="M206" s="87"/>
    </row>
    <row r="207" spans="1:13" s="65" customFormat="1" ht="11.25" hidden="1" x14ac:dyDescent="0.2">
      <c r="A207" s="145">
        <f>SUM(A204:A206)</f>
        <v>40.951120000000003</v>
      </c>
      <c r="B207" s="145"/>
      <c r="C207" s="86"/>
      <c r="D207" s="166">
        <f>SUM(D204:D206)</f>
        <v>3709.1223</v>
      </c>
      <c r="E207" s="145">
        <f>SUM(E204:E206)</f>
        <v>743.05</v>
      </c>
      <c r="F207" s="195"/>
      <c r="G207" s="195"/>
      <c r="H207" s="195"/>
      <c r="I207" s="195"/>
      <c r="J207" s="166">
        <f>SUM(J204:J206)</f>
        <v>4578.3693430000003</v>
      </c>
      <c r="K207" s="252">
        <f t="shared" si="16"/>
        <v>9071.4927630000002</v>
      </c>
      <c r="L207" s="88" t="s">
        <v>53</v>
      </c>
      <c r="M207" s="87">
        <v>2017</v>
      </c>
    </row>
    <row r="208" spans="1:13" s="65" customFormat="1" ht="11.25" hidden="1" x14ac:dyDescent="0.2">
      <c r="A208" s="145">
        <v>15.935</v>
      </c>
      <c r="B208" s="145"/>
      <c r="C208" s="86"/>
      <c r="D208" s="166">
        <v>1170.61007</v>
      </c>
      <c r="E208" s="145">
        <v>274.96899999999999</v>
      </c>
      <c r="F208" s="195"/>
      <c r="G208" s="195"/>
      <c r="H208" s="195"/>
      <c r="I208" s="195"/>
      <c r="J208" s="166">
        <v>1643.0379</v>
      </c>
      <c r="K208" s="252">
        <f t="shared" si="16"/>
        <v>3104.55197</v>
      </c>
      <c r="L208" s="88" t="s">
        <v>68</v>
      </c>
      <c r="M208" s="87"/>
    </row>
    <row r="209" spans="1:13" s="65" customFormat="1" ht="11.25" hidden="1" x14ac:dyDescent="0.2">
      <c r="A209" s="145">
        <v>9.2620000000000005</v>
      </c>
      <c r="B209" s="145"/>
      <c r="C209" s="86"/>
      <c r="D209" s="166">
        <v>1344.1365000000001</v>
      </c>
      <c r="E209" s="145">
        <v>281.35199999999998</v>
      </c>
      <c r="F209" s="195"/>
      <c r="G209" s="195"/>
      <c r="H209" s="195"/>
      <c r="I209" s="195"/>
      <c r="J209" s="166">
        <v>1611.22444</v>
      </c>
      <c r="K209" s="252">
        <f t="shared" si="16"/>
        <v>3245.9749400000001</v>
      </c>
      <c r="L209" s="88" t="s">
        <v>82</v>
      </c>
      <c r="M209" s="87"/>
    </row>
    <row r="210" spans="1:13" s="65" customFormat="1" ht="11.25" hidden="1" x14ac:dyDescent="0.2">
      <c r="A210" s="145">
        <v>14.843999999999999</v>
      </c>
      <c r="B210" s="145"/>
      <c r="C210" s="86"/>
      <c r="D210" s="166">
        <v>1248.7668000000001</v>
      </c>
      <c r="E210" s="145">
        <v>252.01900000000001</v>
      </c>
      <c r="F210" s="195"/>
      <c r="G210" s="195"/>
      <c r="H210" s="195"/>
      <c r="I210" s="195"/>
      <c r="J210" s="166">
        <v>1714.5928719999999</v>
      </c>
      <c r="K210" s="252">
        <f t="shared" si="16"/>
        <v>3230.2226719999999</v>
      </c>
      <c r="L210" s="88" t="s">
        <v>83</v>
      </c>
      <c r="M210" s="87"/>
    </row>
    <row r="211" spans="1:13" s="65" customFormat="1" ht="11.25" hidden="1" x14ac:dyDescent="0.2">
      <c r="A211" s="145">
        <f>SUM(A208:A210)</f>
        <v>40.041000000000004</v>
      </c>
      <c r="B211" s="145"/>
      <c r="C211" s="86"/>
      <c r="D211" s="166">
        <f>SUM(D208:D210)</f>
        <v>3763.5133700000006</v>
      </c>
      <c r="E211" s="145">
        <f>SUM(E208:E210)</f>
        <v>808.33999999999992</v>
      </c>
      <c r="F211" s="195"/>
      <c r="G211" s="195"/>
      <c r="H211" s="195"/>
      <c r="I211" s="195"/>
      <c r="J211" s="166">
        <f>SUM(J208:J210)</f>
        <v>4968.8552120000004</v>
      </c>
      <c r="K211" s="252">
        <f t="shared" si="16"/>
        <v>9580.7495820000004</v>
      </c>
      <c r="L211" s="88" t="s">
        <v>54</v>
      </c>
      <c r="M211" s="87"/>
    </row>
    <row r="212" spans="1:13" s="65" customFormat="1" ht="11.25" hidden="1" x14ac:dyDescent="0.2">
      <c r="A212" s="145">
        <v>3.8740000000000001</v>
      </c>
      <c r="B212" s="145"/>
      <c r="C212" s="86"/>
      <c r="D212" s="166">
        <v>1404.3508999999999</v>
      </c>
      <c r="E212" s="145">
        <v>233.80361300000001</v>
      </c>
      <c r="F212" s="195"/>
      <c r="G212" s="195"/>
      <c r="H212" s="195"/>
      <c r="I212" s="195"/>
      <c r="J212" s="166">
        <v>1532.909723</v>
      </c>
      <c r="K212" s="252">
        <f t="shared" si="16"/>
        <v>3174.938236</v>
      </c>
      <c r="L212" s="88" t="s">
        <v>85</v>
      </c>
      <c r="M212" s="87"/>
    </row>
    <row r="213" spans="1:13" s="65" customFormat="1" ht="11.25" hidden="1" x14ac:dyDescent="0.2">
      <c r="A213" s="145">
        <v>17.661999999999999</v>
      </c>
      <c r="B213" s="145"/>
      <c r="C213" s="86"/>
      <c r="D213" s="166">
        <v>1411.520154</v>
      </c>
      <c r="E213" s="145">
        <v>248.14747333333301</v>
      </c>
      <c r="F213" s="195"/>
      <c r="G213" s="195"/>
      <c r="H213" s="195"/>
      <c r="I213" s="195"/>
      <c r="J213" s="166">
        <v>1676.1342500000001</v>
      </c>
      <c r="K213" s="252">
        <f t="shared" si="16"/>
        <v>3353.4638773333331</v>
      </c>
      <c r="L213" s="88" t="s">
        <v>86</v>
      </c>
      <c r="M213" s="87"/>
    </row>
    <row r="214" spans="1:13" s="65" customFormat="1" ht="11.25" hidden="1" x14ac:dyDescent="0.2">
      <c r="A214" s="145">
        <v>5.4790000000000001</v>
      </c>
      <c r="B214" s="145"/>
      <c r="C214" s="86"/>
      <c r="D214" s="166">
        <v>1204.2099000000001</v>
      </c>
      <c r="E214" s="145">
        <v>193.56724</v>
      </c>
      <c r="F214" s="195"/>
      <c r="G214" s="195"/>
      <c r="H214" s="195"/>
      <c r="I214" s="195"/>
      <c r="J214" s="166">
        <v>1479.6365599999999</v>
      </c>
      <c r="K214" s="252">
        <f t="shared" si="16"/>
        <v>2882.8926999999999</v>
      </c>
      <c r="L214" s="88" t="s">
        <v>87</v>
      </c>
      <c r="M214" s="87"/>
    </row>
    <row r="215" spans="1:13" s="65" customFormat="1" ht="11.25" hidden="1" x14ac:dyDescent="0.2">
      <c r="A215" s="145">
        <f>SUM(A212:A214)</f>
        <v>27.014999999999997</v>
      </c>
      <c r="B215" s="145"/>
      <c r="C215" s="86"/>
      <c r="D215" s="166">
        <f>SUM(D212:D214)</f>
        <v>4020.080954</v>
      </c>
      <c r="E215" s="145">
        <f>SUM(E212:E214)</f>
        <v>675.51832633333299</v>
      </c>
      <c r="F215" s="195"/>
      <c r="G215" s="195"/>
      <c r="H215" s="195"/>
      <c r="I215" s="195"/>
      <c r="J215" s="166">
        <f>SUM(J212:J214)</f>
        <v>4688.6805329999997</v>
      </c>
      <c r="K215" s="252">
        <f t="shared" si="16"/>
        <v>9411.2948133333321</v>
      </c>
      <c r="L215" s="88" t="s">
        <v>55</v>
      </c>
      <c r="M215" s="87"/>
    </row>
    <row r="216" spans="1:13" s="65" customFormat="1" ht="11.25" hidden="1" x14ac:dyDescent="0.2">
      <c r="A216" s="145">
        <v>15.478</v>
      </c>
      <c r="B216" s="145"/>
      <c r="C216" s="86"/>
      <c r="D216" s="166">
        <v>1181.812833</v>
      </c>
      <c r="E216" s="145">
        <v>188.48647</v>
      </c>
      <c r="F216" s="195"/>
      <c r="G216" s="195"/>
      <c r="H216" s="195"/>
      <c r="I216" s="195"/>
      <c r="J216" s="166">
        <v>1634.6250500000001</v>
      </c>
      <c r="K216" s="252">
        <f t="shared" si="16"/>
        <v>3020.4023530000004</v>
      </c>
      <c r="L216" s="88" t="s">
        <v>89</v>
      </c>
      <c r="M216" s="87"/>
    </row>
    <row r="217" spans="1:13" s="65" customFormat="1" ht="11.25" hidden="1" x14ac:dyDescent="0.2">
      <c r="A217" s="145">
        <v>16.238</v>
      </c>
      <c r="B217" s="145"/>
      <c r="C217" s="86"/>
      <c r="D217" s="166">
        <v>1321.8275229999999</v>
      </c>
      <c r="E217" s="145">
        <v>319.34086400000001</v>
      </c>
      <c r="F217" s="195"/>
      <c r="G217" s="195"/>
      <c r="H217" s="195"/>
      <c r="I217" s="195"/>
      <c r="J217" s="166">
        <v>1564.485846</v>
      </c>
      <c r="K217" s="252">
        <f t="shared" si="16"/>
        <v>3221.892233</v>
      </c>
      <c r="L217" s="88" t="s">
        <v>90</v>
      </c>
      <c r="M217" s="87"/>
    </row>
    <row r="218" spans="1:13" s="65" customFormat="1" ht="11.25" hidden="1" x14ac:dyDescent="0.2">
      <c r="A218" s="145">
        <v>13.622</v>
      </c>
      <c r="B218" s="145"/>
      <c r="C218" s="86"/>
      <c r="D218" s="166">
        <v>1212.9703199999999</v>
      </c>
      <c r="E218" s="178">
        <v>193.38177999999999</v>
      </c>
      <c r="F218" s="195"/>
      <c r="G218" s="195"/>
      <c r="H218" s="195"/>
      <c r="I218" s="195"/>
      <c r="J218" s="166">
        <v>1704.505586</v>
      </c>
      <c r="K218" s="252">
        <f t="shared" si="16"/>
        <v>3124.4796859999997</v>
      </c>
      <c r="L218" s="88" t="s">
        <v>91</v>
      </c>
      <c r="M218" s="87"/>
    </row>
    <row r="219" spans="1:13" s="65" customFormat="1" ht="11.25" hidden="1" x14ac:dyDescent="0.2">
      <c r="A219" s="145">
        <f>SUM(A216:A218)</f>
        <v>45.338000000000001</v>
      </c>
      <c r="B219" s="145"/>
      <c r="C219" s="86"/>
      <c r="D219" s="166">
        <f>SUM(D216:D218)</f>
        <v>3716.6106759999998</v>
      </c>
      <c r="E219" s="145">
        <f>SUM(E216:E218)</f>
        <v>701.209114</v>
      </c>
      <c r="F219" s="195"/>
      <c r="G219" s="195"/>
      <c r="H219" s="195"/>
      <c r="I219" s="195"/>
      <c r="J219" s="166">
        <f>SUM(J216:J218)</f>
        <v>4903.6164820000004</v>
      </c>
      <c r="K219" s="252">
        <f t="shared" si="16"/>
        <v>9366.7742720000006</v>
      </c>
      <c r="L219" s="88" t="s">
        <v>56</v>
      </c>
      <c r="M219" s="87"/>
    </row>
    <row r="220" spans="1:13" s="65" customFormat="1" ht="11.25" hidden="1" x14ac:dyDescent="0.2">
      <c r="A220" s="130"/>
      <c r="B220" s="130"/>
      <c r="C220" s="86"/>
      <c r="D220" s="158"/>
      <c r="E220" s="130"/>
      <c r="F220" s="195"/>
      <c r="G220" s="195"/>
      <c r="H220" s="195"/>
      <c r="I220" s="195"/>
      <c r="J220" s="158"/>
      <c r="K220" s="252"/>
      <c r="L220" s="88"/>
      <c r="M220" s="87"/>
    </row>
    <row r="221" spans="1:13" s="65" customFormat="1" ht="11.25" hidden="1" x14ac:dyDescent="0.2">
      <c r="A221" s="130">
        <v>16.858000000000001</v>
      </c>
      <c r="B221" s="130"/>
      <c r="C221" s="86"/>
      <c r="D221" s="158">
        <v>1408.2256500000001</v>
      </c>
      <c r="E221" s="130">
        <v>295.73099999999999</v>
      </c>
      <c r="F221" s="195"/>
      <c r="G221" s="195"/>
      <c r="H221" s="195"/>
      <c r="I221" s="195"/>
      <c r="J221" s="158">
        <v>1460.996713</v>
      </c>
      <c r="K221" s="252">
        <f t="shared" ref="K221:K236" si="17">J221+E221+D221+A221</f>
        <v>3181.8113630000003</v>
      </c>
      <c r="L221" s="88" t="s">
        <v>78</v>
      </c>
      <c r="M221" s="87">
        <v>2018</v>
      </c>
    </row>
    <row r="222" spans="1:13" s="65" customFormat="1" ht="11.25" hidden="1" x14ac:dyDescent="0.2">
      <c r="A222" s="130">
        <v>19.588999999999999</v>
      </c>
      <c r="B222" s="130"/>
      <c r="C222" s="86"/>
      <c r="D222" s="158">
        <v>1204.1897220000001</v>
      </c>
      <c r="E222" s="130">
        <v>219.601</v>
      </c>
      <c r="F222" s="195"/>
      <c r="G222" s="195"/>
      <c r="H222" s="195"/>
      <c r="I222" s="195"/>
      <c r="J222" s="158">
        <v>1652.71542</v>
      </c>
      <c r="K222" s="252">
        <f t="shared" si="17"/>
        <v>3096.0951420000001</v>
      </c>
      <c r="L222" s="88" t="s">
        <v>79</v>
      </c>
      <c r="M222" s="87"/>
    </row>
    <row r="223" spans="1:13" s="65" customFormat="1" ht="11.25" hidden="1" x14ac:dyDescent="0.2">
      <c r="A223" s="130">
        <v>12.987</v>
      </c>
      <c r="B223" s="130"/>
      <c r="C223" s="86"/>
      <c r="D223" s="158">
        <v>1262.92525</v>
      </c>
      <c r="E223" s="130">
        <v>276.49200000000002</v>
      </c>
      <c r="F223" s="195"/>
      <c r="G223" s="195"/>
      <c r="H223" s="195"/>
      <c r="I223" s="195"/>
      <c r="J223" s="158">
        <v>1520.1872900000001</v>
      </c>
      <c r="K223" s="252">
        <f t="shared" si="17"/>
        <v>3072.5915400000004</v>
      </c>
      <c r="L223" s="88" t="s">
        <v>80</v>
      </c>
      <c r="M223" s="87"/>
    </row>
    <row r="224" spans="1:13" s="65" customFormat="1" ht="11.25" hidden="1" x14ac:dyDescent="0.2">
      <c r="A224" s="145">
        <f>SUM(A221:A223)</f>
        <v>49.434000000000005</v>
      </c>
      <c r="B224" s="145"/>
      <c r="C224" s="86"/>
      <c r="D224" s="166">
        <f>SUM(D221:D223)</f>
        <v>3875.3406220000006</v>
      </c>
      <c r="E224" s="145">
        <f>SUM(E221:E223)</f>
        <v>791.82400000000007</v>
      </c>
      <c r="F224" s="195"/>
      <c r="G224" s="195"/>
      <c r="H224" s="195"/>
      <c r="I224" s="195"/>
      <c r="J224" s="166">
        <f>SUM(J221:J223)</f>
        <v>4633.8994229999998</v>
      </c>
      <c r="K224" s="252">
        <f t="shared" si="17"/>
        <v>9350.4980449999985</v>
      </c>
      <c r="L224" s="88" t="s">
        <v>53</v>
      </c>
      <c r="M224" s="87">
        <v>2018</v>
      </c>
    </row>
    <row r="225" spans="1:13" s="65" customFormat="1" ht="11.25" hidden="1" x14ac:dyDescent="0.2">
      <c r="A225" s="145">
        <v>15.824999999999999</v>
      </c>
      <c r="B225" s="145"/>
      <c r="C225" s="86"/>
      <c r="D225" s="166">
        <v>1324.863779</v>
      </c>
      <c r="E225" s="145">
        <v>299.12799999999999</v>
      </c>
      <c r="F225" s="195"/>
      <c r="G225" s="195"/>
      <c r="H225" s="195"/>
      <c r="I225" s="195"/>
      <c r="J225" s="166">
        <v>1824.25216</v>
      </c>
      <c r="K225" s="252">
        <f t="shared" si="17"/>
        <v>3464.0689389999998</v>
      </c>
      <c r="L225" s="88" t="s">
        <v>68</v>
      </c>
      <c r="M225" s="87"/>
    </row>
    <row r="226" spans="1:13" s="65" customFormat="1" ht="11.25" hidden="1" x14ac:dyDescent="0.2">
      <c r="A226" s="145">
        <v>22.148</v>
      </c>
      <c r="B226" s="145"/>
      <c r="C226" s="86"/>
      <c r="D226" s="166">
        <v>1400.64597</v>
      </c>
      <c r="E226" s="145">
        <v>312.29900000000004</v>
      </c>
      <c r="F226" s="195"/>
      <c r="G226" s="195"/>
      <c r="H226" s="195"/>
      <c r="I226" s="195"/>
      <c r="J226" s="166">
        <v>1684.282201</v>
      </c>
      <c r="K226" s="252">
        <f t="shared" si="17"/>
        <v>3419.3751710000001</v>
      </c>
      <c r="L226" s="88" t="s">
        <v>82</v>
      </c>
      <c r="M226" s="87"/>
    </row>
    <row r="227" spans="1:13" s="65" customFormat="1" ht="11.25" hidden="1" x14ac:dyDescent="0.2">
      <c r="A227" s="145">
        <v>3.1579999999999999</v>
      </c>
      <c r="B227" s="145"/>
      <c r="C227" s="86"/>
      <c r="D227" s="166">
        <v>1355.5179599999999</v>
      </c>
      <c r="E227" s="145">
        <v>244.108</v>
      </c>
      <c r="F227" s="195"/>
      <c r="G227" s="195"/>
      <c r="H227" s="195"/>
      <c r="I227" s="195"/>
      <c r="J227" s="166">
        <v>1651.3213310000001</v>
      </c>
      <c r="K227" s="252">
        <f t="shared" si="17"/>
        <v>3254.1052909999999</v>
      </c>
      <c r="L227" s="88" t="s">
        <v>83</v>
      </c>
      <c r="M227" s="87"/>
    </row>
    <row r="228" spans="1:13" s="65" customFormat="1" ht="11.25" hidden="1" x14ac:dyDescent="0.2">
      <c r="A228" s="145">
        <f>SUM(A225:A227)</f>
        <v>41.131</v>
      </c>
      <c r="B228" s="145"/>
      <c r="C228" s="86"/>
      <c r="D228" s="166">
        <f>SUM(D225:D227)</f>
        <v>4081.027709</v>
      </c>
      <c r="E228" s="145">
        <f>SUM(E225:E227)</f>
        <v>855.53500000000008</v>
      </c>
      <c r="F228" s="195"/>
      <c r="G228" s="195"/>
      <c r="H228" s="195"/>
      <c r="I228" s="195"/>
      <c r="J228" s="166">
        <f>SUM(J225:J227)</f>
        <v>5159.8556920000001</v>
      </c>
      <c r="K228" s="252">
        <f t="shared" si="17"/>
        <v>10137.549400999998</v>
      </c>
      <c r="L228" s="88" t="s">
        <v>54</v>
      </c>
      <c r="M228" s="87"/>
    </row>
    <row r="229" spans="1:13" s="65" customFormat="1" ht="11.25" hidden="1" x14ac:dyDescent="0.2">
      <c r="A229" s="145">
        <v>20.158999999999999</v>
      </c>
      <c r="B229" s="145"/>
      <c r="C229" s="86"/>
      <c r="D229" s="166">
        <v>1356.1143999999999</v>
      </c>
      <c r="E229" s="145">
        <v>365.36099999999999</v>
      </c>
      <c r="F229" s="195"/>
      <c r="G229" s="195"/>
      <c r="H229" s="195"/>
      <c r="I229" s="195"/>
      <c r="J229" s="166">
        <v>1574.37727</v>
      </c>
      <c r="K229" s="252">
        <f t="shared" si="17"/>
        <v>3316.0116699999999</v>
      </c>
      <c r="L229" s="88" t="s">
        <v>85</v>
      </c>
      <c r="M229" s="87"/>
    </row>
    <row r="230" spans="1:13" s="65" customFormat="1" ht="11.25" hidden="1" x14ac:dyDescent="0.2">
      <c r="A230" s="145">
        <v>10.055999999999999</v>
      </c>
      <c r="B230" s="145"/>
      <c r="C230" s="86"/>
      <c r="D230" s="166">
        <v>1503.4046579999999</v>
      </c>
      <c r="E230" s="145">
        <v>268.37299999999999</v>
      </c>
      <c r="F230" s="195"/>
      <c r="G230" s="195"/>
      <c r="H230" s="195"/>
      <c r="I230" s="195"/>
      <c r="J230" s="166">
        <v>1636.1590100000001</v>
      </c>
      <c r="K230" s="252">
        <f t="shared" si="17"/>
        <v>3417.9926680000003</v>
      </c>
      <c r="L230" s="88" t="s">
        <v>86</v>
      </c>
      <c r="M230" s="87"/>
    </row>
    <row r="231" spans="1:13" s="65" customFormat="1" ht="11.25" hidden="1" x14ac:dyDescent="0.2">
      <c r="A231" s="145">
        <v>12.635</v>
      </c>
      <c r="B231" s="145"/>
      <c r="C231" s="86"/>
      <c r="D231" s="166">
        <v>1070.9782499999999</v>
      </c>
      <c r="E231" s="145">
        <v>243.404</v>
      </c>
      <c r="F231" s="195"/>
      <c r="G231" s="195"/>
      <c r="H231" s="195"/>
      <c r="I231" s="195"/>
      <c r="J231" s="166">
        <v>1516.52196</v>
      </c>
      <c r="K231" s="252">
        <f t="shared" si="17"/>
        <v>2843.5392099999999</v>
      </c>
      <c r="L231" s="88" t="s">
        <v>87</v>
      </c>
      <c r="M231" s="87"/>
    </row>
    <row r="232" spans="1:13" s="65" customFormat="1" ht="11.25" hidden="1" x14ac:dyDescent="0.2">
      <c r="A232" s="145">
        <f>SUM(A229:A231)</f>
        <v>42.849999999999994</v>
      </c>
      <c r="B232" s="145"/>
      <c r="C232" s="86"/>
      <c r="D232" s="166">
        <f>SUM(D229:D231)</f>
        <v>3930.497308</v>
      </c>
      <c r="E232" s="145">
        <f>SUM(E229:E231)</f>
        <v>877.13799999999992</v>
      </c>
      <c r="F232" s="195"/>
      <c r="G232" s="195"/>
      <c r="H232" s="195"/>
      <c r="I232" s="195"/>
      <c r="J232" s="166">
        <f>SUM(J229:J231)</f>
        <v>4727.0582400000003</v>
      </c>
      <c r="K232" s="252">
        <f t="shared" si="17"/>
        <v>9577.5435479999996</v>
      </c>
      <c r="L232" s="88" t="s">
        <v>55</v>
      </c>
      <c r="M232" s="87"/>
    </row>
    <row r="233" spans="1:13" s="65" customFormat="1" ht="11.25" hidden="1" x14ac:dyDescent="0.2">
      <c r="A233" s="145">
        <v>14.62</v>
      </c>
      <c r="B233" s="145"/>
      <c r="C233" s="86"/>
      <c r="D233" s="166">
        <v>1428.6205970000001</v>
      </c>
      <c r="E233" s="145">
        <v>314.45800000000003</v>
      </c>
      <c r="F233" s="195"/>
      <c r="G233" s="195"/>
      <c r="H233" s="195"/>
      <c r="I233" s="195"/>
      <c r="J233" s="166">
        <v>1453.522244</v>
      </c>
      <c r="K233" s="252">
        <f t="shared" si="17"/>
        <v>3211.2208410000003</v>
      </c>
      <c r="L233" s="88" t="s">
        <v>89</v>
      </c>
      <c r="M233" s="87"/>
    </row>
    <row r="234" spans="1:13" s="65" customFormat="1" ht="11.25" hidden="1" x14ac:dyDescent="0.2">
      <c r="A234" s="145">
        <v>14.263</v>
      </c>
      <c r="B234" s="145"/>
      <c r="C234" s="86"/>
      <c r="D234" s="166">
        <v>1254.7891400000001</v>
      </c>
      <c r="E234" s="145">
        <v>300.92399999999998</v>
      </c>
      <c r="F234" s="195"/>
      <c r="G234" s="195"/>
      <c r="H234" s="195"/>
      <c r="I234" s="195"/>
      <c r="J234" s="166">
        <v>1514.9688799999999</v>
      </c>
      <c r="K234" s="252">
        <f t="shared" si="17"/>
        <v>3084.9450200000001</v>
      </c>
      <c r="L234" s="88" t="s">
        <v>90</v>
      </c>
      <c r="M234" s="87"/>
    </row>
    <row r="235" spans="1:13" s="65" customFormat="1" ht="11.25" hidden="1" x14ac:dyDescent="0.2">
      <c r="A235" s="145">
        <v>13.500999999999999</v>
      </c>
      <c r="B235" s="145"/>
      <c r="C235" s="86"/>
      <c r="D235" s="166">
        <v>1202.1945310000001</v>
      </c>
      <c r="E235" s="145">
        <v>276.80599999999998</v>
      </c>
      <c r="F235" s="195"/>
      <c r="G235" s="195"/>
      <c r="H235" s="195"/>
      <c r="I235" s="195"/>
      <c r="J235" s="166">
        <v>1627.44956</v>
      </c>
      <c r="K235" s="252">
        <f t="shared" si="17"/>
        <v>3119.9510910000004</v>
      </c>
      <c r="L235" s="88" t="s">
        <v>91</v>
      </c>
      <c r="M235" s="87"/>
    </row>
    <row r="236" spans="1:13" s="65" customFormat="1" ht="11.25" hidden="1" x14ac:dyDescent="0.2">
      <c r="A236" s="145">
        <f>SUM(A233:A235)</f>
        <v>42.384</v>
      </c>
      <c r="B236" s="145"/>
      <c r="C236" s="86"/>
      <c r="D236" s="166">
        <f>SUM(D233:D235)</f>
        <v>3885.604268</v>
      </c>
      <c r="E236" s="145">
        <f>SUM(E233:E235)</f>
        <v>892.1880000000001</v>
      </c>
      <c r="F236" s="195"/>
      <c r="G236" s="195"/>
      <c r="H236" s="195"/>
      <c r="I236" s="195"/>
      <c r="J236" s="166">
        <f>SUM(J233:J235)</f>
        <v>4595.9406840000001</v>
      </c>
      <c r="K236" s="252">
        <f t="shared" si="17"/>
        <v>9416.1169520000003</v>
      </c>
      <c r="L236" s="88" t="s">
        <v>56</v>
      </c>
      <c r="M236" s="87"/>
    </row>
    <row r="237" spans="1:13" s="65" customFormat="1" ht="11.25" hidden="1" x14ac:dyDescent="0.2">
      <c r="A237" s="130"/>
      <c r="B237" s="130"/>
      <c r="C237" s="86"/>
      <c r="D237" s="158"/>
      <c r="E237" s="130"/>
      <c r="F237" s="195"/>
      <c r="G237" s="195"/>
      <c r="H237" s="195"/>
      <c r="I237" s="195"/>
      <c r="J237" s="158"/>
      <c r="K237" s="252"/>
      <c r="L237" s="88"/>
      <c r="M237" s="87"/>
    </row>
    <row r="238" spans="1:13" s="65" customFormat="1" ht="11.25" hidden="1" x14ac:dyDescent="0.2">
      <c r="A238" s="145">
        <v>20.172999999999998</v>
      </c>
      <c r="B238" s="145"/>
      <c r="C238" s="146"/>
      <c r="D238" s="166">
        <v>1279.6830199999999</v>
      </c>
      <c r="E238" s="178">
        <v>266.041</v>
      </c>
      <c r="F238" s="217"/>
      <c r="G238" s="217"/>
      <c r="H238" s="217"/>
      <c r="I238" s="217"/>
      <c r="J238" s="166">
        <v>1548.0531800000001</v>
      </c>
      <c r="K238" s="252">
        <f t="shared" ref="K238:K253" si="18">J238+E238+D238+A238</f>
        <v>3113.9501999999998</v>
      </c>
      <c r="L238" s="88" t="s">
        <v>78</v>
      </c>
      <c r="M238" s="87">
        <v>2019</v>
      </c>
    </row>
    <row r="239" spans="1:13" s="65" customFormat="1" ht="11.25" hidden="1" x14ac:dyDescent="0.2">
      <c r="A239" s="145">
        <v>16.795999999999999</v>
      </c>
      <c r="B239" s="145"/>
      <c r="C239" s="146"/>
      <c r="D239" s="166">
        <v>1212.739354</v>
      </c>
      <c r="E239" s="145">
        <v>232.400732</v>
      </c>
      <c r="F239" s="217"/>
      <c r="G239" s="217"/>
      <c r="H239" s="217"/>
      <c r="I239" s="217"/>
      <c r="J239" s="166">
        <v>1492.26026</v>
      </c>
      <c r="K239" s="252">
        <f t="shared" si="18"/>
        <v>2954.1963460000002</v>
      </c>
      <c r="L239" s="88" t="s">
        <v>79</v>
      </c>
      <c r="M239" s="87"/>
    </row>
    <row r="240" spans="1:13" s="65" customFormat="1" ht="11.25" hidden="1" x14ac:dyDescent="0.2">
      <c r="A240" s="145">
        <v>15.331</v>
      </c>
      <c r="B240" s="145"/>
      <c r="C240" s="146"/>
      <c r="D240" s="166">
        <v>1214.973078</v>
      </c>
      <c r="E240" s="145">
        <v>289.42347799999999</v>
      </c>
      <c r="F240" s="217"/>
      <c r="G240" s="217"/>
      <c r="H240" s="217"/>
      <c r="I240" s="217"/>
      <c r="J240" s="166">
        <v>1850.1572699999999</v>
      </c>
      <c r="K240" s="252">
        <f t="shared" si="18"/>
        <v>3369.884826</v>
      </c>
      <c r="L240" s="88" t="s">
        <v>80</v>
      </c>
      <c r="M240" s="87"/>
    </row>
    <row r="241" spans="1:14" s="65" customFormat="1" ht="11.25" hidden="1" x14ac:dyDescent="0.2">
      <c r="A241" s="145">
        <f>SUM(A238:A240)</f>
        <v>52.3</v>
      </c>
      <c r="B241" s="145"/>
      <c r="C241" s="86"/>
      <c r="D241" s="166">
        <f>SUM(D238:D240)</f>
        <v>3707.3954519999998</v>
      </c>
      <c r="E241" s="145">
        <f>SUM(E238:E240)</f>
        <v>787.86520999999993</v>
      </c>
      <c r="F241" s="195"/>
      <c r="G241" s="195"/>
      <c r="H241" s="195"/>
      <c r="I241" s="195"/>
      <c r="J241" s="166">
        <f>SUM(J238:J240)</f>
        <v>4890.4707099999996</v>
      </c>
      <c r="K241" s="252">
        <f t="shared" si="18"/>
        <v>9438.0313719999976</v>
      </c>
      <c r="L241" s="88" t="s">
        <v>53</v>
      </c>
      <c r="M241" s="87">
        <v>2019</v>
      </c>
      <c r="N241" s="353"/>
    </row>
    <row r="242" spans="1:14" s="65" customFormat="1" ht="11.25" hidden="1" x14ac:dyDescent="0.2">
      <c r="A242" s="145">
        <v>11.475</v>
      </c>
      <c r="B242" s="145"/>
      <c r="C242" s="86"/>
      <c r="D242" s="166">
        <v>1279.4091000000001</v>
      </c>
      <c r="E242" s="145">
        <v>209.46208999999999</v>
      </c>
      <c r="F242" s="195"/>
      <c r="G242" s="195"/>
      <c r="H242" s="195"/>
      <c r="I242" s="195"/>
      <c r="J242" s="166">
        <v>1639.51412</v>
      </c>
      <c r="K242" s="252">
        <f t="shared" si="18"/>
        <v>3139.86031</v>
      </c>
      <c r="L242" s="88" t="s">
        <v>68</v>
      </c>
      <c r="M242" s="87"/>
      <c r="N242" s="353"/>
    </row>
    <row r="243" spans="1:14" s="65" customFormat="1" ht="11.25" hidden="1" x14ac:dyDescent="0.2">
      <c r="A243" s="145">
        <v>10.115</v>
      </c>
      <c r="B243" s="145"/>
      <c r="C243" s="86"/>
      <c r="D243" s="166">
        <v>1402.379475</v>
      </c>
      <c r="E243" s="145">
        <v>255.44280000000001</v>
      </c>
      <c r="F243" s="195"/>
      <c r="G243" s="195"/>
      <c r="H243" s="195"/>
      <c r="I243" s="195"/>
      <c r="J243" s="166">
        <v>1555.57123</v>
      </c>
      <c r="K243" s="252">
        <f t="shared" si="18"/>
        <v>3223.5085049999998</v>
      </c>
      <c r="L243" s="88" t="s">
        <v>82</v>
      </c>
      <c r="M243" s="87"/>
      <c r="N243" s="353"/>
    </row>
    <row r="244" spans="1:14" s="65" customFormat="1" ht="11.25" hidden="1" x14ac:dyDescent="0.2">
      <c r="A244" s="145">
        <v>14.9</v>
      </c>
      <c r="B244" s="145"/>
      <c r="C244" s="86"/>
      <c r="D244" s="166">
        <v>1207.4673</v>
      </c>
      <c r="E244" s="145">
        <v>263.07011299999999</v>
      </c>
      <c r="F244" s="195"/>
      <c r="G244" s="195"/>
      <c r="H244" s="195"/>
      <c r="I244" s="195"/>
      <c r="J244" s="166">
        <v>1654.2161900000001</v>
      </c>
      <c r="K244" s="252">
        <f t="shared" si="18"/>
        <v>3139.6536030000002</v>
      </c>
      <c r="L244" s="88" t="s">
        <v>83</v>
      </c>
      <c r="M244" s="87"/>
      <c r="N244" s="353"/>
    </row>
    <row r="245" spans="1:14" s="65" customFormat="1" ht="11.25" hidden="1" x14ac:dyDescent="0.2">
      <c r="A245" s="145">
        <f>SUM(A242:A244)</f>
        <v>36.49</v>
      </c>
      <c r="B245" s="145"/>
      <c r="C245" s="86"/>
      <c r="D245" s="166">
        <f>SUM(D242:D244)</f>
        <v>3889.2558749999998</v>
      </c>
      <c r="E245" s="145">
        <f>SUM(E242:E244)</f>
        <v>727.97500300000002</v>
      </c>
      <c r="F245" s="195"/>
      <c r="G245" s="195"/>
      <c r="H245" s="195"/>
      <c r="I245" s="195"/>
      <c r="J245" s="166">
        <f>SUM(J242:J244)</f>
        <v>4849.3015400000004</v>
      </c>
      <c r="K245" s="252">
        <f t="shared" si="18"/>
        <v>9503.0224179999987</v>
      </c>
      <c r="L245" s="88" t="s">
        <v>54</v>
      </c>
      <c r="M245" s="87"/>
      <c r="N245" s="353"/>
    </row>
    <row r="246" spans="1:14" s="65" customFormat="1" ht="11.25" hidden="1" x14ac:dyDescent="0.2">
      <c r="A246" s="145">
        <v>17.477</v>
      </c>
      <c r="B246" s="145"/>
      <c r="C246" s="86"/>
      <c r="D246" s="166">
        <v>1495.2550719999999</v>
      </c>
      <c r="E246" s="145">
        <v>312.17</v>
      </c>
      <c r="F246" s="195"/>
      <c r="G246" s="195"/>
      <c r="H246" s="195"/>
      <c r="I246" s="195"/>
      <c r="J246" s="166">
        <v>1616.57322</v>
      </c>
      <c r="K246" s="252">
        <f t="shared" si="18"/>
        <v>3441.4752920000001</v>
      </c>
      <c r="L246" s="88" t="s">
        <v>85</v>
      </c>
      <c r="M246" s="87"/>
      <c r="N246" s="353"/>
    </row>
    <row r="247" spans="1:14" s="65" customFormat="1" ht="11.25" hidden="1" x14ac:dyDescent="0.2">
      <c r="A247" s="145">
        <v>13.259</v>
      </c>
      <c r="B247" s="145"/>
      <c r="C247" s="86"/>
      <c r="D247" s="166">
        <v>1471.124399</v>
      </c>
      <c r="E247" s="145">
        <v>186.989</v>
      </c>
      <c r="F247" s="195"/>
      <c r="G247" s="195"/>
      <c r="H247" s="195"/>
      <c r="I247" s="195"/>
      <c r="J247" s="166">
        <v>1492.7285300000001</v>
      </c>
      <c r="K247" s="252">
        <f t="shared" si="18"/>
        <v>3164.1009290000002</v>
      </c>
      <c r="L247" s="88" t="s">
        <v>86</v>
      </c>
      <c r="M247" s="87"/>
      <c r="N247" s="353"/>
    </row>
    <row r="248" spans="1:14" s="65" customFormat="1" ht="11.25" hidden="1" x14ac:dyDescent="0.2">
      <c r="A248" s="145">
        <v>9.1630000000000003</v>
      </c>
      <c r="B248" s="145"/>
      <c r="C248" s="86"/>
      <c r="D248" s="166">
        <v>1321.8846000000001</v>
      </c>
      <c r="E248" s="145">
        <v>305.50281000000001</v>
      </c>
      <c r="F248" s="195"/>
      <c r="G248" s="195"/>
      <c r="H248" s="195"/>
      <c r="I248" s="195"/>
      <c r="J248" s="166">
        <v>1460.02603</v>
      </c>
      <c r="K248" s="252">
        <f t="shared" si="18"/>
        <v>3096.5764400000003</v>
      </c>
      <c r="L248" s="88" t="s">
        <v>87</v>
      </c>
      <c r="M248" s="87"/>
      <c r="N248" s="353"/>
    </row>
    <row r="249" spans="1:14" s="65" customFormat="1" ht="11.25" hidden="1" x14ac:dyDescent="0.2">
      <c r="A249" s="145">
        <f>SUM(A246:A248)</f>
        <v>39.899000000000001</v>
      </c>
      <c r="B249" s="145"/>
      <c r="C249" s="86"/>
      <c r="D249" s="166">
        <f>SUM(D246:D248)</f>
        <v>4288.2640710000005</v>
      </c>
      <c r="E249" s="145">
        <f>SUM(E246:E248)</f>
        <v>804.66181000000006</v>
      </c>
      <c r="F249" s="195"/>
      <c r="G249" s="195"/>
      <c r="H249" s="195"/>
      <c r="I249" s="195"/>
      <c r="J249" s="166">
        <f>SUM(J246:J248)</f>
        <v>4569.3277799999996</v>
      </c>
      <c r="K249" s="252">
        <f t="shared" si="18"/>
        <v>9702.1526609999983</v>
      </c>
      <c r="L249" s="88" t="s">
        <v>55</v>
      </c>
      <c r="M249" s="87"/>
      <c r="N249" s="353"/>
    </row>
    <row r="250" spans="1:14" s="65" customFormat="1" ht="11.25" hidden="1" x14ac:dyDescent="0.2">
      <c r="A250" s="145">
        <v>21.192</v>
      </c>
      <c r="B250" s="145"/>
      <c r="C250" s="86"/>
      <c r="D250" s="166">
        <v>1257.103071</v>
      </c>
      <c r="E250" s="145">
        <v>230.434</v>
      </c>
      <c r="F250" s="195"/>
      <c r="G250" s="195"/>
      <c r="H250" s="195"/>
      <c r="I250" s="195"/>
      <c r="J250" s="166">
        <v>1798.66572</v>
      </c>
      <c r="K250" s="252">
        <f t="shared" si="18"/>
        <v>3307.3947909999997</v>
      </c>
      <c r="L250" s="88" t="s">
        <v>89</v>
      </c>
      <c r="M250" s="87"/>
      <c r="N250" s="353"/>
    </row>
    <row r="251" spans="1:14" s="65" customFormat="1" ht="11.25" hidden="1" x14ac:dyDescent="0.2">
      <c r="A251" s="145">
        <v>19.989000000000001</v>
      </c>
      <c r="B251" s="145"/>
      <c r="C251" s="86"/>
      <c r="D251" s="166">
        <v>1399.293453</v>
      </c>
      <c r="E251" s="145">
        <v>238.20099999999999</v>
      </c>
      <c r="F251" s="195"/>
      <c r="G251" s="195"/>
      <c r="H251" s="195"/>
      <c r="I251" s="195"/>
      <c r="J251" s="166">
        <v>1461.65879</v>
      </c>
      <c r="K251" s="252">
        <f t="shared" si="18"/>
        <v>3119.1422429999998</v>
      </c>
      <c r="L251" s="88" t="s">
        <v>90</v>
      </c>
      <c r="M251" s="87"/>
      <c r="N251" s="353"/>
    </row>
    <row r="252" spans="1:14" s="65" customFormat="1" ht="11.25" hidden="1" x14ac:dyDescent="0.2">
      <c r="A252" s="145">
        <v>23.876999999999999</v>
      </c>
      <c r="B252" s="145"/>
      <c r="C252" s="86"/>
      <c r="D252" s="166">
        <v>1297.33</v>
      </c>
      <c r="E252" s="145">
        <v>285.2</v>
      </c>
      <c r="F252" s="195"/>
      <c r="G252" s="195"/>
      <c r="H252" s="195"/>
      <c r="I252" s="195"/>
      <c r="J252" s="144">
        <v>1407.0029199999999</v>
      </c>
      <c r="K252" s="252">
        <f t="shared" si="18"/>
        <v>3013.4099199999996</v>
      </c>
      <c r="L252" s="88" t="s">
        <v>91</v>
      </c>
      <c r="M252" s="87"/>
      <c r="N252" s="353"/>
    </row>
    <row r="253" spans="1:14" s="65" customFormat="1" ht="11.25" hidden="1" x14ac:dyDescent="0.2">
      <c r="A253" s="145">
        <f>SUM(A250:A252)</f>
        <v>65.057999999999993</v>
      </c>
      <c r="B253" s="145"/>
      <c r="C253" s="86"/>
      <c r="D253" s="166">
        <f>SUM(D250:D252)</f>
        <v>3953.7265239999997</v>
      </c>
      <c r="E253" s="145">
        <f>SUM(E250:E252)</f>
        <v>753.83500000000004</v>
      </c>
      <c r="F253" s="195"/>
      <c r="G253" s="195"/>
      <c r="H253" s="195"/>
      <c r="I253" s="195"/>
      <c r="J253" s="166">
        <f>SUM(J250:J252)</f>
        <v>4667.3274299999994</v>
      </c>
      <c r="K253" s="252">
        <f t="shared" si="18"/>
        <v>9439.9469539999991</v>
      </c>
      <c r="L253" s="88" t="s">
        <v>56</v>
      </c>
      <c r="M253" s="87"/>
      <c r="N253" s="353"/>
    </row>
    <row r="254" spans="1:14" s="65" customFormat="1" ht="11.25" hidden="1" x14ac:dyDescent="0.2">
      <c r="A254" s="130"/>
      <c r="B254" s="130"/>
      <c r="C254" s="86"/>
      <c r="D254" s="158"/>
      <c r="E254" s="130"/>
      <c r="F254" s="195"/>
      <c r="G254" s="195"/>
      <c r="H254" s="195"/>
      <c r="I254" s="195"/>
      <c r="J254" s="158"/>
      <c r="K254" s="252"/>
      <c r="L254" s="88"/>
      <c r="M254" s="87"/>
    </row>
    <row r="255" spans="1:14" s="65" customFormat="1" ht="11.25" hidden="1" x14ac:dyDescent="0.2">
      <c r="A255" s="145">
        <v>17.271999999999998</v>
      </c>
      <c r="B255" s="145"/>
      <c r="C255" s="146"/>
      <c r="D255" s="166">
        <v>1281.2017000000001</v>
      </c>
      <c r="E255" s="145">
        <v>293.58800000000002</v>
      </c>
      <c r="F255" s="217"/>
      <c r="G255" s="217"/>
      <c r="H255" s="217"/>
      <c r="I255" s="217"/>
      <c r="J255" s="166">
        <v>1713.7627379999999</v>
      </c>
      <c r="K255" s="252">
        <f t="shared" ref="K255:K270" si="19">J255+E255+D255+A255</f>
        <v>3305.8244379999996</v>
      </c>
      <c r="L255" s="88" t="s">
        <v>78</v>
      </c>
      <c r="M255" s="87">
        <v>2020</v>
      </c>
    </row>
    <row r="256" spans="1:14" s="65" customFormat="1" ht="11.25" hidden="1" x14ac:dyDescent="0.2">
      <c r="A256" s="145">
        <v>3.415</v>
      </c>
      <c r="B256" s="145"/>
      <c r="C256" s="146"/>
      <c r="D256" s="166">
        <v>1230.5466140000001</v>
      </c>
      <c r="E256" s="145">
        <v>306.392</v>
      </c>
      <c r="F256" s="217"/>
      <c r="G256" s="217"/>
      <c r="H256" s="217"/>
      <c r="I256" s="217"/>
      <c r="J256" s="166">
        <v>1492.7874879999999</v>
      </c>
      <c r="K256" s="252">
        <f t="shared" si="19"/>
        <v>3033.141102</v>
      </c>
      <c r="L256" s="88" t="s">
        <v>79</v>
      </c>
      <c r="M256" s="87"/>
    </row>
    <row r="257" spans="1:14" s="65" customFormat="1" ht="11.25" hidden="1" x14ac:dyDescent="0.2">
      <c r="A257" s="145">
        <v>13.304</v>
      </c>
      <c r="B257" s="145"/>
      <c r="C257" s="146"/>
      <c r="D257" s="166">
        <v>1181.8113000000001</v>
      </c>
      <c r="E257" s="145">
        <v>411.89699999999999</v>
      </c>
      <c r="F257" s="217"/>
      <c r="G257" s="217"/>
      <c r="H257" s="217"/>
      <c r="I257" s="217"/>
      <c r="J257" s="166">
        <v>1704.3809699999999</v>
      </c>
      <c r="K257" s="252">
        <f t="shared" si="19"/>
        <v>3311.3932700000005</v>
      </c>
      <c r="L257" s="88" t="s">
        <v>80</v>
      </c>
      <c r="M257" s="87"/>
    </row>
    <row r="258" spans="1:14" s="65" customFormat="1" ht="11.25" hidden="1" x14ac:dyDescent="0.2">
      <c r="A258" s="145">
        <f>SUM(A255:A257)</f>
        <v>33.991</v>
      </c>
      <c r="B258" s="145"/>
      <c r="C258" s="86"/>
      <c r="D258" s="166">
        <f>SUM(D255:D257)</f>
        <v>3693.5596140000007</v>
      </c>
      <c r="E258" s="145">
        <f>SUM(E255:E257)</f>
        <v>1011.877</v>
      </c>
      <c r="F258" s="195"/>
      <c r="G258" s="195"/>
      <c r="H258" s="195"/>
      <c r="I258" s="195"/>
      <c r="J258" s="166">
        <f>SUM(J255:J257)</f>
        <v>4910.9311959999995</v>
      </c>
      <c r="K258" s="252">
        <f t="shared" si="19"/>
        <v>9650.3588099999997</v>
      </c>
      <c r="L258" s="88" t="s">
        <v>53</v>
      </c>
      <c r="M258" s="87">
        <v>2020</v>
      </c>
      <c r="N258" s="353"/>
    </row>
    <row r="259" spans="1:14" s="65" customFormat="1" ht="11.25" hidden="1" x14ac:dyDescent="0.2">
      <c r="A259" s="145">
        <v>15.843</v>
      </c>
      <c r="B259" s="145"/>
      <c r="C259" s="86"/>
      <c r="D259" s="166">
        <v>1323.4078050000001</v>
      </c>
      <c r="E259" s="145">
        <v>291.76499999999999</v>
      </c>
      <c r="F259" s="195"/>
      <c r="G259" s="195"/>
      <c r="H259" s="195"/>
      <c r="I259" s="195"/>
      <c r="J259" s="166">
        <v>1402.0310899999999</v>
      </c>
      <c r="K259" s="252">
        <f t="shared" si="19"/>
        <v>3033.0468949999995</v>
      </c>
      <c r="L259" s="88" t="s">
        <v>68</v>
      </c>
      <c r="M259" s="87"/>
      <c r="N259" s="353"/>
    </row>
    <row r="260" spans="1:14" s="65" customFormat="1" ht="11.25" hidden="1" x14ac:dyDescent="0.2">
      <c r="A260" s="145">
        <v>10.5</v>
      </c>
      <c r="B260" s="145"/>
      <c r="C260" s="86"/>
      <c r="D260" s="166">
        <v>1239.1087</v>
      </c>
      <c r="E260" s="145">
        <v>358.72383300000001</v>
      </c>
      <c r="F260" s="195"/>
      <c r="G260" s="195"/>
      <c r="H260" s="195"/>
      <c r="I260" s="195"/>
      <c r="J260" s="166">
        <v>1511.1165639999999</v>
      </c>
      <c r="K260" s="252">
        <f t="shared" si="19"/>
        <v>3119.4490969999997</v>
      </c>
      <c r="L260" s="88" t="s">
        <v>82</v>
      </c>
      <c r="M260" s="87"/>
      <c r="N260" s="353"/>
    </row>
    <row r="261" spans="1:14" s="65" customFormat="1" ht="11.25" hidden="1" x14ac:dyDescent="0.2">
      <c r="A261" s="145">
        <v>9.0239999999999991</v>
      </c>
      <c r="B261" s="145"/>
      <c r="C261" s="86"/>
      <c r="D261" s="166">
        <v>1378.1964</v>
      </c>
      <c r="E261" s="145">
        <v>382.05799999999999</v>
      </c>
      <c r="F261" s="195"/>
      <c r="G261" s="195"/>
      <c r="H261" s="195"/>
      <c r="I261" s="195"/>
      <c r="J261" s="166">
        <v>1365.1158499999999</v>
      </c>
      <c r="K261" s="252">
        <f t="shared" si="19"/>
        <v>3134.3942499999998</v>
      </c>
      <c r="L261" s="88" t="s">
        <v>83</v>
      </c>
      <c r="M261" s="87"/>
      <c r="N261" s="353"/>
    </row>
    <row r="262" spans="1:14" s="65" customFormat="1" ht="11.25" hidden="1" x14ac:dyDescent="0.2">
      <c r="A262" s="145">
        <f>SUM(A259:A261)</f>
        <v>35.366999999999997</v>
      </c>
      <c r="B262" s="145"/>
      <c r="C262" s="86"/>
      <c r="D262" s="166">
        <f>SUM(D259:D261)</f>
        <v>3940.7129050000003</v>
      </c>
      <c r="E262" s="145">
        <f>SUM(E259:E261)</f>
        <v>1032.5468329999999</v>
      </c>
      <c r="F262" s="195"/>
      <c r="G262" s="195"/>
      <c r="H262" s="195"/>
      <c r="I262" s="195"/>
      <c r="J262" s="166">
        <f>SUM(J259:J261)</f>
        <v>4278.2635039999996</v>
      </c>
      <c r="K262" s="252">
        <f t="shared" si="19"/>
        <v>9286.8902419999995</v>
      </c>
      <c r="L262" s="88" t="s">
        <v>54</v>
      </c>
      <c r="M262" s="87"/>
      <c r="N262" s="353"/>
    </row>
    <row r="263" spans="1:14" s="65" customFormat="1" ht="11.25" hidden="1" x14ac:dyDescent="0.2">
      <c r="A263" s="145">
        <v>7.8179999999999996</v>
      </c>
      <c r="B263" s="145"/>
      <c r="C263" s="86"/>
      <c r="D263" s="166">
        <v>1420.1552999999999</v>
      </c>
      <c r="E263" s="145">
        <v>346.411</v>
      </c>
      <c r="F263" s="195"/>
      <c r="G263" s="195"/>
      <c r="H263" s="195"/>
      <c r="I263" s="195"/>
      <c r="J263" s="166">
        <v>1322.0130799999999</v>
      </c>
      <c r="K263" s="252">
        <f t="shared" si="19"/>
        <v>3096.3973800000003</v>
      </c>
      <c r="L263" s="88" t="s">
        <v>85</v>
      </c>
      <c r="M263" s="87"/>
      <c r="N263" s="353"/>
    </row>
    <row r="264" spans="1:14" s="65" customFormat="1" ht="11.25" hidden="1" x14ac:dyDescent="0.2">
      <c r="A264" s="145">
        <v>10.92</v>
      </c>
      <c r="B264" s="145"/>
      <c r="C264" s="86"/>
      <c r="D264" s="166">
        <v>1443.1404</v>
      </c>
      <c r="E264" s="145">
        <v>458.03699999999998</v>
      </c>
      <c r="F264" s="195"/>
      <c r="G264" s="195"/>
      <c r="H264" s="195"/>
      <c r="I264" s="195"/>
      <c r="J264" s="166">
        <v>1536.95174</v>
      </c>
      <c r="K264" s="252">
        <f t="shared" si="19"/>
        <v>3449.0491400000001</v>
      </c>
      <c r="L264" s="88" t="s">
        <v>86</v>
      </c>
      <c r="M264" s="87"/>
      <c r="N264" s="353"/>
    </row>
    <row r="265" spans="1:14" s="65" customFormat="1" ht="11.25" hidden="1" x14ac:dyDescent="0.2">
      <c r="A265" s="145">
        <v>4.8710000000000004</v>
      </c>
      <c r="B265" s="145"/>
      <c r="C265" s="86"/>
      <c r="D265" s="166">
        <v>1331.5418999999999</v>
      </c>
      <c r="E265" s="145">
        <v>336.11900000000003</v>
      </c>
      <c r="F265" s="195"/>
      <c r="G265" s="195"/>
      <c r="H265" s="195"/>
      <c r="I265" s="195"/>
      <c r="J265" s="166">
        <v>1410.0119199999999</v>
      </c>
      <c r="K265" s="252">
        <f t="shared" si="19"/>
        <v>3082.5438199999999</v>
      </c>
      <c r="L265" s="88" t="s">
        <v>87</v>
      </c>
      <c r="M265" s="87"/>
      <c r="N265" s="353"/>
    </row>
    <row r="266" spans="1:14" s="65" customFormat="1" ht="11.25" hidden="1" x14ac:dyDescent="0.2">
      <c r="A266" s="145">
        <f>SUM(A263:A265)</f>
        <v>23.609000000000002</v>
      </c>
      <c r="B266" s="145"/>
      <c r="C266" s="86"/>
      <c r="D266" s="166">
        <f>SUM(D263:D265)</f>
        <v>4194.8375999999998</v>
      </c>
      <c r="E266" s="145">
        <f>SUM(E263:E265)</f>
        <v>1140.567</v>
      </c>
      <c r="F266" s="195"/>
      <c r="G266" s="195"/>
      <c r="H266" s="195"/>
      <c r="I266" s="195"/>
      <c r="J266" s="166">
        <f>SUM(J263:J265)</f>
        <v>4268.9767400000001</v>
      </c>
      <c r="K266" s="252">
        <f t="shared" si="19"/>
        <v>9627.9903400000003</v>
      </c>
      <c r="L266" s="88" t="s">
        <v>55</v>
      </c>
      <c r="M266" s="87"/>
      <c r="N266" s="353"/>
    </row>
    <row r="267" spans="1:14" s="65" customFormat="1" ht="11.25" hidden="1" x14ac:dyDescent="0.2">
      <c r="A267" s="145">
        <v>13.234999999999999</v>
      </c>
      <c r="B267" s="145"/>
      <c r="C267" s="86"/>
      <c r="D267" s="166">
        <v>1417.9183</v>
      </c>
      <c r="E267" s="145">
        <v>385.14</v>
      </c>
      <c r="F267" s="195"/>
      <c r="G267" s="195"/>
      <c r="H267" s="195"/>
      <c r="I267" s="195"/>
      <c r="J267" s="166">
        <v>1491.7130999999999</v>
      </c>
      <c r="K267" s="252">
        <f t="shared" si="19"/>
        <v>3308.0063999999998</v>
      </c>
      <c r="L267" s="88" t="s">
        <v>89</v>
      </c>
      <c r="M267" s="87"/>
      <c r="N267" s="353"/>
    </row>
    <row r="268" spans="1:14" s="65" customFormat="1" ht="11.25" hidden="1" x14ac:dyDescent="0.2">
      <c r="A268" s="145">
        <v>15.939</v>
      </c>
      <c r="B268" s="145"/>
      <c r="C268" s="86"/>
      <c r="D268" s="166">
        <v>1437.9177999999999</v>
      </c>
      <c r="E268" s="145">
        <v>470.5</v>
      </c>
      <c r="F268" s="195"/>
      <c r="G268" s="195"/>
      <c r="H268" s="195"/>
      <c r="I268" s="195"/>
      <c r="J268" s="166">
        <v>1295.8710490000001</v>
      </c>
      <c r="K268" s="252">
        <f t="shared" si="19"/>
        <v>3220.2278489999999</v>
      </c>
      <c r="L268" s="88" t="s">
        <v>90</v>
      </c>
      <c r="M268" s="87"/>
      <c r="N268" s="353"/>
    </row>
    <row r="269" spans="1:14" s="65" customFormat="1" ht="11.25" hidden="1" x14ac:dyDescent="0.2">
      <c r="A269" s="145">
        <v>27.027000000000001</v>
      </c>
      <c r="B269" s="145"/>
      <c r="C269" s="86"/>
      <c r="D269" s="166">
        <v>1380.0900999999999</v>
      </c>
      <c r="E269" s="145">
        <v>415.92165699999998</v>
      </c>
      <c r="F269" s="195"/>
      <c r="G269" s="195"/>
      <c r="H269" s="195"/>
      <c r="I269" s="195"/>
      <c r="J269" s="166">
        <v>1412.80539</v>
      </c>
      <c r="K269" s="252">
        <f t="shared" si="19"/>
        <v>3235.8441469999998</v>
      </c>
      <c r="L269" s="88" t="s">
        <v>91</v>
      </c>
      <c r="M269" s="87"/>
      <c r="N269" s="353"/>
    </row>
    <row r="270" spans="1:14" s="65" customFormat="1" ht="11.25" hidden="1" x14ac:dyDescent="0.2">
      <c r="A270" s="145">
        <f>SUM(A267:A269)</f>
        <v>56.201000000000001</v>
      </c>
      <c r="B270" s="145"/>
      <c r="C270" s="86"/>
      <c r="D270" s="166">
        <f>SUM(D267:D269)</f>
        <v>4235.9261999999999</v>
      </c>
      <c r="E270" s="145">
        <f>SUM(E267:E269)</f>
        <v>1271.561657</v>
      </c>
      <c r="F270" s="195"/>
      <c r="G270" s="195"/>
      <c r="H270" s="195"/>
      <c r="I270" s="195"/>
      <c r="J270" s="166">
        <f>SUM(J267:J269)</f>
        <v>4200.3895389999998</v>
      </c>
      <c r="K270" s="252">
        <f t="shared" si="19"/>
        <v>9764.078395999999</v>
      </c>
      <c r="L270" s="88" t="s">
        <v>56</v>
      </c>
      <c r="M270" s="87"/>
      <c r="N270" s="353"/>
    </row>
    <row r="271" spans="1:14" s="65" customFormat="1" ht="11.25" hidden="1" x14ac:dyDescent="0.2">
      <c r="A271" s="130"/>
      <c r="B271" s="130"/>
      <c r="C271" s="86"/>
      <c r="D271" s="158"/>
      <c r="E271" s="130"/>
      <c r="F271" s="195"/>
      <c r="G271" s="195"/>
      <c r="H271" s="195"/>
      <c r="I271" s="195"/>
      <c r="J271" s="158"/>
      <c r="K271" s="252"/>
      <c r="L271" s="88"/>
      <c r="M271" s="87"/>
    </row>
    <row r="272" spans="1:14" s="65" customFormat="1" ht="11.25" hidden="1" x14ac:dyDescent="0.2">
      <c r="A272" s="145">
        <v>10.635999999999999</v>
      </c>
      <c r="B272" s="145">
        <v>0</v>
      </c>
      <c r="C272" s="146"/>
      <c r="D272" s="166">
        <v>1336.2301</v>
      </c>
      <c r="E272" s="145">
        <v>375.79700000000003</v>
      </c>
      <c r="F272" s="217"/>
      <c r="G272" s="217">
        <v>16.222000000000001</v>
      </c>
      <c r="H272" s="217">
        <f>59.944061+169.13578</f>
        <v>229.07984100000002</v>
      </c>
      <c r="I272" s="195">
        <v>280.18599999999998</v>
      </c>
      <c r="J272" s="166">
        <v>967.6952</v>
      </c>
      <c r="K272" s="278">
        <f>J272+I272+H272+G272+F272+E272+D272+C272+B272+A272</f>
        <v>3215.846141</v>
      </c>
      <c r="L272" s="154" t="s">
        <v>78</v>
      </c>
      <c r="M272" s="135">
        <v>2021</v>
      </c>
    </row>
    <row r="273" spans="1:15" s="65" customFormat="1" ht="11.25" hidden="1" x14ac:dyDescent="0.2">
      <c r="A273" s="145">
        <v>12.019</v>
      </c>
      <c r="B273" s="145">
        <v>0</v>
      </c>
      <c r="C273" s="146"/>
      <c r="D273" s="166">
        <v>1234.8083999999999</v>
      </c>
      <c r="E273" s="145">
        <v>402.266389</v>
      </c>
      <c r="F273" s="217"/>
      <c r="G273" s="217">
        <v>40.393000000000001</v>
      </c>
      <c r="H273" s="217">
        <f>90.016433+92.71968</f>
        <v>182.73611299999999</v>
      </c>
      <c r="I273" s="195">
        <v>257.02300000000002</v>
      </c>
      <c r="J273" s="166">
        <v>936.5963999999999</v>
      </c>
      <c r="K273" s="278">
        <f t="shared" ref="K273:K286" si="20">J273+I273+H273+G273+F273+E273+D273+C273+B273+A273</f>
        <v>3065.8423019999996</v>
      </c>
      <c r="L273" s="154" t="s">
        <v>79</v>
      </c>
      <c r="M273" s="87"/>
    </row>
    <row r="274" spans="1:15" s="65" customFormat="1" ht="11.25" hidden="1" x14ac:dyDescent="0.2">
      <c r="A274" s="145">
        <v>8.4</v>
      </c>
      <c r="B274" s="145">
        <v>0</v>
      </c>
      <c r="C274" s="146"/>
      <c r="D274" s="166">
        <v>1385.3335</v>
      </c>
      <c r="E274" s="145">
        <v>367.04199999999997</v>
      </c>
      <c r="F274" s="217"/>
      <c r="G274" s="217">
        <v>32.67</v>
      </c>
      <c r="H274" s="217">
        <f>74.960317+132.66305</f>
        <v>207.623367</v>
      </c>
      <c r="I274" s="195">
        <v>200.65299999999999</v>
      </c>
      <c r="J274" s="166">
        <v>978.27679999999998</v>
      </c>
      <c r="K274" s="278">
        <f t="shared" si="20"/>
        <v>3179.9986669999998</v>
      </c>
      <c r="L274" s="154" t="s">
        <v>80</v>
      </c>
      <c r="M274" s="87"/>
    </row>
    <row r="275" spans="1:15" s="65" customFormat="1" ht="11.25" x14ac:dyDescent="0.2">
      <c r="A275" s="145">
        <f>SUM(A272:A274)</f>
        <v>31.055</v>
      </c>
      <c r="B275" s="145">
        <f>SUM(B272:B274)</f>
        <v>0</v>
      </c>
      <c r="C275" s="146"/>
      <c r="D275" s="166">
        <f>SUM(D272:D274)</f>
        <v>3956.3719999999994</v>
      </c>
      <c r="E275" s="145">
        <f>SUM(E272:E274)</f>
        <v>1145.1053890000001</v>
      </c>
      <c r="F275" s="217"/>
      <c r="G275" s="217">
        <f>SUM(G272:G274)</f>
        <v>89.284999999999997</v>
      </c>
      <c r="H275" s="217">
        <f>SUM(H272:H274)</f>
        <v>619.43932100000006</v>
      </c>
      <c r="I275" s="217">
        <f>SUM(I272:I274)</f>
        <v>737.86200000000008</v>
      </c>
      <c r="J275" s="166">
        <f>SUM(J272:J274)</f>
        <v>2882.5684000000001</v>
      </c>
      <c r="K275" s="278">
        <f t="shared" si="20"/>
        <v>9461.6871099999989</v>
      </c>
      <c r="L275" s="154" t="s">
        <v>53</v>
      </c>
      <c r="M275" s="151">
        <v>2021</v>
      </c>
      <c r="N275" s="353"/>
      <c r="O275" s="353"/>
    </row>
    <row r="276" spans="1:15" s="65" customFormat="1" ht="11.25" hidden="1" x14ac:dyDescent="0.2">
      <c r="A276" s="145">
        <v>20.516999999999999</v>
      </c>
      <c r="B276" s="145">
        <v>0</v>
      </c>
      <c r="C276" s="146"/>
      <c r="D276" s="166">
        <v>1314.6483000000001</v>
      </c>
      <c r="E276" s="145">
        <v>390.73500000000001</v>
      </c>
      <c r="F276" s="217"/>
      <c r="G276" s="217">
        <v>22.689</v>
      </c>
      <c r="H276" s="217">
        <f>123.049755+126.58207</f>
        <v>249.63182499999999</v>
      </c>
      <c r="I276" s="217">
        <v>376.964496</v>
      </c>
      <c r="J276" s="166">
        <v>1017.7877</v>
      </c>
      <c r="K276" s="278">
        <f t="shared" si="20"/>
        <v>3392.9733209999995</v>
      </c>
      <c r="L276" s="154" t="s">
        <v>68</v>
      </c>
      <c r="M276" s="151"/>
      <c r="N276" s="353"/>
      <c r="O276" s="353">
        <f>SUM(B276:D276)</f>
        <v>1314.6483000000001</v>
      </c>
    </row>
    <row r="277" spans="1:15" s="65" customFormat="1" ht="11.25" hidden="1" x14ac:dyDescent="0.2">
      <c r="A277" s="145">
        <v>16.545000000000002</v>
      </c>
      <c r="B277" s="145">
        <v>0</v>
      </c>
      <c r="C277" s="146"/>
      <c r="D277" s="166">
        <v>1247.9540999999999</v>
      </c>
      <c r="E277" s="145">
        <v>400.54700000000003</v>
      </c>
      <c r="F277" s="217"/>
      <c r="G277" s="217">
        <v>44.167999999999999</v>
      </c>
      <c r="H277" s="217">
        <f>101.873625+89.816196</f>
        <v>191.68982099999999</v>
      </c>
      <c r="I277" s="217">
        <v>356.62700000000001</v>
      </c>
      <c r="J277" s="166">
        <v>950.00630000000001</v>
      </c>
      <c r="K277" s="278">
        <f t="shared" si="20"/>
        <v>3207.5372209999996</v>
      </c>
      <c r="L277" s="154" t="s">
        <v>82</v>
      </c>
      <c r="M277" s="151"/>
      <c r="N277" s="353"/>
      <c r="O277" s="353">
        <f>SUM(B277:D277)</f>
        <v>1247.9540999999999</v>
      </c>
    </row>
    <row r="278" spans="1:15" s="65" customFormat="1" ht="11.25" hidden="1" x14ac:dyDescent="0.2">
      <c r="A278" s="145">
        <v>17.452000000000002</v>
      </c>
      <c r="B278" s="145">
        <v>0</v>
      </c>
      <c r="C278" s="146"/>
      <c r="D278" s="166">
        <v>1421.3611000000001</v>
      </c>
      <c r="E278" s="145">
        <v>448.82100000000003</v>
      </c>
      <c r="F278" s="217"/>
      <c r="G278" s="217">
        <v>41.85</v>
      </c>
      <c r="H278" s="217">
        <f>68.151013+203.51246</f>
        <v>271.66347300000001</v>
      </c>
      <c r="I278" s="217">
        <v>327.2448</v>
      </c>
      <c r="J278" s="166">
        <v>1034.49</v>
      </c>
      <c r="K278" s="278">
        <f t="shared" si="20"/>
        <v>3562.8823730000004</v>
      </c>
      <c r="L278" s="154" t="s">
        <v>83</v>
      </c>
      <c r="M278" s="151"/>
      <c r="N278" s="353"/>
      <c r="O278" s="353">
        <f>SUM(B278:D278)</f>
        <v>1421.3611000000001</v>
      </c>
    </row>
    <row r="279" spans="1:15" s="65" customFormat="1" ht="11.25" x14ac:dyDescent="0.2">
      <c r="A279" s="145">
        <f>SUM(A276:A278)</f>
        <v>54.513999999999996</v>
      </c>
      <c r="B279" s="145">
        <f>SUM(B276:B278)</f>
        <v>0</v>
      </c>
      <c r="C279" s="146"/>
      <c r="D279" s="166">
        <f>SUM(D276:D278)</f>
        <v>3983.9634999999998</v>
      </c>
      <c r="E279" s="145">
        <f>SUM(E276:E278)</f>
        <v>1240.1030000000001</v>
      </c>
      <c r="F279" s="217"/>
      <c r="G279" s="217">
        <f>SUM(G276:G278)</f>
        <v>108.70699999999999</v>
      </c>
      <c r="H279" s="217">
        <f>SUM(H276:H278)</f>
        <v>712.98511899999994</v>
      </c>
      <c r="I279" s="217">
        <f>SUM(I276:I278)</f>
        <v>1060.8362959999999</v>
      </c>
      <c r="J279" s="166">
        <f>SUM(J276:J278)</f>
        <v>3002.2839999999997</v>
      </c>
      <c r="K279" s="278">
        <f t="shared" si="20"/>
        <v>10163.392915</v>
      </c>
      <c r="L279" s="154" t="s">
        <v>54</v>
      </c>
      <c r="M279" s="151"/>
      <c r="N279" s="353"/>
      <c r="O279" s="353"/>
    </row>
    <row r="280" spans="1:15" s="65" customFormat="1" ht="11.25" hidden="1" x14ac:dyDescent="0.2">
      <c r="A280" s="145">
        <v>16.007000000000001</v>
      </c>
      <c r="B280" s="145">
        <v>29.901904999999999</v>
      </c>
      <c r="C280" s="146"/>
      <c r="D280" s="166">
        <v>1376.1211000000001</v>
      </c>
      <c r="E280" s="145">
        <v>400.68400000000003</v>
      </c>
      <c r="F280" s="217"/>
      <c r="G280" s="217">
        <v>35.545000000000002</v>
      </c>
      <c r="H280" s="217">
        <f>96.297208+126.362593</f>
        <v>222.65980100000002</v>
      </c>
      <c r="I280" s="217">
        <v>321.73</v>
      </c>
      <c r="J280" s="166">
        <v>950.4928000000001</v>
      </c>
      <c r="K280" s="278">
        <f t="shared" si="20"/>
        <v>3353.1416060000001</v>
      </c>
      <c r="L280" s="154" t="s">
        <v>85</v>
      </c>
      <c r="M280" s="151"/>
      <c r="N280" s="353"/>
      <c r="O280" s="353"/>
    </row>
    <row r="281" spans="1:15" s="65" customFormat="1" ht="11.25" hidden="1" x14ac:dyDescent="0.2">
      <c r="A281" s="145">
        <v>22.303000000000001</v>
      </c>
      <c r="B281" s="145">
        <v>29.926431999999998</v>
      </c>
      <c r="C281" s="146"/>
      <c r="D281" s="166">
        <v>1501.4232</v>
      </c>
      <c r="E281" s="145">
        <v>439.85482200000001</v>
      </c>
      <c r="F281" s="217"/>
      <c r="G281" s="217">
        <v>42.017000000000003</v>
      </c>
      <c r="H281" s="217">
        <f>119.05053+253.85496</f>
        <v>372.90548999999999</v>
      </c>
      <c r="I281" s="217">
        <v>343.084</v>
      </c>
      <c r="J281" s="166">
        <v>984.88580000000002</v>
      </c>
      <c r="K281" s="278">
        <f t="shared" si="20"/>
        <v>3736.3997440000003</v>
      </c>
      <c r="L281" s="348" t="s">
        <v>86</v>
      </c>
      <c r="M281" s="151"/>
      <c r="N281" s="353"/>
      <c r="O281" s="353"/>
    </row>
    <row r="282" spans="1:15" s="65" customFormat="1" ht="11.25" hidden="1" x14ac:dyDescent="0.2">
      <c r="A282" s="145">
        <v>17.613</v>
      </c>
      <c r="B282" s="145">
        <v>0</v>
      </c>
      <c r="C282" s="146"/>
      <c r="D282" s="166">
        <v>1153.2</v>
      </c>
      <c r="E282" s="145">
        <v>351.05799999999999</v>
      </c>
      <c r="F282" s="217"/>
      <c r="G282" s="217">
        <v>29.762</v>
      </c>
      <c r="H282" s="217">
        <f>92.852869+302.74856</f>
        <v>395.601429</v>
      </c>
      <c r="I282" s="217">
        <v>343.10599999999999</v>
      </c>
      <c r="J282" s="166">
        <v>907.05140000000006</v>
      </c>
      <c r="K282" s="278">
        <f t="shared" si="20"/>
        <v>3197.3918289999997</v>
      </c>
      <c r="L282" s="348" t="s">
        <v>87</v>
      </c>
      <c r="M282" s="151"/>
      <c r="N282" s="353"/>
      <c r="O282" s="353"/>
    </row>
    <row r="283" spans="1:15" s="65" customFormat="1" ht="11.25" x14ac:dyDescent="0.2">
      <c r="A283" s="145">
        <f t="shared" ref="A283:G283" si="21">SUM(A280:A282)</f>
        <v>55.923000000000002</v>
      </c>
      <c r="B283" s="145">
        <f>SUM(B280:B282)</f>
        <v>59.828336999999998</v>
      </c>
      <c r="C283" s="217">
        <f t="shared" si="21"/>
        <v>0</v>
      </c>
      <c r="D283" s="166">
        <f t="shared" si="21"/>
        <v>4030.7443000000003</v>
      </c>
      <c r="E283" s="145">
        <f t="shared" si="21"/>
        <v>1191.596822</v>
      </c>
      <c r="F283" s="350">
        <f t="shared" si="21"/>
        <v>0</v>
      </c>
      <c r="G283" s="217">
        <f t="shared" si="21"/>
        <v>107.32400000000001</v>
      </c>
      <c r="H283" s="217">
        <f>SUM(H280:H282)</f>
        <v>991.16671999999994</v>
      </c>
      <c r="I283" s="217">
        <f>SUM(I280:I282)</f>
        <v>1007.9200000000001</v>
      </c>
      <c r="J283" s="166">
        <f>SUM(J280:J282)</f>
        <v>2842.4300000000003</v>
      </c>
      <c r="K283" s="278">
        <f>J283+I283+H283+G283+F283+E283+D283+C283+B283+A283</f>
        <v>10286.933179000001</v>
      </c>
      <c r="L283" s="348" t="s">
        <v>55</v>
      </c>
      <c r="M283" s="151"/>
      <c r="N283" s="353"/>
      <c r="O283" s="353"/>
    </row>
    <row r="284" spans="1:15" s="65" customFormat="1" ht="11.25" hidden="1" x14ac:dyDescent="0.2">
      <c r="A284" s="145">
        <v>20.361999999999998</v>
      </c>
      <c r="B284" s="145">
        <v>0</v>
      </c>
      <c r="C284" s="146"/>
      <c r="D284" s="166">
        <v>1371.4011</v>
      </c>
      <c r="E284" s="145">
        <v>404.99</v>
      </c>
      <c r="F284" s="217"/>
      <c r="G284" s="217">
        <v>33.134999999999998</v>
      </c>
      <c r="H284" s="217">
        <f>90.091833+226.48177</f>
        <v>316.57360299999999</v>
      </c>
      <c r="I284" s="217">
        <v>362.01799999999997</v>
      </c>
      <c r="J284" s="166">
        <v>1036.3979999999999</v>
      </c>
      <c r="K284" s="278">
        <f t="shared" si="20"/>
        <v>3544.8777030000001</v>
      </c>
      <c r="L284" s="348" t="s">
        <v>89</v>
      </c>
      <c r="M284" s="151"/>
      <c r="N284" s="353"/>
      <c r="O284" s="353"/>
    </row>
    <row r="285" spans="1:15" s="65" customFormat="1" ht="11.25" hidden="1" x14ac:dyDescent="0.2">
      <c r="A285" s="145">
        <v>23.137899999999998</v>
      </c>
      <c r="B285" s="145">
        <v>27.499869</v>
      </c>
      <c r="C285" s="146"/>
      <c r="D285" s="166">
        <v>1550.7464</v>
      </c>
      <c r="E285" s="145">
        <v>400.60399999999998</v>
      </c>
      <c r="F285" s="217"/>
      <c r="G285" s="217">
        <v>65.894000000000005</v>
      </c>
      <c r="H285" s="217">
        <f>74.699953+217.235311</f>
        <v>291.93526399999996</v>
      </c>
      <c r="I285" s="217">
        <v>337.75700000000001</v>
      </c>
      <c r="J285" s="166">
        <v>948.64430000000004</v>
      </c>
      <c r="K285" s="278">
        <f t="shared" si="20"/>
        <v>3646.2187330000002</v>
      </c>
      <c r="L285" s="348" t="s">
        <v>90</v>
      </c>
      <c r="M285" s="151"/>
      <c r="N285" s="353"/>
      <c r="O285" s="353"/>
    </row>
    <row r="286" spans="1:15" s="65" customFormat="1" ht="11.25" hidden="1" x14ac:dyDescent="0.2">
      <c r="A286" s="145">
        <v>25.667000000000002</v>
      </c>
      <c r="B286" s="145">
        <v>0</v>
      </c>
      <c r="C286" s="146"/>
      <c r="D286" s="166">
        <v>1327.1229000000001</v>
      </c>
      <c r="E286" s="145">
        <v>423.255</v>
      </c>
      <c r="F286" s="217">
        <v>4.4800000000000004</v>
      </c>
      <c r="G286" s="217">
        <v>43.793999999999997</v>
      </c>
      <c r="H286" s="217">
        <f>89.665517+290.151292</f>
        <v>379.81680900000003</v>
      </c>
      <c r="I286" s="217">
        <v>312.77100000000002</v>
      </c>
      <c r="J286" s="166">
        <v>1004.027</v>
      </c>
      <c r="K286" s="278">
        <f t="shared" si="20"/>
        <v>3520.9337090000004</v>
      </c>
      <c r="L286" s="348" t="s">
        <v>91</v>
      </c>
      <c r="M286" s="151"/>
      <c r="N286" s="353"/>
      <c r="O286" s="353"/>
    </row>
    <row r="287" spans="1:15" s="65" customFormat="1" ht="11.25" x14ac:dyDescent="0.2">
      <c r="A287" s="145">
        <f t="shared" ref="A287:J287" si="22">SUM(A284:A286)</f>
        <v>69.166899999999998</v>
      </c>
      <c r="B287" s="145">
        <f t="shared" si="22"/>
        <v>27.499869</v>
      </c>
      <c r="C287" s="217">
        <f t="shared" si="22"/>
        <v>0</v>
      </c>
      <c r="D287" s="166">
        <f t="shared" si="22"/>
        <v>4249.2704000000003</v>
      </c>
      <c r="E287" s="145">
        <f t="shared" si="22"/>
        <v>1228.8490000000002</v>
      </c>
      <c r="F287" s="351">
        <f t="shared" si="22"/>
        <v>4.4800000000000004</v>
      </c>
      <c r="G287" s="217">
        <f t="shared" si="22"/>
        <v>142.82299999999998</v>
      </c>
      <c r="H287" s="217">
        <f t="shared" si="22"/>
        <v>988.32567600000004</v>
      </c>
      <c r="I287" s="217">
        <f t="shared" si="22"/>
        <v>1012.546</v>
      </c>
      <c r="J287" s="166">
        <f t="shared" si="22"/>
        <v>2989.0693000000001</v>
      </c>
      <c r="K287" s="278">
        <f>J287+I287+H287+G287+F287+E287+D287+C287+B287+A287</f>
        <v>10712.030145000001</v>
      </c>
      <c r="L287" s="348" t="s">
        <v>56</v>
      </c>
      <c r="M287" s="151"/>
      <c r="N287" s="353"/>
      <c r="O287" s="353"/>
    </row>
    <row r="288" spans="1:15" s="65" customFormat="1" ht="11.25" x14ac:dyDescent="0.2">
      <c r="A288" s="145"/>
      <c r="B288" s="145"/>
      <c r="C288" s="217"/>
      <c r="D288" s="166"/>
      <c r="E288" s="145"/>
      <c r="F288" s="351"/>
      <c r="G288" s="217"/>
      <c r="H288" s="217"/>
      <c r="I288" s="217"/>
      <c r="J288" s="166"/>
      <c r="K288" s="278"/>
      <c r="L288" s="348"/>
      <c r="M288" s="151"/>
      <c r="N288" s="353"/>
      <c r="O288" s="353"/>
    </row>
    <row r="289" spans="1:14" s="65" customFormat="1" ht="11.25" hidden="1" x14ac:dyDescent="0.2">
      <c r="A289" s="130">
        <v>22.087</v>
      </c>
      <c r="B289" s="130">
        <v>0</v>
      </c>
      <c r="C289" s="217">
        <f>SUM(C286:C288)</f>
        <v>0</v>
      </c>
      <c r="D289" s="158">
        <v>1240.47</v>
      </c>
      <c r="E289" s="130">
        <v>452.25</v>
      </c>
      <c r="F289" s="268">
        <v>37.130994999999999</v>
      </c>
      <c r="G289" s="216">
        <v>29.542999999999999</v>
      </c>
      <c r="H289" s="216">
        <v>327.56116600000001</v>
      </c>
      <c r="I289" s="276">
        <v>232.79871</v>
      </c>
      <c r="J289" s="158">
        <v>985.69399999999996</v>
      </c>
      <c r="K289" s="261">
        <f>J289+I289+H289+G289+F289+E289+D289+C289+B289+A289</f>
        <v>3327.5348710000003</v>
      </c>
      <c r="L289" s="269" t="s">
        <v>78</v>
      </c>
      <c r="M289" s="135">
        <v>2022</v>
      </c>
    </row>
    <row r="290" spans="1:14" s="65" customFormat="1" ht="11.25" hidden="1" x14ac:dyDescent="0.2">
      <c r="A290" s="130">
        <v>23.053999999999998</v>
      </c>
      <c r="B290" s="130">
        <v>0</v>
      </c>
      <c r="C290" s="268">
        <v>0.54978000000000005</v>
      </c>
      <c r="D290" s="158">
        <v>1272.6103000000001</v>
      </c>
      <c r="E290" s="130">
        <v>385.95</v>
      </c>
      <c r="F290" s="268">
        <v>35.086443000000003</v>
      </c>
      <c r="G290" s="216">
        <v>25.120999999999999</v>
      </c>
      <c r="H290" s="216">
        <v>308.44268699999998</v>
      </c>
      <c r="I290" s="276">
        <v>276.71699999999998</v>
      </c>
      <c r="J290" s="158">
        <v>1020.3445</v>
      </c>
      <c r="K290" s="261">
        <f>J290+I290+H290+G290+F290+E290+D290+C290+B290+A290</f>
        <v>3347.8757099999998</v>
      </c>
      <c r="L290" s="269" t="s">
        <v>79</v>
      </c>
      <c r="M290" s="135"/>
    </row>
    <row r="291" spans="1:14" s="65" customFormat="1" ht="11.25" hidden="1" x14ac:dyDescent="0.2">
      <c r="A291" s="130">
        <v>16.698</v>
      </c>
      <c r="B291" s="130">
        <v>0</v>
      </c>
      <c r="C291" s="268">
        <v>0.97899999999999998</v>
      </c>
      <c r="D291" s="158">
        <v>1408.211</v>
      </c>
      <c r="E291" s="130">
        <v>420.22199999999998</v>
      </c>
      <c r="F291" s="268">
        <v>68.290764999999993</v>
      </c>
      <c r="G291" s="216">
        <v>35.817999999999998</v>
      </c>
      <c r="H291" s="216">
        <v>394.396728</v>
      </c>
      <c r="I291" s="276">
        <v>276.11067000000003</v>
      </c>
      <c r="J291" s="158">
        <v>1102.2637</v>
      </c>
      <c r="K291" s="261">
        <f>J291+I291+H291+G291+F291+E291+D291+C291+B291+A291</f>
        <v>3722.9898629999998</v>
      </c>
      <c r="L291" s="269" t="s">
        <v>80</v>
      </c>
      <c r="M291" s="135"/>
    </row>
    <row r="292" spans="1:14" s="65" customFormat="1" ht="11.25" x14ac:dyDescent="0.2">
      <c r="A292" s="145">
        <f t="shared" ref="A292:K292" si="23">SUM(A289:A291)</f>
        <v>61.838999999999999</v>
      </c>
      <c r="B292" s="145">
        <v>0</v>
      </c>
      <c r="C292" s="351">
        <f t="shared" si="23"/>
        <v>1.52878</v>
      </c>
      <c r="D292" s="166">
        <f t="shared" si="23"/>
        <v>3921.2912999999999</v>
      </c>
      <c r="E292" s="145">
        <f t="shared" si="23"/>
        <v>1258.422</v>
      </c>
      <c r="F292" s="351">
        <f>SUM(F289:F291)</f>
        <v>140.50820299999998</v>
      </c>
      <c r="G292" s="217">
        <f t="shared" si="23"/>
        <v>90.481999999999999</v>
      </c>
      <c r="H292" s="217">
        <f t="shared" si="23"/>
        <v>1030.4005809999999</v>
      </c>
      <c r="I292" s="275">
        <f t="shared" si="23"/>
        <v>785.62638000000004</v>
      </c>
      <c r="J292" s="166">
        <f t="shared" si="23"/>
        <v>3108.3022000000001</v>
      </c>
      <c r="K292" s="278">
        <f t="shared" si="23"/>
        <v>10398.400443999999</v>
      </c>
      <c r="L292" s="348" t="s">
        <v>53</v>
      </c>
      <c r="M292" s="151">
        <v>2022</v>
      </c>
      <c r="N292" s="353"/>
    </row>
    <row r="293" spans="1:14" s="65" customFormat="1" ht="11.25" hidden="1" x14ac:dyDescent="0.2">
      <c r="A293" s="145">
        <v>27.442</v>
      </c>
      <c r="B293" s="145" t="s">
        <v>207</v>
      </c>
      <c r="C293" s="351">
        <v>8.8363999999999994</v>
      </c>
      <c r="D293" s="166">
        <v>1232.0094999999999</v>
      </c>
      <c r="E293" s="145">
        <v>324.70800000000003</v>
      </c>
      <c r="F293" s="351">
        <v>114.55672</v>
      </c>
      <c r="G293" s="217">
        <v>39.545000000000002</v>
      </c>
      <c r="H293" s="217">
        <v>346.80800299999999</v>
      </c>
      <c r="I293" s="275">
        <v>294.11745000000002</v>
      </c>
      <c r="J293" s="166">
        <v>947.15309999999999</v>
      </c>
      <c r="K293" s="278">
        <f>SUM(A293:J293)</f>
        <v>3335.1761730000003</v>
      </c>
      <c r="L293" s="348" t="s">
        <v>68</v>
      </c>
      <c r="M293" s="151"/>
      <c r="N293" s="353"/>
    </row>
    <row r="294" spans="1:14" s="65" customFormat="1" ht="11.25" hidden="1" x14ac:dyDescent="0.2">
      <c r="A294" s="145">
        <v>22.036999999999999</v>
      </c>
      <c r="B294" s="145">
        <v>30.010217999999998</v>
      </c>
      <c r="C294" s="351">
        <v>41.206600000000002</v>
      </c>
      <c r="D294" s="166">
        <v>1376.7827</v>
      </c>
      <c r="E294" s="145">
        <v>336.39299999999997</v>
      </c>
      <c r="F294" s="351">
        <v>222.778762</v>
      </c>
      <c r="G294" s="217">
        <v>35.905999999999999</v>
      </c>
      <c r="H294" s="217">
        <v>327.76742300000001</v>
      </c>
      <c r="I294" s="275">
        <v>318.33204000000001</v>
      </c>
      <c r="J294" s="166">
        <v>860.44200000000001</v>
      </c>
      <c r="K294" s="278">
        <f>SUM(A294:J294)</f>
        <v>3571.6557430000003</v>
      </c>
      <c r="L294" s="348" t="s">
        <v>82</v>
      </c>
      <c r="M294" s="151"/>
      <c r="N294" s="353"/>
    </row>
    <row r="295" spans="1:14" s="65" customFormat="1" ht="11.25" hidden="1" x14ac:dyDescent="0.2">
      <c r="A295" s="145">
        <v>19.327400000000001</v>
      </c>
      <c r="B295" s="145">
        <v>59.832273999999998</v>
      </c>
      <c r="C295" s="351">
        <v>53.711674000000002</v>
      </c>
      <c r="D295" s="166">
        <v>1280.7792999999999</v>
      </c>
      <c r="E295" s="145">
        <v>398.28399999999999</v>
      </c>
      <c r="F295" s="351">
        <v>192.47058999999999</v>
      </c>
      <c r="G295" s="217">
        <v>31.693000000000001</v>
      </c>
      <c r="H295" s="217">
        <v>530.20798500000001</v>
      </c>
      <c r="I295" s="275">
        <v>329.08843999999999</v>
      </c>
      <c r="J295" s="166">
        <v>904.08219999999994</v>
      </c>
      <c r="K295" s="278">
        <f>SUM(A295:J295)</f>
        <v>3799.4768629999994</v>
      </c>
      <c r="L295" s="348" t="s">
        <v>83</v>
      </c>
      <c r="M295" s="151"/>
      <c r="N295" s="353"/>
    </row>
    <row r="296" spans="1:14" s="65" customFormat="1" ht="11.25" x14ac:dyDescent="0.2">
      <c r="A296" s="145">
        <f t="shared" ref="A296:K296" si="24">SUM(A293:A295)</f>
        <v>68.806399999999996</v>
      </c>
      <c r="B296" s="145">
        <f t="shared" si="24"/>
        <v>89.842491999999993</v>
      </c>
      <c r="C296" s="351">
        <f t="shared" si="24"/>
        <v>103.75467399999999</v>
      </c>
      <c r="D296" s="166">
        <f t="shared" si="24"/>
        <v>3889.5715</v>
      </c>
      <c r="E296" s="145">
        <f t="shared" si="24"/>
        <v>1059.385</v>
      </c>
      <c r="F296" s="351">
        <f t="shared" si="24"/>
        <v>529.80607199999997</v>
      </c>
      <c r="G296" s="217">
        <f t="shared" si="24"/>
        <v>107.14399999999999</v>
      </c>
      <c r="H296" s="217">
        <f t="shared" si="24"/>
        <v>1204.7834109999999</v>
      </c>
      <c r="I296" s="275">
        <f t="shared" si="24"/>
        <v>941.53792999999996</v>
      </c>
      <c r="J296" s="166">
        <f t="shared" si="24"/>
        <v>2711.6772999999998</v>
      </c>
      <c r="K296" s="278">
        <f t="shared" si="24"/>
        <v>10706.308779000001</v>
      </c>
      <c r="L296" s="348" t="s">
        <v>54</v>
      </c>
      <c r="M296" s="151"/>
      <c r="N296" s="353"/>
    </row>
    <row r="297" spans="1:14" s="65" customFormat="1" ht="11.25" hidden="1" x14ac:dyDescent="0.2">
      <c r="A297" s="145">
        <v>16.861000000000001</v>
      </c>
      <c r="B297" s="145">
        <v>120.49899600000001</v>
      </c>
      <c r="C297" s="351">
        <v>88.776619999999994</v>
      </c>
      <c r="D297" s="166">
        <v>1206.5751</v>
      </c>
      <c r="E297" s="145">
        <v>329.86099999999999</v>
      </c>
      <c r="F297" s="351">
        <v>253.675353</v>
      </c>
      <c r="G297" s="217">
        <v>35.799999999999997</v>
      </c>
      <c r="H297" s="217">
        <v>344.75017200000002</v>
      </c>
      <c r="I297" s="275">
        <v>320.51499999999999</v>
      </c>
      <c r="J297" s="166">
        <v>797.36030000000005</v>
      </c>
      <c r="K297" s="278">
        <f>SUM(A297:J297)</f>
        <v>3514.6735410000001</v>
      </c>
      <c r="L297" s="348" t="s">
        <v>85</v>
      </c>
      <c r="M297" s="151"/>
      <c r="N297" s="353"/>
    </row>
    <row r="298" spans="1:14" s="65" customFormat="1" ht="11.25" hidden="1" x14ac:dyDescent="0.2">
      <c r="A298" s="145">
        <v>22.728999999999999</v>
      </c>
      <c r="B298" s="145" t="s">
        <v>207</v>
      </c>
      <c r="C298" s="351">
        <v>108.55216799999999</v>
      </c>
      <c r="D298" s="166">
        <v>1357.6434999999999</v>
      </c>
      <c r="E298" s="145">
        <v>367.64800000000002</v>
      </c>
      <c r="F298" s="351">
        <v>250.85263399999999</v>
      </c>
      <c r="G298" s="217">
        <v>39.109000000000002</v>
      </c>
      <c r="H298" s="217">
        <v>404.17065200000002</v>
      </c>
      <c r="I298" s="357">
        <v>300.98539</v>
      </c>
      <c r="J298" s="166">
        <v>808.28279999999995</v>
      </c>
      <c r="K298" s="278">
        <f>SUM(A298:J298)</f>
        <v>3659.9731439999996</v>
      </c>
      <c r="L298" s="348" t="s">
        <v>86</v>
      </c>
      <c r="M298" s="151"/>
      <c r="N298" s="353"/>
    </row>
    <row r="299" spans="1:14" s="65" customFormat="1" ht="11.25" hidden="1" x14ac:dyDescent="0.2">
      <c r="A299" s="145">
        <v>13.663</v>
      </c>
      <c r="B299" s="145" t="s">
        <v>207</v>
      </c>
      <c r="C299" s="351">
        <v>171.27350999999999</v>
      </c>
      <c r="D299" s="166">
        <v>1110.8574000000001</v>
      </c>
      <c r="E299" s="145">
        <v>370.69</v>
      </c>
      <c r="F299" s="351">
        <v>283.72640000000001</v>
      </c>
      <c r="G299" s="217">
        <v>34.316000000000003</v>
      </c>
      <c r="H299" s="217">
        <v>359.42074100000002</v>
      </c>
      <c r="I299" s="275">
        <v>293.666</v>
      </c>
      <c r="J299" s="166">
        <v>655.2038</v>
      </c>
      <c r="K299" s="278">
        <f>SUM(A299:J299)</f>
        <v>3292.8168510000005</v>
      </c>
      <c r="L299" s="348" t="s">
        <v>87</v>
      </c>
      <c r="M299" s="151"/>
      <c r="N299" s="353"/>
    </row>
    <row r="300" spans="1:14" s="65" customFormat="1" ht="11.25" x14ac:dyDescent="0.2">
      <c r="A300" s="145">
        <f t="shared" ref="A300:K300" si="25">SUM(A297:A299)</f>
        <v>53.253</v>
      </c>
      <c r="B300" s="145">
        <f t="shared" si="25"/>
        <v>120.49899600000001</v>
      </c>
      <c r="C300" s="351">
        <f t="shared" si="25"/>
        <v>368.60229799999996</v>
      </c>
      <c r="D300" s="166">
        <f t="shared" si="25"/>
        <v>3675.076</v>
      </c>
      <c r="E300" s="145">
        <f t="shared" si="25"/>
        <v>1068.1990000000001</v>
      </c>
      <c r="F300" s="351">
        <f t="shared" si="25"/>
        <v>788.25438699999995</v>
      </c>
      <c r="G300" s="217">
        <f t="shared" si="25"/>
        <v>109.22499999999999</v>
      </c>
      <c r="H300" s="217">
        <f t="shared" si="25"/>
        <v>1108.3415650000002</v>
      </c>
      <c r="I300" s="357">
        <f t="shared" si="25"/>
        <v>915.16638999999986</v>
      </c>
      <c r="J300" s="166">
        <f t="shared" si="25"/>
        <v>2260.8469</v>
      </c>
      <c r="K300" s="278">
        <f t="shared" si="25"/>
        <v>10467.463535999999</v>
      </c>
      <c r="L300" s="348" t="s">
        <v>55</v>
      </c>
      <c r="M300" s="151"/>
      <c r="N300" s="353"/>
    </row>
    <row r="301" spans="1:14" s="65" customFormat="1" ht="11.25" hidden="1" x14ac:dyDescent="0.2">
      <c r="A301" s="145">
        <v>40.845999999999997</v>
      </c>
      <c r="B301" s="145">
        <v>26.968909</v>
      </c>
      <c r="C301" s="351">
        <v>106.8429656</v>
      </c>
      <c r="D301" s="166">
        <v>1021.2923</v>
      </c>
      <c r="E301" s="145">
        <v>347.54399999999998</v>
      </c>
      <c r="F301" s="351">
        <v>289.34700600000002</v>
      </c>
      <c r="G301" s="217">
        <v>46.646999999999998</v>
      </c>
      <c r="H301" s="217">
        <v>391.33042599999999</v>
      </c>
      <c r="I301" s="357">
        <v>258.34399999999999</v>
      </c>
      <c r="J301" s="166">
        <v>675.70550000000003</v>
      </c>
      <c r="K301" s="278">
        <f>SUM(A301:J301)</f>
        <v>3204.8681065999999</v>
      </c>
      <c r="L301" s="348" t="s">
        <v>89</v>
      </c>
      <c r="M301" s="151"/>
      <c r="N301" s="353"/>
    </row>
    <row r="302" spans="1:14" s="65" customFormat="1" ht="11.25" hidden="1" x14ac:dyDescent="0.2">
      <c r="A302" s="145">
        <v>27.154</v>
      </c>
      <c r="B302" s="145">
        <v>0</v>
      </c>
      <c r="C302" s="351">
        <v>209.48591500000001</v>
      </c>
      <c r="D302" s="166">
        <v>1128.5298</v>
      </c>
      <c r="E302" s="145">
        <v>363.58699999999999</v>
      </c>
      <c r="F302" s="351">
        <v>341.43995000000001</v>
      </c>
      <c r="G302" s="217">
        <v>38.780999999999999</v>
      </c>
      <c r="H302" s="217">
        <v>352.228024</v>
      </c>
      <c r="I302" s="357">
        <v>260.23318499999999</v>
      </c>
      <c r="J302" s="166">
        <v>595.89700000000005</v>
      </c>
      <c r="K302" s="278">
        <f>SUM(A302:J302)</f>
        <v>3317.3358739999999</v>
      </c>
      <c r="L302" s="348" t="s">
        <v>90</v>
      </c>
      <c r="M302" s="151"/>
      <c r="N302" s="353"/>
    </row>
    <row r="303" spans="1:14" s="65" customFormat="1" ht="11.25" hidden="1" x14ac:dyDescent="0.2">
      <c r="A303" s="145">
        <v>56.234000000000002</v>
      </c>
      <c r="B303" s="145">
        <v>0</v>
      </c>
      <c r="C303" s="351">
        <v>147.70327</v>
      </c>
      <c r="D303" s="166">
        <v>1130.4445000000001</v>
      </c>
      <c r="E303" s="145">
        <v>359.47699999999998</v>
      </c>
      <c r="F303" s="351">
        <v>361.539716</v>
      </c>
      <c r="G303" s="217">
        <v>28.195</v>
      </c>
      <c r="H303" s="217">
        <v>372.79014699999999</v>
      </c>
      <c r="I303" s="357">
        <v>318.19736999999998</v>
      </c>
      <c r="J303" s="166">
        <v>597.62239999999997</v>
      </c>
      <c r="K303" s="278">
        <f>SUM(A303:J303)</f>
        <v>3372.2034030000004</v>
      </c>
      <c r="L303" s="348" t="s">
        <v>91</v>
      </c>
      <c r="M303" s="151"/>
      <c r="N303" s="353"/>
    </row>
    <row r="304" spans="1:14" s="65" customFormat="1" ht="11.25" x14ac:dyDescent="0.2">
      <c r="A304" s="145">
        <f t="shared" ref="A304:J304" si="26">SUM(A301:A303)</f>
        <v>124.23400000000001</v>
      </c>
      <c r="B304" s="145">
        <f t="shared" si="26"/>
        <v>26.968909</v>
      </c>
      <c r="C304" s="351">
        <f t="shared" si="26"/>
        <v>464.03215060000002</v>
      </c>
      <c r="D304" s="166">
        <f t="shared" si="26"/>
        <v>3280.2665999999999</v>
      </c>
      <c r="E304" s="145">
        <f t="shared" si="26"/>
        <v>1070.6079999999999</v>
      </c>
      <c r="F304" s="351">
        <f t="shared" si="26"/>
        <v>992.32667200000003</v>
      </c>
      <c r="G304" s="217">
        <f t="shared" si="26"/>
        <v>113.62299999999999</v>
      </c>
      <c r="H304" s="217">
        <f t="shared" si="26"/>
        <v>1116.3485969999999</v>
      </c>
      <c r="I304" s="357">
        <f t="shared" si="26"/>
        <v>836.77455499999996</v>
      </c>
      <c r="J304" s="166">
        <f t="shared" si="26"/>
        <v>1869.2248999999999</v>
      </c>
      <c r="K304" s="278">
        <f>SUM(K301:K303)</f>
        <v>9894.4073835999989</v>
      </c>
      <c r="L304" s="348" t="s">
        <v>56</v>
      </c>
      <c r="M304" s="151"/>
      <c r="N304" s="353"/>
    </row>
    <row r="305" spans="1:14" s="65" customFormat="1" ht="11.25" x14ac:dyDescent="0.2">
      <c r="A305" s="130"/>
      <c r="B305" s="130"/>
      <c r="C305" s="268"/>
      <c r="D305" s="158"/>
      <c r="E305" s="130"/>
      <c r="F305" s="268"/>
      <c r="G305" s="216"/>
      <c r="H305" s="216"/>
      <c r="I305" s="355"/>
      <c r="J305" s="158"/>
      <c r="K305" s="261"/>
      <c r="L305" s="269"/>
      <c r="M305" s="135"/>
      <c r="N305" s="353"/>
    </row>
    <row r="306" spans="1:14" s="65" customFormat="1" ht="11.25" hidden="1" x14ac:dyDescent="0.2">
      <c r="A306" s="130">
        <v>22.364999999999998</v>
      </c>
      <c r="B306" s="130">
        <v>0</v>
      </c>
      <c r="C306" s="268">
        <v>225.36622065</v>
      </c>
      <c r="D306" s="158">
        <v>1259.7709</v>
      </c>
      <c r="E306" s="130">
        <v>364.60399999999998</v>
      </c>
      <c r="F306" s="268">
        <v>453.66659399999998</v>
      </c>
      <c r="G306" s="216">
        <v>27.245000000000001</v>
      </c>
      <c r="H306" s="216">
        <v>458.31072</v>
      </c>
      <c r="I306" s="355">
        <v>263.29532999999998</v>
      </c>
      <c r="J306" s="158">
        <v>686.01130000000001</v>
      </c>
      <c r="K306" s="261">
        <f>SUM(A306:J306)</f>
        <v>3760.63506465</v>
      </c>
      <c r="L306" s="269" t="s">
        <v>78</v>
      </c>
      <c r="M306" s="135">
        <v>2023</v>
      </c>
      <c r="N306" s="353"/>
    </row>
    <row r="307" spans="1:14" s="65" customFormat="1" ht="11.25" hidden="1" x14ac:dyDescent="0.2">
      <c r="A307" s="130">
        <v>22.023</v>
      </c>
      <c r="B307" s="130">
        <v>0</v>
      </c>
      <c r="C307" s="268">
        <v>251.23204469300001</v>
      </c>
      <c r="D307" s="158">
        <v>980.30790000000002</v>
      </c>
      <c r="E307" s="130">
        <v>326.97300000000001</v>
      </c>
      <c r="F307" s="268">
        <v>380.65720900000002</v>
      </c>
      <c r="G307" s="216">
        <v>21.509</v>
      </c>
      <c r="H307" s="216">
        <v>216.23860999999999</v>
      </c>
      <c r="I307" s="355">
        <v>214.672</v>
      </c>
      <c r="J307" s="158">
        <v>613.28560000000004</v>
      </c>
      <c r="K307" s="261">
        <f>SUM(A307:J307)</f>
        <v>3026.8983636930002</v>
      </c>
      <c r="L307" s="269" t="s">
        <v>79</v>
      </c>
      <c r="M307" s="135"/>
      <c r="N307" s="353"/>
    </row>
    <row r="308" spans="1:14" s="65" customFormat="1" ht="11.25" hidden="1" x14ac:dyDescent="0.2">
      <c r="A308" s="130">
        <v>40.386000000000003</v>
      </c>
      <c r="B308" s="130">
        <v>0</v>
      </c>
      <c r="C308" s="268">
        <v>232.01191254099999</v>
      </c>
      <c r="D308" s="158">
        <v>1120.7268999999999</v>
      </c>
      <c r="E308" s="130">
        <v>312.86500000000001</v>
      </c>
      <c r="F308" s="268">
        <v>492.435046</v>
      </c>
      <c r="G308" s="216">
        <v>45.372999999999998</v>
      </c>
      <c r="H308" s="216">
        <v>336.34285299999999</v>
      </c>
      <c r="I308" s="355">
        <v>153.21532999999999</v>
      </c>
      <c r="J308" s="158">
        <v>643.46320000000003</v>
      </c>
      <c r="K308" s="261">
        <f>SUM(A308:J308)</f>
        <v>3376.8192415409999</v>
      </c>
      <c r="L308" s="269" t="s">
        <v>80</v>
      </c>
      <c r="M308" s="135"/>
      <c r="N308" s="353"/>
    </row>
    <row r="309" spans="1:14" s="65" customFormat="1" ht="11.25" x14ac:dyDescent="0.2">
      <c r="A309" s="145">
        <f t="shared" ref="A309:K309" si="27">SUM(A306:A308)</f>
        <v>84.774000000000001</v>
      </c>
      <c r="B309" s="145">
        <f t="shared" si="27"/>
        <v>0</v>
      </c>
      <c r="C309" s="351">
        <f t="shared" si="27"/>
        <v>708.610177884</v>
      </c>
      <c r="D309" s="166">
        <f t="shared" si="27"/>
        <v>3360.8056999999999</v>
      </c>
      <c r="E309" s="145">
        <f t="shared" si="27"/>
        <v>1004.442</v>
      </c>
      <c r="F309" s="351">
        <f t="shared" si="27"/>
        <v>1326.7588490000001</v>
      </c>
      <c r="G309" s="217">
        <f t="shared" si="27"/>
        <v>94.12700000000001</v>
      </c>
      <c r="H309" s="217">
        <f t="shared" si="27"/>
        <v>1010.892183</v>
      </c>
      <c r="I309" s="357">
        <f t="shared" si="27"/>
        <v>631.18265999999994</v>
      </c>
      <c r="J309" s="166">
        <f t="shared" si="27"/>
        <v>1942.7601</v>
      </c>
      <c r="K309" s="278">
        <f t="shared" si="27"/>
        <v>10164.352669884</v>
      </c>
      <c r="L309" s="348" t="s">
        <v>53</v>
      </c>
      <c r="M309" s="151">
        <v>2023</v>
      </c>
      <c r="N309" s="353"/>
    </row>
    <row r="310" spans="1:14" s="65" customFormat="1" ht="11.25" hidden="1" x14ac:dyDescent="0.2">
      <c r="A310" s="145">
        <v>23.155999999999999</v>
      </c>
      <c r="B310" s="145">
        <v>0</v>
      </c>
      <c r="C310" s="351">
        <v>331.62213761700002</v>
      </c>
      <c r="D310" s="166">
        <v>888.0616</v>
      </c>
      <c r="E310" s="145">
        <v>304.69</v>
      </c>
      <c r="F310" s="351">
        <v>511.84011700000002</v>
      </c>
      <c r="G310" s="217">
        <v>36.098999999999997</v>
      </c>
      <c r="H310" s="217">
        <v>304.75541600000003</v>
      </c>
      <c r="I310" s="357">
        <v>49.332000000000001</v>
      </c>
      <c r="J310" s="166">
        <v>738.24069999999995</v>
      </c>
      <c r="K310" s="278">
        <f>SUM(A310:J310)</f>
        <v>3187.7969706170002</v>
      </c>
      <c r="L310" s="348" t="s">
        <v>68</v>
      </c>
      <c r="M310" s="151"/>
      <c r="N310" s="353"/>
    </row>
    <row r="311" spans="1:14" s="65" customFormat="1" ht="11.25" hidden="1" x14ac:dyDescent="0.2">
      <c r="A311" s="145">
        <v>34.225000000000001</v>
      </c>
      <c r="B311" s="145">
        <v>0</v>
      </c>
      <c r="C311" s="351">
        <v>428.85930632999901</v>
      </c>
      <c r="D311" s="166">
        <v>1138.8077000000001</v>
      </c>
      <c r="E311" s="145">
        <v>325.05200000000002</v>
      </c>
      <c r="F311" s="351">
        <v>458.88427000000001</v>
      </c>
      <c r="G311" s="217">
        <v>38.021999999999998</v>
      </c>
      <c r="H311" s="217">
        <v>314.45862199999999</v>
      </c>
      <c r="I311" s="357">
        <v>208.25389899999999</v>
      </c>
      <c r="J311" s="166">
        <v>922.04010000000005</v>
      </c>
      <c r="K311" s="278">
        <f>SUM(A311:J311)</f>
        <v>3868.602897329999</v>
      </c>
      <c r="L311" s="348" t="s">
        <v>82</v>
      </c>
      <c r="M311" s="151"/>
      <c r="N311" s="353"/>
    </row>
    <row r="312" spans="1:14" s="65" customFormat="1" ht="11.25" hidden="1" x14ac:dyDescent="0.2">
      <c r="A312" s="145">
        <v>25.667000000000002</v>
      </c>
      <c r="B312" s="145">
        <v>0</v>
      </c>
      <c r="C312" s="351">
        <v>370.09287286300003</v>
      </c>
      <c r="D312" s="166">
        <v>1143.6486</v>
      </c>
      <c r="E312" s="145">
        <v>326.79399999999998</v>
      </c>
      <c r="F312" s="351">
        <v>428.87853899999999</v>
      </c>
      <c r="G312" s="217">
        <v>41.87</v>
      </c>
      <c r="H312" s="217">
        <v>100.24643399999999</v>
      </c>
      <c r="I312" s="357">
        <v>207.10300000000001</v>
      </c>
      <c r="J312" s="166">
        <v>839.16309999999999</v>
      </c>
      <c r="K312" s="278">
        <f>SUM(A312:J312)</f>
        <v>3483.463545863</v>
      </c>
      <c r="L312" s="348" t="s">
        <v>83</v>
      </c>
      <c r="M312" s="151"/>
      <c r="N312" s="353"/>
    </row>
    <row r="313" spans="1:14" s="65" customFormat="1" ht="11.25" x14ac:dyDescent="0.2">
      <c r="A313" s="145">
        <f t="shared" ref="A313:J313" si="28">SUM(A310:A312)</f>
        <v>83.048000000000002</v>
      </c>
      <c r="B313" s="145">
        <f t="shared" si="28"/>
        <v>0</v>
      </c>
      <c r="C313" s="351">
        <f t="shared" si="28"/>
        <v>1130.5743168099989</v>
      </c>
      <c r="D313" s="166">
        <f t="shared" si="28"/>
        <v>3170.5178999999998</v>
      </c>
      <c r="E313" s="145">
        <f t="shared" si="28"/>
        <v>956.53599999999994</v>
      </c>
      <c r="F313" s="351">
        <f t="shared" si="28"/>
        <v>1399.602926</v>
      </c>
      <c r="G313" s="217">
        <f t="shared" si="28"/>
        <v>115.99099999999999</v>
      </c>
      <c r="H313" s="217">
        <f t="shared" si="28"/>
        <v>719.4604720000001</v>
      </c>
      <c r="I313" s="357">
        <f t="shared" si="28"/>
        <v>464.68889899999999</v>
      </c>
      <c r="J313" s="166">
        <f t="shared" si="28"/>
        <v>2499.4439000000002</v>
      </c>
      <c r="K313" s="278">
        <f>SUM(K310:K312)</f>
        <v>10539.863413809999</v>
      </c>
      <c r="L313" s="348" t="s">
        <v>54</v>
      </c>
      <c r="M313" s="151"/>
      <c r="N313" s="353"/>
    </row>
    <row r="314" spans="1:14" s="65" customFormat="1" ht="11.25" hidden="1" x14ac:dyDescent="0.2">
      <c r="A314" s="145">
        <v>30.282</v>
      </c>
      <c r="B314" s="145">
        <v>0</v>
      </c>
      <c r="C314" s="351">
        <v>227.79435099561999</v>
      </c>
      <c r="D314" s="166">
        <v>1167.5563</v>
      </c>
      <c r="E314" s="145">
        <v>303.47699999999998</v>
      </c>
      <c r="F314" s="351">
        <v>447.50151099999999</v>
      </c>
      <c r="G314" s="217">
        <v>33.048000000000002</v>
      </c>
      <c r="H314" s="217">
        <v>454.05934000000002</v>
      </c>
      <c r="I314" s="357">
        <v>271.57499999999999</v>
      </c>
      <c r="J314" s="166">
        <v>853.13120000000004</v>
      </c>
      <c r="K314" s="278">
        <f>SUM(A314:J314)</f>
        <v>3788.4247019956192</v>
      </c>
      <c r="L314" s="348" t="s">
        <v>85</v>
      </c>
      <c r="M314" s="151"/>
      <c r="N314" s="353"/>
    </row>
    <row r="315" spans="1:14" s="65" customFormat="1" ht="11.25" hidden="1" x14ac:dyDescent="0.2">
      <c r="A315" s="145">
        <v>12.704000000000001</v>
      </c>
      <c r="B315" s="145">
        <v>0</v>
      </c>
      <c r="C315" s="351">
        <v>392.258445704</v>
      </c>
      <c r="D315" s="166">
        <v>1159.8541</v>
      </c>
      <c r="E315" s="145">
        <v>289.28500000000003</v>
      </c>
      <c r="F315" s="351">
        <v>415.312839</v>
      </c>
      <c r="G315" s="217">
        <v>40.667000000000002</v>
      </c>
      <c r="H315" s="217">
        <v>303.01772899999997</v>
      </c>
      <c r="I315" s="357">
        <v>239.43899999999999</v>
      </c>
      <c r="J315" s="166">
        <v>854.53120000000001</v>
      </c>
      <c r="K315" s="278">
        <f>SUM(A315:J315)</f>
        <v>3707.0693137039998</v>
      </c>
      <c r="L315" s="348" t="s">
        <v>86</v>
      </c>
      <c r="M315" s="151"/>
      <c r="N315" s="353"/>
    </row>
    <row r="316" spans="1:14" s="65" customFormat="1" ht="11.25" hidden="1" x14ac:dyDescent="0.2">
      <c r="A316" s="145">
        <v>25.776</v>
      </c>
      <c r="B316" s="145">
        <v>0</v>
      </c>
      <c r="C316" s="351">
        <v>360.222613153</v>
      </c>
      <c r="D316" s="166">
        <v>1053.7969000000001</v>
      </c>
      <c r="E316" s="145">
        <v>281.92700000000002</v>
      </c>
      <c r="F316" s="351">
        <v>399.04374200000001</v>
      </c>
      <c r="G316" s="217">
        <v>45.264000000000003</v>
      </c>
      <c r="H316" s="217">
        <v>290.16404699999998</v>
      </c>
      <c r="I316" s="357">
        <v>218.126206</v>
      </c>
      <c r="J316" s="166">
        <v>736.23649999999998</v>
      </c>
      <c r="K316" s="278">
        <f>SUM(A316:J316)</f>
        <v>3410.5570081529995</v>
      </c>
      <c r="L316" s="348" t="s">
        <v>87</v>
      </c>
      <c r="M316" s="151"/>
      <c r="N316" s="353"/>
    </row>
    <row r="317" spans="1:14" s="65" customFormat="1" ht="11.25" x14ac:dyDescent="0.2">
      <c r="A317" s="145">
        <f t="shared" ref="A317:K317" si="29">SUM(A314:A316)</f>
        <v>68.762</v>
      </c>
      <c r="B317" s="145">
        <f t="shared" si="29"/>
        <v>0</v>
      </c>
      <c r="C317" s="351">
        <f t="shared" si="29"/>
        <v>980.27540985261999</v>
      </c>
      <c r="D317" s="166">
        <f t="shared" si="29"/>
        <v>3381.2073</v>
      </c>
      <c r="E317" s="145">
        <f t="shared" si="29"/>
        <v>874.68899999999996</v>
      </c>
      <c r="F317" s="351">
        <f t="shared" si="29"/>
        <v>1261.8580919999999</v>
      </c>
      <c r="G317" s="217">
        <f t="shared" si="29"/>
        <v>118.97900000000001</v>
      </c>
      <c r="H317" s="217">
        <f t="shared" si="29"/>
        <v>1047.2411159999999</v>
      </c>
      <c r="I317" s="357">
        <f t="shared" si="29"/>
        <v>729.14020600000003</v>
      </c>
      <c r="J317" s="166">
        <f t="shared" si="29"/>
        <v>2443.8989000000001</v>
      </c>
      <c r="K317" s="278">
        <f t="shared" si="29"/>
        <v>10906.051023852619</v>
      </c>
      <c r="L317" s="348" t="s">
        <v>55</v>
      </c>
      <c r="M317" s="151"/>
      <c r="N317" s="353"/>
    </row>
    <row r="318" spans="1:14" s="65" customFormat="1" ht="11.25" hidden="1" x14ac:dyDescent="0.2">
      <c r="A318" s="145">
        <v>20.800999999999998</v>
      </c>
      <c r="B318" s="145">
        <v>71.964676999999995</v>
      </c>
      <c r="C318" s="351">
        <v>257.41680029100002</v>
      </c>
      <c r="D318" s="166">
        <v>914.7826</v>
      </c>
      <c r="E318" s="145">
        <v>339.233</v>
      </c>
      <c r="F318" s="351">
        <v>327.77024499999999</v>
      </c>
      <c r="G318" s="217">
        <v>31.631</v>
      </c>
      <c r="H318" s="217">
        <v>515.39398300000005</v>
      </c>
      <c r="I318" s="357">
        <v>267.74368199999998</v>
      </c>
      <c r="J318" s="166">
        <v>897.19290000000001</v>
      </c>
      <c r="K318" s="278">
        <f>SUM(A318:J318)</f>
        <v>3643.9298872909999</v>
      </c>
      <c r="L318" s="348" t="s">
        <v>89</v>
      </c>
      <c r="M318" s="151"/>
      <c r="N318" s="353"/>
    </row>
    <row r="319" spans="1:14" s="65" customFormat="1" ht="11.25" hidden="1" x14ac:dyDescent="0.2">
      <c r="A319" s="145">
        <v>22.332999999999998</v>
      </c>
      <c r="B319" s="145">
        <v>0</v>
      </c>
      <c r="C319" s="351">
        <v>179.65751581999999</v>
      </c>
      <c r="D319" s="166">
        <v>914.60940000000005</v>
      </c>
      <c r="E319" s="145">
        <v>247.15799999999999</v>
      </c>
      <c r="F319" s="351">
        <v>254.664252</v>
      </c>
      <c r="G319" s="217">
        <v>24.774000000000001</v>
      </c>
      <c r="H319" s="217">
        <v>584.28621899999996</v>
      </c>
      <c r="I319" s="357">
        <v>208.29282900000001</v>
      </c>
      <c r="J319" s="166">
        <v>610.05020000000002</v>
      </c>
      <c r="K319" s="278">
        <f>SUM(A319:J319)</f>
        <v>3045.8254158200002</v>
      </c>
      <c r="L319" s="348" t="s">
        <v>90</v>
      </c>
      <c r="M319" s="151"/>
      <c r="N319" s="353"/>
    </row>
    <row r="320" spans="1:14" s="65" customFormat="1" ht="11.25" hidden="1" x14ac:dyDescent="0.2">
      <c r="A320" s="145">
        <v>0</v>
      </c>
      <c r="B320" s="145">
        <v>0</v>
      </c>
      <c r="C320" s="351">
        <v>97.855366369999999</v>
      </c>
      <c r="D320" s="166">
        <v>899.9434</v>
      </c>
      <c r="E320" s="145">
        <v>275.64299999999997</v>
      </c>
      <c r="F320" s="351">
        <v>236.349366</v>
      </c>
      <c r="G320" s="217">
        <v>28.120999999999999</v>
      </c>
      <c r="H320" s="217">
        <v>488.85276399999998</v>
      </c>
      <c r="I320" s="357">
        <v>162.70295999999999</v>
      </c>
      <c r="J320" s="166">
        <v>498.1422</v>
      </c>
      <c r="K320" s="278">
        <f>SUM(A320:J320)</f>
        <v>2687.6100563700002</v>
      </c>
      <c r="L320" s="348" t="s">
        <v>91</v>
      </c>
      <c r="M320" s="151"/>
      <c r="N320" s="353"/>
    </row>
    <row r="321" spans="1:14" s="65" customFormat="1" ht="11.25" x14ac:dyDescent="0.2">
      <c r="A321" s="145">
        <f t="shared" ref="A321:K321" si="30">SUM(A318:A320)</f>
        <v>43.134</v>
      </c>
      <c r="B321" s="145">
        <f t="shared" si="30"/>
        <v>71.964676999999995</v>
      </c>
      <c r="C321" s="351">
        <f t="shared" si="30"/>
        <v>534.92968248099999</v>
      </c>
      <c r="D321" s="166">
        <f t="shared" si="30"/>
        <v>2729.3353999999999</v>
      </c>
      <c r="E321" s="145">
        <f t="shared" si="30"/>
        <v>862.03399999999988</v>
      </c>
      <c r="F321" s="351">
        <f t="shared" si="30"/>
        <v>818.783863</v>
      </c>
      <c r="G321" s="217">
        <f t="shared" si="30"/>
        <v>84.525999999999996</v>
      </c>
      <c r="H321" s="217">
        <f t="shared" si="30"/>
        <v>1588.532966</v>
      </c>
      <c r="I321" s="357">
        <f t="shared" si="30"/>
        <v>638.73947099999998</v>
      </c>
      <c r="J321" s="166">
        <f t="shared" si="30"/>
        <v>2005.3853000000001</v>
      </c>
      <c r="K321" s="278">
        <f t="shared" si="30"/>
        <v>9377.3653594810003</v>
      </c>
      <c r="L321" s="348" t="s">
        <v>56</v>
      </c>
      <c r="M321" s="151"/>
      <c r="N321" s="353"/>
    </row>
    <row r="322" spans="1:14" s="65" customFormat="1" ht="11.25" x14ac:dyDescent="0.2">
      <c r="A322" s="130"/>
      <c r="B322" s="130"/>
      <c r="C322" s="268"/>
      <c r="D322" s="158"/>
      <c r="E322" s="130"/>
      <c r="F322" s="268"/>
      <c r="G322" s="216"/>
      <c r="H322" s="216"/>
      <c r="I322" s="355"/>
      <c r="J322" s="158"/>
      <c r="K322" s="261"/>
      <c r="L322" s="269"/>
      <c r="M322" s="135"/>
      <c r="N322" s="353"/>
    </row>
    <row r="323" spans="1:14" s="65" customFormat="1" ht="11.25" hidden="1" x14ac:dyDescent="0.2">
      <c r="A323" s="130">
        <v>25.460999999999999</v>
      </c>
      <c r="B323" s="130">
        <v>0</v>
      </c>
      <c r="C323" s="268">
        <v>129.03866144200001</v>
      </c>
      <c r="D323" s="158">
        <v>828.98469999999998</v>
      </c>
      <c r="E323" s="130">
        <v>283.14600000000002</v>
      </c>
      <c r="F323" s="268">
        <v>247.24288000000001</v>
      </c>
      <c r="G323" s="216">
        <v>27.974</v>
      </c>
      <c r="H323" s="216">
        <v>153.84959799999999</v>
      </c>
      <c r="I323" s="355">
        <v>181.05169900000001</v>
      </c>
      <c r="J323" s="158">
        <v>527.53309999999999</v>
      </c>
      <c r="K323" s="261">
        <f>SUM(A323:J323)</f>
        <v>2404.2816384419998</v>
      </c>
      <c r="L323" s="269" t="s">
        <v>78</v>
      </c>
      <c r="M323" s="135">
        <v>2024</v>
      </c>
      <c r="N323" s="349"/>
    </row>
    <row r="324" spans="1:14" s="65" customFormat="1" ht="11.25" hidden="1" x14ac:dyDescent="0.2">
      <c r="A324" s="130">
        <v>0</v>
      </c>
      <c r="B324" s="130">
        <v>32.867142000000001</v>
      </c>
      <c r="C324" s="268">
        <v>238.47053523700004</v>
      </c>
      <c r="D324" s="158">
        <v>1139.3620000000001</v>
      </c>
      <c r="E324" s="130">
        <v>204.85</v>
      </c>
      <c r="F324" s="268">
        <v>305.35081600000007</v>
      </c>
      <c r="G324" s="216">
        <v>33.485999999999997</v>
      </c>
      <c r="H324" s="216">
        <v>565.11126300000001</v>
      </c>
      <c r="I324" s="355">
        <v>30.606151000000001</v>
      </c>
      <c r="J324" s="158">
        <v>640.50729999999999</v>
      </c>
      <c r="K324" s="261">
        <f>SUM(A324:J324)</f>
        <v>3190.6112072370006</v>
      </c>
      <c r="L324" s="269" t="s">
        <v>79</v>
      </c>
      <c r="M324" s="135"/>
      <c r="N324" s="349"/>
    </row>
    <row r="325" spans="1:14" s="65" customFormat="1" ht="11.25" hidden="1" x14ac:dyDescent="0.2">
      <c r="A325" s="130">
        <v>0</v>
      </c>
      <c r="B325" s="130">
        <v>29.889146</v>
      </c>
      <c r="C325" s="268">
        <v>296.99384706799901</v>
      </c>
      <c r="D325" s="158">
        <v>1012.4816</v>
      </c>
      <c r="E325" s="130">
        <v>280.19400000000002</v>
      </c>
      <c r="F325" s="268">
        <v>366.20760899999999</v>
      </c>
      <c r="G325" s="216">
        <v>21.584</v>
      </c>
      <c r="H325" s="216">
        <v>186.084056</v>
      </c>
      <c r="I325" s="355">
        <v>123.8445</v>
      </c>
      <c r="J325" s="158">
        <v>525.91679999999997</v>
      </c>
      <c r="K325" s="261">
        <f>SUM(A325:J325)</f>
        <v>2843.1955580679992</v>
      </c>
      <c r="L325" s="269" t="s">
        <v>80</v>
      </c>
      <c r="M325" s="135"/>
      <c r="N325" s="349"/>
    </row>
    <row r="326" spans="1:14" s="65" customFormat="1" ht="11.25" x14ac:dyDescent="0.2">
      <c r="A326" s="130">
        <f t="shared" ref="A326:J326" si="31">SUM(A323:A325)</f>
        <v>25.460999999999999</v>
      </c>
      <c r="B326" s="145">
        <f t="shared" si="31"/>
        <v>62.756287999999998</v>
      </c>
      <c r="C326" s="351">
        <f t="shared" si="31"/>
        <v>664.50304374699908</v>
      </c>
      <c r="D326" s="166">
        <f t="shared" si="31"/>
        <v>2980.8283000000001</v>
      </c>
      <c r="E326" s="145">
        <f t="shared" si="31"/>
        <v>768.19</v>
      </c>
      <c r="F326" s="351">
        <f t="shared" si="31"/>
        <v>918.80130500000018</v>
      </c>
      <c r="G326" s="217">
        <f t="shared" si="31"/>
        <v>83.043999999999997</v>
      </c>
      <c r="H326" s="217">
        <f t="shared" si="31"/>
        <v>905.04491700000005</v>
      </c>
      <c r="I326" s="217">
        <f t="shared" si="31"/>
        <v>335.50235000000004</v>
      </c>
      <c r="J326" s="166">
        <f t="shared" si="31"/>
        <v>1693.9571999999998</v>
      </c>
      <c r="K326" s="278">
        <f>SUM(K323:K325)</f>
        <v>8438.0884037469987</v>
      </c>
      <c r="L326" s="348" t="s">
        <v>53</v>
      </c>
      <c r="M326" s="151">
        <v>2024</v>
      </c>
      <c r="N326" s="353"/>
    </row>
    <row r="327" spans="1:14" s="65" customFormat="1" ht="11.25" hidden="1" x14ac:dyDescent="0.2">
      <c r="A327" s="130">
        <v>0</v>
      </c>
      <c r="B327" s="145">
        <v>0</v>
      </c>
      <c r="C327" s="351">
        <v>284.3930720900002</v>
      </c>
      <c r="D327" s="166">
        <v>978.00760000000002</v>
      </c>
      <c r="E327" s="145">
        <v>267.214</v>
      </c>
      <c r="F327" s="351">
        <v>223.73164799999998</v>
      </c>
      <c r="G327" s="217">
        <v>25.303000000000001</v>
      </c>
      <c r="H327" s="217">
        <v>343.82977799999998</v>
      </c>
      <c r="I327" s="357">
        <v>268.09958999999998</v>
      </c>
      <c r="J327" s="166">
        <v>543.24990000000003</v>
      </c>
      <c r="K327" s="278">
        <f>SUM(A327:J327)</f>
        <v>2933.8285880900003</v>
      </c>
      <c r="L327" s="348" t="s">
        <v>68</v>
      </c>
      <c r="M327" s="151"/>
      <c r="N327" s="353"/>
    </row>
    <row r="328" spans="1:14" s="65" customFormat="1" ht="11.25" hidden="1" x14ac:dyDescent="0.2">
      <c r="A328" s="130">
        <v>0</v>
      </c>
      <c r="B328" s="145">
        <v>0</v>
      </c>
      <c r="C328" s="351">
        <v>433.36123090700107</v>
      </c>
      <c r="D328" s="166">
        <v>1050.6593</v>
      </c>
      <c r="E328" s="145">
        <v>260.53199999999998</v>
      </c>
      <c r="F328" s="351">
        <v>292.83659699999998</v>
      </c>
      <c r="G328" s="217">
        <v>32.216000000000001</v>
      </c>
      <c r="H328" s="217">
        <v>183.003749</v>
      </c>
      <c r="I328" s="357">
        <v>264.85070000000002</v>
      </c>
      <c r="J328" s="166">
        <v>522.27850000000001</v>
      </c>
      <c r="K328" s="278">
        <f>SUM(A328:J328)</f>
        <v>3039.738076907001</v>
      </c>
      <c r="L328" s="348" t="s">
        <v>82</v>
      </c>
      <c r="M328" s="151"/>
      <c r="N328" s="353"/>
    </row>
    <row r="329" spans="1:14" s="65" customFormat="1" ht="11.25" hidden="1" x14ac:dyDescent="0.2">
      <c r="A329" s="130">
        <v>0</v>
      </c>
      <c r="B329" s="145">
        <v>0</v>
      </c>
      <c r="C329" s="351">
        <v>360.19663300000002</v>
      </c>
      <c r="D329" s="166">
        <v>934.73990000000003</v>
      </c>
      <c r="E329" s="145">
        <v>259.80523299999999</v>
      </c>
      <c r="F329" s="351">
        <v>205.597736</v>
      </c>
      <c r="G329" s="217">
        <v>36.674999999999997</v>
      </c>
      <c r="H329" s="217">
        <v>290.72469999999998</v>
      </c>
      <c r="I329" s="357">
        <v>155.9213</v>
      </c>
      <c r="J329" s="166">
        <v>531.1703</v>
      </c>
      <c r="K329" s="278">
        <f>SUM(A329:J329)</f>
        <v>2774.8308019999995</v>
      </c>
      <c r="L329" s="348" t="s">
        <v>83</v>
      </c>
      <c r="M329" s="151"/>
      <c r="N329" s="353"/>
    </row>
    <row r="330" spans="1:14" s="65" customFormat="1" ht="11.25" x14ac:dyDescent="0.2">
      <c r="A330" s="130">
        <f t="shared" ref="A330:K330" si="32">SUM(A327:A329)</f>
        <v>0</v>
      </c>
      <c r="B330" s="145">
        <f t="shared" si="32"/>
        <v>0</v>
      </c>
      <c r="C330" s="351">
        <f t="shared" si="32"/>
        <v>1077.9509359970014</v>
      </c>
      <c r="D330" s="166">
        <f t="shared" si="32"/>
        <v>2963.4068000000002</v>
      </c>
      <c r="E330" s="145">
        <f t="shared" si="32"/>
        <v>787.55123299999991</v>
      </c>
      <c r="F330" s="351">
        <f t="shared" si="32"/>
        <v>722.16598099999987</v>
      </c>
      <c r="G330" s="217">
        <f t="shared" si="32"/>
        <v>94.194000000000003</v>
      </c>
      <c r="H330" s="217">
        <f t="shared" si="32"/>
        <v>817.55822699999999</v>
      </c>
      <c r="I330" s="357">
        <f t="shared" si="32"/>
        <v>688.87158999999997</v>
      </c>
      <c r="J330" s="166">
        <f t="shared" si="32"/>
        <v>1596.6987000000001</v>
      </c>
      <c r="K330" s="278">
        <f t="shared" si="32"/>
        <v>8748.3974669970012</v>
      </c>
      <c r="L330" s="348" t="s">
        <v>54</v>
      </c>
      <c r="M330" s="151"/>
      <c r="N330" s="353"/>
    </row>
    <row r="331" spans="1:14" s="65" customFormat="1" ht="11.25" hidden="1" x14ac:dyDescent="0.2">
      <c r="A331" s="130">
        <v>0</v>
      </c>
      <c r="B331" s="145">
        <v>0</v>
      </c>
      <c r="C331" s="351">
        <v>469.42350554000001</v>
      </c>
      <c r="D331" s="166">
        <v>1178.5503000000001</v>
      </c>
      <c r="E331" s="145">
        <v>341.64648299999999</v>
      </c>
      <c r="F331" s="351">
        <v>217.029979</v>
      </c>
      <c r="G331" s="217">
        <v>20.896000000000001</v>
      </c>
      <c r="H331" s="217">
        <v>213.37156699999997</v>
      </c>
      <c r="I331" s="357">
        <v>207.50890699999999</v>
      </c>
      <c r="J331" s="166">
        <v>602.79710000000011</v>
      </c>
      <c r="K331" s="278">
        <f>SUM(A331:J331)</f>
        <v>3251.2238415400006</v>
      </c>
      <c r="L331" s="348" t="s">
        <v>85</v>
      </c>
      <c r="M331" s="151"/>
      <c r="N331" s="353"/>
    </row>
    <row r="332" spans="1:14" s="65" customFormat="1" ht="11.25" hidden="1" x14ac:dyDescent="0.2">
      <c r="A332" s="130">
        <v>0</v>
      </c>
      <c r="B332" s="145">
        <v>0</v>
      </c>
      <c r="C332" s="351">
        <v>386.44229989800095</v>
      </c>
      <c r="D332" s="166">
        <v>1098.1662999999999</v>
      </c>
      <c r="E332" s="145">
        <v>337.11900000000003</v>
      </c>
      <c r="F332" s="351">
        <v>260.05447200000003</v>
      </c>
      <c r="G332" s="217">
        <v>29.727</v>
      </c>
      <c r="H332" s="217">
        <v>244.25922100000003</v>
      </c>
      <c r="I332" s="357">
        <v>255.19093699999999</v>
      </c>
      <c r="J332" s="166">
        <v>680.64019999999994</v>
      </c>
      <c r="K332" s="278">
        <f>SUM(A332:J332)</f>
        <v>3291.5994298980008</v>
      </c>
      <c r="L332" s="348" t="s">
        <v>86</v>
      </c>
      <c r="M332" s="151"/>
      <c r="N332" s="353"/>
    </row>
    <row r="333" spans="1:14" s="65" customFormat="1" ht="11.25" hidden="1" x14ac:dyDescent="0.2">
      <c r="A333" s="130">
        <v>0</v>
      </c>
      <c r="B333" s="145">
        <v>0</v>
      </c>
      <c r="C333" s="351">
        <v>425.94859351899999</v>
      </c>
      <c r="D333" s="166">
        <v>1149.4110000000001</v>
      </c>
      <c r="E333" s="145">
        <v>286.88317600000005</v>
      </c>
      <c r="F333" s="351">
        <v>242.07226399999999</v>
      </c>
      <c r="G333" s="217">
        <v>12.894</v>
      </c>
      <c r="H333" s="217">
        <v>344.396165</v>
      </c>
      <c r="I333" s="275">
        <v>236.60407599999999</v>
      </c>
      <c r="J333" s="166">
        <v>715.25009999999997</v>
      </c>
      <c r="K333" s="278">
        <f>SUM(A333:J333)</f>
        <v>3413.4593745190004</v>
      </c>
      <c r="L333" s="348" t="s">
        <v>87</v>
      </c>
      <c r="M333" s="151"/>
      <c r="N333" s="353"/>
    </row>
    <row r="334" spans="1:14" s="65" customFormat="1" ht="11.25" x14ac:dyDescent="0.2">
      <c r="A334" s="130">
        <f t="shared" ref="A334:K334" si="33">SUM(A331:A333)</f>
        <v>0</v>
      </c>
      <c r="B334" s="145">
        <f t="shared" si="33"/>
        <v>0</v>
      </c>
      <c r="C334" s="351">
        <f t="shared" si="33"/>
        <v>1281.814398957001</v>
      </c>
      <c r="D334" s="166">
        <f t="shared" si="33"/>
        <v>3426.1275999999998</v>
      </c>
      <c r="E334" s="145">
        <f t="shared" si="33"/>
        <v>965.64865900000007</v>
      </c>
      <c r="F334" s="351">
        <f t="shared" si="33"/>
        <v>719.15671500000008</v>
      </c>
      <c r="G334" s="217">
        <f t="shared" si="33"/>
        <v>63.517000000000003</v>
      </c>
      <c r="H334" s="217">
        <f t="shared" si="33"/>
        <v>802.02695300000005</v>
      </c>
      <c r="I334" s="357">
        <f t="shared" si="33"/>
        <v>699.30391999999995</v>
      </c>
      <c r="J334" s="166">
        <f t="shared" si="33"/>
        <v>1998.6874</v>
      </c>
      <c r="K334" s="278">
        <f t="shared" si="33"/>
        <v>9956.2826459570024</v>
      </c>
      <c r="L334" s="348" t="s">
        <v>55</v>
      </c>
      <c r="M334" s="151"/>
      <c r="N334" s="353"/>
    </row>
    <row r="335" spans="1:14" s="65" customFormat="1" ht="11.25" hidden="1" x14ac:dyDescent="0.2">
      <c r="A335" s="130">
        <v>0</v>
      </c>
      <c r="B335" s="145">
        <v>0</v>
      </c>
      <c r="C335" s="351">
        <v>343.14715549900001</v>
      </c>
      <c r="D335" s="166">
        <v>962.30119999999999</v>
      </c>
      <c r="E335" s="145">
        <v>279.291</v>
      </c>
      <c r="F335" s="351">
        <v>273.55589700000002</v>
      </c>
      <c r="G335" s="217">
        <v>32.570999999999998</v>
      </c>
      <c r="H335" s="217">
        <v>224.25575699999999</v>
      </c>
      <c r="I335" s="357">
        <v>153.48747700000001</v>
      </c>
      <c r="J335" s="166">
        <v>723.19230000000005</v>
      </c>
      <c r="K335" s="278">
        <f>SUM(A335:J335)</f>
        <v>2991.8017864990002</v>
      </c>
      <c r="L335" s="348" t="s">
        <v>89</v>
      </c>
      <c r="M335" s="151"/>
      <c r="N335" s="353"/>
    </row>
    <row r="336" spans="1:14" s="65" customFormat="1" ht="11.25" hidden="1" x14ac:dyDescent="0.2">
      <c r="A336" s="130">
        <v>0</v>
      </c>
      <c r="B336" s="145">
        <v>0</v>
      </c>
      <c r="C336" s="351">
        <v>399.41503653800015</v>
      </c>
      <c r="D336" s="166">
        <v>1055.3253999999999</v>
      </c>
      <c r="E336" s="145">
        <v>279.29000000000002</v>
      </c>
      <c r="F336" s="351">
        <v>222.72669100000002</v>
      </c>
      <c r="G336" s="217">
        <v>22.331</v>
      </c>
      <c r="H336" s="217">
        <v>327.51401699999997</v>
      </c>
      <c r="I336" s="357">
        <v>227.39256</v>
      </c>
      <c r="J336" s="166">
        <v>752.9434</v>
      </c>
      <c r="K336" s="278">
        <f>SUM(A336:J336)</f>
        <v>3286.9381045380005</v>
      </c>
      <c r="L336" s="348" t="s">
        <v>90</v>
      </c>
      <c r="M336" s="151"/>
      <c r="N336" s="353"/>
    </row>
    <row r="337" spans="1:14" s="65" customFormat="1" ht="11.25" hidden="1" x14ac:dyDescent="0.2">
      <c r="A337" s="130">
        <v>0</v>
      </c>
      <c r="B337" s="145">
        <v>0</v>
      </c>
      <c r="C337" s="351">
        <v>404.29690219400101</v>
      </c>
      <c r="D337" s="166">
        <v>1354.1594</v>
      </c>
      <c r="E337" s="145">
        <v>308.81400000000002</v>
      </c>
      <c r="F337" s="351">
        <v>261.47464099999996</v>
      </c>
      <c r="G337" s="217">
        <v>6.4790000000000001</v>
      </c>
      <c r="H337" s="217">
        <v>267.45142800000002</v>
      </c>
      <c r="I337" s="357">
        <v>251.912319</v>
      </c>
      <c r="J337" s="166">
        <v>666.43959999999993</v>
      </c>
      <c r="K337" s="278">
        <f>SUM(A337:J337)</f>
        <v>3521.0272901940007</v>
      </c>
      <c r="L337" s="348" t="s">
        <v>91</v>
      </c>
      <c r="M337" s="151"/>
      <c r="N337" s="353"/>
    </row>
    <row r="338" spans="1:14" s="65" customFormat="1" ht="11.25" x14ac:dyDescent="0.2">
      <c r="A338" s="130">
        <f t="shared" ref="A338:K338" si="34">SUM(A335:A337)</f>
        <v>0</v>
      </c>
      <c r="B338" s="145">
        <f t="shared" si="34"/>
        <v>0</v>
      </c>
      <c r="C338" s="351">
        <f t="shared" si="34"/>
        <v>1146.8590942310011</v>
      </c>
      <c r="D338" s="166">
        <f t="shared" si="34"/>
        <v>3371.7860000000001</v>
      </c>
      <c r="E338" s="145">
        <f t="shared" si="34"/>
        <v>867.39499999999998</v>
      </c>
      <c r="F338" s="351">
        <f t="shared" si="34"/>
        <v>757.75722900000005</v>
      </c>
      <c r="G338" s="217">
        <f t="shared" si="34"/>
        <v>61.381</v>
      </c>
      <c r="H338" s="217">
        <f t="shared" si="34"/>
        <v>819.22120199999995</v>
      </c>
      <c r="I338" s="357">
        <f t="shared" si="34"/>
        <v>632.79235600000004</v>
      </c>
      <c r="J338" s="166">
        <f t="shared" si="34"/>
        <v>2142.5753</v>
      </c>
      <c r="K338" s="278">
        <f t="shared" si="34"/>
        <v>9799.7671812310018</v>
      </c>
      <c r="L338" s="348" t="s">
        <v>56</v>
      </c>
      <c r="M338" s="151"/>
      <c r="N338" s="353"/>
    </row>
    <row r="339" spans="1:14" s="65" customFormat="1" ht="11.25" x14ac:dyDescent="0.2">
      <c r="A339" s="130"/>
      <c r="B339" s="130"/>
      <c r="C339" s="268"/>
      <c r="D339" s="158"/>
      <c r="E339" s="130"/>
      <c r="F339" s="268"/>
      <c r="G339" s="216"/>
      <c r="H339" s="216"/>
      <c r="I339" s="355"/>
      <c r="J339" s="158"/>
      <c r="K339" s="261"/>
      <c r="L339" s="269"/>
      <c r="M339" s="135"/>
      <c r="N339" s="353"/>
    </row>
    <row r="340" spans="1:14" s="65" customFormat="1" ht="11.25" hidden="1" x14ac:dyDescent="0.2">
      <c r="A340" s="130">
        <v>0</v>
      </c>
      <c r="B340" s="130">
        <v>0</v>
      </c>
      <c r="C340" s="268">
        <v>331.56711799999999</v>
      </c>
      <c r="D340" s="158">
        <v>1303.1551000000002</v>
      </c>
      <c r="E340" s="130">
        <v>256.60877499999998</v>
      </c>
      <c r="F340" s="268">
        <v>294.33482600000002</v>
      </c>
      <c r="G340" s="216">
        <v>18.899000000000001</v>
      </c>
      <c r="H340" s="216">
        <v>301.52685500000001</v>
      </c>
      <c r="I340" s="355">
        <v>311.73826800000001</v>
      </c>
      <c r="J340" s="158">
        <v>789.34209999999996</v>
      </c>
      <c r="K340" s="261">
        <f>SUM(A340:J340)</f>
        <v>3607.1720419999997</v>
      </c>
      <c r="L340" s="269" t="s">
        <v>78</v>
      </c>
      <c r="M340" s="135">
        <v>2025</v>
      </c>
      <c r="N340" s="353"/>
    </row>
    <row r="341" spans="1:14" s="65" customFormat="1" ht="11.25" hidden="1" x14ac:dyDescent="0.2">
      <c r="A341" s="130">
        <v>0</v>
      </c>
      <c r="B341" s="130">
        <v>0</v>
      </c>
      <c r="C341" s="268">
        <v>395.43875299999996</v>
      </c>
      <c r="D341" s="158">
        <v>954.95209999999997</v>
      </c>
      <c r="E341" s="130">
        <v>241.05519000000001</v>
      </c>
      <c r="F341" s="268">
        <v>326.18626400000005</v>
      </c>
      <c r="G341" s="216">
        <v>20.285</v>
      </c>
      <c r="H341" s="216">
        <v>0</v>
      </c>
      <c r="I341" s="355">
        <v>209.9975</v>
      </c>
      <c r="J341" s="158">
        <v>719.65610000000004</v>
      </c>
      <c r="K341" s="261">
        <f>SUM(A341:J341)</f>
        <v>2867.5709070000003</v>
      </c>
      <c r="L341" s="269" t="s">
        <v>79</v>
      </c>
      <c r="M341" s="135"/>
      <c r="N341" s="353"/>
    </row>
    <row r="342" spans="1:14" s="65" customFormat="1" ht="11.25" hidden="1" x14ac:dyDescent="0.2">
      <c r="A342" s="130">
        <v>0</v>
      </c>
      <c r="B342" s="130">
        <v>0</v>
      </c>
      <c r="C342" s="268">
        <v>398.86748600000004</v>
      </c>
      <c r="D342" s="158">
        <v>1233.1403</v>
      </c>
      <c r="E342" s="130">
        <v>266.06407000000002</v>
      </c>
      <c r="F342" s="268">
        <v>291.72591700000004</v>
      </c>
      <c r="G342" s="216">
        <v>14.919</v>
      </c>
      <c r="H342" s="216">
        <v>239.17884000000001</v>
      </c>
      <c r="I342" s="355">
        <v>235.30211299999999</v>
      </c>
      <c r="J342" s="158">
        <v>797.31200000000001</v>
      </c>
      <c r="K342" s="261">
        <f>SUM(A342:J342)</f>
        <v>3476.5097260000002</v>
      </c>
      <c r="L342" s="269" t="s">
        <v>80</v>
      </c>
      <c r="M342" s="135"/>
      <c r="N342" s="353"/>
    </row>
    <row r="343" spans="1:14" s="65" customFormat="1" ht="11.25" x14ac:dyDescent="0.2">
      <c r="A343" s="130">
        <f t="shared" ref="A343:K343" si="35">SUM(A340:A342)</f>
        <v>0</v>
      </c>
      <c r="B343" s="130">
        <f t="shared" si="35"/>
        <v>0</v>
      </c>
      <c r="C343" s="268">
        <f t="shared" si="35"/>
        <v>1125.8733569999999</v>
      </c>
      <c r="D343" s="158">
        <f t="shared" si="35"/>
        <v>3491.2475000000004</v>
      </c>
      <c r="E343" s="130">
        <f t="shared" si="35"/>
        <v>763.72803499999998</v>
      </c>
      <c r="F343" s="268">
        <f t="shared" si="35"/>
        <v>912.24700700000017</v>
      </c>
      <c r="G343" s="216">
        <f t="shared" si="35"/>
        <v>54.102999999999994</v>
      </c>
      <c r="H343" s="216">
        <f t="shared" si="35"/>
        <v>540.70569499999999</v>
      </c>
      <c r="I343" s="355">
        <f t="shared" si="35"/>
        <v>757.03788099999997</v>
      </c>
      <c r="J343" s="158">
        <f t="shared" si="35"/>
        <v>2306.3101999999999</v>
      </c>
      <c r="K343" s="261">
        <f t="shared" si="35"/>
        <v>9951.2526749999997</v>
      </c>
      <c r="L343" s="269" t="s">
        <v>53</v>
      </c>
      <c r="M343" s="135">
        <v>2025</v>
      </c>
      <c r="N343" s="353"/>
    </row>
    <row r="344" spans="1:14" s="65" customFormat="1" ht="11.25" hidden="1" x14ac:dyDescent="0.2">
      <c r="A344" s="130">
        <v>0</v>
      </c>
      <c r="B344" s="130">
        <v>0</v>
      </c>
      <c r="C344" s="268">
        <v>412.74731400000002</v>
      </c>
      <c r="D344" s="158">
        <v>1112.9603999999999</v>
      </c>
      <c r="E344" s="130">
        <v>215.18798000000007</v>
      </c>
      <c r="F344" s="268">
        <v>290.97399799999999</v>
      </c>
      <c r="G344" s="216">
        <v>22.66</v>
      </c>
      <c r="H344" s="216">
        <v>299.42733099999998</v>
      </c>
      <c r="I344" s="276">
        <v>162.95178899999999</v>
      </c>
      <c r="J344" s="158">
        <v>730.35850000000005</v>
      </c>
      <c r="K344" s="261">
        <f>SUM(A344:J344)</f>
        <v>3247.2673119999999</v>
      </c>
      <c r="L344" s="269" t="s">
        <v>68</v>
      </c>
      <c r="M344" s="135"/>
      <c r="N344" s="353"/>
    </row>
    <row r="345" spans="1:14" s="65" customFormat="1" ht="11.25" hidden="1" x14ac:dyDescent="0.2">
      <c r="A345" s="130">
        <v>0</v>
      </c>
      <c r="B345" s="130">
        <v>0</v>
      </c>
      <c r="C345" s="268">
        <v>380.50747200000001</v>
      </c>
      <c r="D345" s="158">
        <v>1284.2527999999998</v>
      </c>
      <c r="E345" s="130">
        <v>276.18947100000003</v>
      </c>
      <c r="F345" s="268">
        <v>307.06789100000003</v>
      </c>
      <c r="G345" s="216">
        <v>45.914000000000001</v>
      </c>
      <c r="H345" s="216">
        <v>236.485401</v>
      </c>
      <c r="I345" s="276">
        <v>163.164422</v>
      </c>
      <c r="J345" s="158">
        <v>806.89589999999998</v>
      </c>
      <c r="K345" s="261">
        <f>SUM(A345:J345)</f>
        <v>3500.4773569999998</v>
      </c>
      <c r="L345" s="269" t="s">
        <v>82</v>
      </c>
      <c r="M345" s="135"/>
      <c r="N345" s="353"/>
    </row>
    <row r="346" spans="1:14" s="65" customFormat="1" ht="11.25" hidden="1" x14ac:dyDescent="0.2">
      <c r="A346" s="130">
        <v>0</v>
      </c>
      <c r="B346" s="130">
        <v>0</v>
      </c>
      <c r="C346" s="268">
        <v>371.26472600000011</v>
      </c>
      <c r="D346" s="158">
        <v>1126.9276999999997</v>
      </c>
      <c r="E346" s="130">
        <v>256.60199999999998</v>
      </c>
      <c r="F346" s="268">
        <v>256.48672199999999</v>
      </c>
      <c r="G346" s="216">
        <v>27.582000000000001</v>
      </c>
      <c r="H346" s="216">
        <v>252.378692</v>
      </c>
      <c r="I346" s="276">
        <v>168.45872</v>
      </c>
      <c r="J346" s="158">
        <v>627.33770000000004</v>
      </c>
      <c r="K346" s="261">
        <f>SUM(A346:J346)</f>
        <v>3087.0382600000003</v>
      </c>
      <c r="L346" s="269" t="s">
        <v>83</v>
      </c>
      <c r="M346" s="135"/>
      <c r="N346" s="353"/>
    </row>
    <row r="347" spans="1:14" s="65" customFormat="1" ht="11.25" x14ac:dyDescent="0.2">
      <c r="A347" s="130">
        <f t="shared" ref="A347:J347" si="36">SUM(A344:A346)</f>
        <v>0</v>
      </c>
      <c r="B347" s="130">
        <f t="shared" si="36"/>
        <v>0</v>
      </c>
      <c r="C347" s="268">
        <f t="shared" si="36"/>
        <v>1164.5195120000001</v>
      </c>
      <c r="D347" s="158">
        <f t="shared" si="36"/>
        <v>3524.1408999999994</v>
      </c>
      <c r="E347" s="130">
        <f t="shared" si="36"/>
        <v>747.97945100000004</v>
      </c>
      <c r="F347" s="268">
        <f t="shared" si="36"/>
        <v>854.52861100000007</v>
      </c>
      <c r="G347" s="216">
        <f t="shared" si="36"/>
        <v>96.156000000000006</v>
      </c>
      <c r="H347" s="216">
        <f t="shared" si="36"/>
        <v>788.29142400000001</v>
      </c>
      <c r="I347" s="276">
        <f t="shared" si="36"/>
        <v>494.57493099999999</v>
      </c>
      <c r="J347" s="158">
        <f t="shared" si="36"/>
        <v>2164.5920999999998</v>
      </c>
      <c r="K347" s="261">
        <f>SUM(K344:K346)</f>
        <v>9834.7829290000009</v>
      </c>
      <c r="L347" s="269" t="s">
        <v>54</v>
      </c>
      <c r="M347" s="135"/>
      <c r="N347" s="353"/>
    </row>
    <row r="348" spans="1:14" s="65" customFormat="1" ht="11.25" x14ac:dyDescent="0.2">
      <c r="A348" s="130">
        <v>0</v>
      </c>
      <c r="B348" s="130">
        <v>0</v>
      </c>
      <c r="C348" s="268">
        <v>688.68954699999995</v>
      </c>
      <c r="D348" s="158">
        <v>1190.1561000000002</v>
      </c>
      <c r="E348" s="130">
        <v>299.16699999999997</v>
      </c>
      <c r="F348" s="268">
        <v>287.07148000000007</v>
      </c>
      <c r="G348" s="216">
        <v>18.09</v>
      </c>
      <c r="H348" s="216">
        <v>93.166073999999995</v>
      </c>
      <c r="I348" s="276">
        <v>196.14657600000001</v>
      </c>
      <c r="J348" s="158">
        <v>713.82540000000006</v>
      </c>
      <c r="K348" s="261">
        <f>SUM(A348:J348)</f>
        <v>3486.3121770000007</v>
      </c>
      <c r="L348" s="269" t="s">
        <v>85</v>
      </c>
      <c r="M348" s="135"/>
      <c r="N348" s="353"/>
    </row>
    <row r="349" spans="1:14" s="65" customFormat="1" ht="11.25" x14ac:dyDescent="0.2">
      <c r="A349" s="130">
        <v>0</v>
      </c>
      <c r="B349" s="130">
        <v>32.856242000000002</v>
      </c>
      <c r="C349" s="268">
        <v>437.05711100000008</v>
      </c>
      <c r="D349" s="158">
        <v>1109.6736000000001</v>
      </c>
      <c r="E349" s="130">
        <v>368.14319</v>
      </c>
      <c r="F349" s="268">
        <v>312.73536399999995</v>
      </c>
      <c r="G349" s="216">
        <v>14.862</v>
      </c>
      <c r="H349" s="216">
        <v>27.056667000000001</v>
      </c>
      <c r="I349" s="276">
        <v>176.90830800000001</v>
      </c>
      <c r="J349" s="158">
        <v>590.47569999999996</v>
      </c>
      <c r="K349" s="261">
        <f>SUM(A349:J349)</f>
        <v>3069.7681820000003</v>
      </c>
      <c r="L349" s="269" t="s">
        <v>86</v>
      </c>
      <c r="M349" s="135"/>
      <c r="N349" s="353"/>
    </row>
    <row r="350" spans="1:14" s="65" customFormat="1" ht="11.25" x14ac:dyDescent="0.2">
      <c r="A350" s="142"/>
      <c r="B350" s="142"/>
      <c r="C350" s="196"/>
      <c r="D350" s="141"/>
      <c r="E350" s="142"/>
      <c r="F350" s="196"/>
      <c r="G350" s="196"/>
      <c r="H350" s="196"/>
      <c r="I350" s="196"/>
      <c r="J350" s="141"/>
      <c r="K350" s="253"/>
      <c r="L350" s="273"/>
      <c r="M350" s="110"/>
    </row>
    <row r="351" spans="1:14" x14ac:dyDescent="0.2">
      <c r="J351" s="144"/>
      <c r="K351" s="144"/>
      <c r="M351" s="258" t="s">
        <v>177</v>
      </c>
    </row>
    <row r="352" spans="1:14" ht="12.6" customHeight="1" x14ac:dyDescent="0.25">
      <c r="C352" s="216"/>
      <c r="D352" s="268"/>
      <c r="E352" s="173"/>
      <c r="F352" s="216"/>
      <c r="G352" s="173"/>
      <c r="H352" s="173"/>
      <c r="I352" s="173"/>
      <c r="J352" s="144"/>
      <c r="K352" s="144"/>
      <c r="M352" s="274" t="s">
        <v>192</v>
      </c>
    </row>
    <row r="353" spans="1:12" x14ac:dyDescent="0.2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</row>
    <row r="354" spans="1:12" x14ac:dyDescent="0.2">
      <c r="J354" s="144"/>
      <c r="K354" s="144"/>
    </row>
    <row r="355" spans="1:12" x14ac:dyDescent="0.2">
      <c r="J355" s="144"/>
      <c r="K355" s="144"/>
    </row>
    <row r="356" spans="1:12" x14ac:dyDescent="0.2">
      <c r="J356" s="144"/>
      <c r="K356" s="144"/>
    </row>
    <row r="357" spans="1:12" x14ac:dyDescent="0.2">
      <c r="J357" s="144"/>
      <c r="K357" s="144"/>
    </row>
    <row r="358" spans="1:12" x14ac:dyDescent="0.2">
      <c r="J358" s="144"/>
      <c r="K358" s="144"/>
    </row>
  </sheetData>
  <printOptions horizontalCentered="1" gridLinesSet="0"/>
  <pageMargins left="0.6692913385826772" right="0.47244094488188981" top="0.17" bottom="0.11811023622047245" header="0.15748031496062992" footer="0.15748031496062992"/>
  <pageSetup paperSize="9" orientation="landscape" r:id="rId1"/>
  <headerFooter alignWithMargins="0"/>
  <ignoredErrors>
    <ignoredError sqref="L280 L272:L274 L276:L278 L281:L282 L284:L286 L289:L291 L293:L295 L297:L299 L301:L303 L306:L312 L314:L316 L318:L320 L323:L325 L327:L333 L335:L337 L340:L341 L342:M342 M343 L344:L346 L348:L349" numberStoredAsText="1"/>
    <ignoredError sqref="E19:E34" unlockedFormula="1"/>
    <ignoredError sqref="H283 K296 K300 K309 K313 K317 K326 K330 K334 K343 K34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23" transitionEvaluation="1"/>
  <dimension ref="A1:O358"/>
  <sheetViews>
    <sheetView showGridLines="0" zoomScale="115" zoomScaleNormal="115" zoomScaleSheetLayoutView="100" workbookViewId="0">
      <pane ySplit="8" topLeftCell="A23" activePane="bottomLeft" state="frozen"/>
      <selection activeCell="J42" sqref="J42"/>
      <selection pane="bottomLeft" activeCell="J34" sqref="A34:J34"/>
    </sheetView>
  </sheetViews>
  <sheetFormatPr defaultColWidth="9.140625" defaultRowHeight="15" x14ac:dyDescent="0.2"/>
  <cols>
    <col min="1" max="2" width="9.140625" style="191"/>
    <col min="3" max="3" width="9" style="45" customWidth="1"/>
    <col min="4" max="4" width="10.28515625" style="45" customWidth="1"/>
    <col min="5" max="10" width="9.140625" style="45"/>
    <col min="11" max="11" width="12.28515625" style="45" customWidth="1"/>
    <col min="12" max="12" width="9.140625" style="45"/>
    <col min="13" max="13" width="9" style="45" customWidth="1"/>
    <col min="14" max="16384" width="9.140625" style="45"/>
  </cols>
  <sheetData>
    <row r="1" spans="1:13" ht="15" customHeight="1" x14ac:dyDescent="0.25">
      <c r="A1" s="205" t="s">
        <v>57</v>
      </c>
      <c r="B1" s="205"/>
      <c r="M1" s="207" t="s">
        <v>171</v>
      </c>
    </row>
    <row r="2" spans="1:13" ht="13.5" customHeight="1" x14ac:dyDescent="0.25">
      <c r="A2" s="205" t="s">
        <v>58</v>
      </c>
      <c r="B2" s="205"/>
      <c r="M2" s="207" t="s">
        <v>172</v>
      </c>
    </row>
    <row r="3" spans="1:13" s="47" customFormat="1" ht="18" customHeight="1" x14ac:dyDescent="0.2">
      <c r="A3" s="206" t="s">
        <v>178</v>
      </c>
      <c r="B3" s="206"/>
      <c r="M3" s="208" t="s">
        <v>176</v>
      </c>
    </row>
    <row r="4" spans="1:13" s="48" customFormat="1" ht="15" customHeight="1" x14ac:dyDescent="0.2">
      <c r="A4" s="95" t="s">
        <v>37</v>
      </c>
      <c r="B4" s="95"/>
      <c r="M4" s="97" t="s">
        <v>173</v>
      </c>
    </row>
    <row r="5" spans="1:13" s="49" customFormat="1" ht="15" customHeight="1" x14ac:dyDescent="0.2">
      <c r="A5" s="234" t="s">
        <v>4</v>
      </c>
      <c r="B5" s="260"/>
      <c r="C5" s="236"/>
      <c r="D5" s="235" t="s">
        <v>164</v>
      </c>
      <c r="E5" s="236"/>
      <c r="F5" s="236"/>
      <c r="G5" s="236"/>
      <c r="H5" s="236"/>
      <c r="I5" s="236"/>
      <c r="J5" s="241" t="s">
        <v>159</v>
      </c>
      <c r="K5" s="262" t="s">
        <v>187</v>
      </c>
      <c r="L5" s="237"/>
      <c r="M5" s="257"/>
    </row>
    <row r="6" spans="1:13" s="49" customFormat="1" ht="12" x14ac:dyDescent="0.2">
      <c r="A6" s="248" t="s">
        <v>184</v>
      </c>
      <c r="B6" s="250" t="s">
        <v>183</v>
      </c>
      <c r="C6" s="250"/>
      <c r="D6" s="249"/>
      <c r="E6" s="250" t="s">
        <v>182</v>
      </c>
      <c r="F6" s="250"/>
      <c r="G6" s="250"/>
      <c r="H6" s="250"/>
      <c r="I6" s="250"/>
      <c r="J6" s="251"/>
      <c r="K6" s="263" t="s">
        <v>188</v>
      </c>
      <c r="L6" s="120"/>
      <c r="M6" s="68"/>
    </row>
    <row r="7" spans="1:13" s="61" customFormat="1" ht="12" customHeight="1" x14ac:dyDescent="0.2">
      <c r="A7" s="218" t="s">
        <v>169</v>
      </c>
      <c r="B7" s="223" t="s">
        <v>217</v>
      </c>
      <c r="C7" s="245" t="s">
        <v>165</v>
      </c>
      <c r="D7" s="218" t="s">
        <v>170</v>
      </c>
      <c r="E7" s="220" t="s">
        <v>220</v>
      </c>
      <c r="F7" s="221" t="s">
        <v>162</v>
      </c>
      <c r="G7" s="222" t="s">
        <v>161</v>
      </c>
      <c r="H7" s="223" t="s">
        <v>215</v>
      </c>
      <c r="I7" s="222" t="s">
        <v>160</v>
      </c>
      <c r="J7" s="224" t="s">
        <v>163</v>
      </c>
      <c r="K7" s="218"/>
      <c r="L7" s="225" t="s">
        <v>123</v>
      </c>
      <c r="M7" s="220" t="s">
        <v>5</v>
      </c>
    </row>
    <row r="8" spans="1:13" s="61" customFormat="1" ht="12" customHeight="1" x14ac:dyDescent="0.2">
      <c r="A8" s="226" t="s">
        <v>50</v>
      </c>
      <c r="B8" s="228" t="s">
        <v>218</v>
      </c>
      <c r="C8" s="227" t="s">
        <v>189</v>
      </c>
      <c r="D8" s="226" t="s">
        <v>48</v>
      </c>
      <c r="E8" s="227" t="s">
        <v>96</v>
      </c>
      <c r="F8" s="226" t="s">
        <v>166</v>
      </c>
      <c r="G8" s="227" t="s">
        <v>168</v>
      </c>
      <c r="H8" s="228" t="s">
        <v>216</v>
      </c>
      <c r="I8" s="227" t="s">
        <v>167</v>
      </c>
      <c r="J8" s="229" t="s">
        <v>49</v>
      </c>
      <c r="K8" s="226"/>
      <c r="L8" s="230" t="s">
        <v>71</v>
      </c>
      <c r="M8" s="227" t="s">
        <v>70</v>
      </c>
    </row>
    <row r="9" spans="1:13" s="65" customFormat="1" ht="11.25" hidden="1" x14ac:dyDescent="0.2">
      <c r="A9" s="211">
        <v>1545</v>
      </c>
      <c r="B9" s="80"/>
      <c r="C9" s="88"/>
      <c r="D9" s="82">
        <v>5259</v>
      </c>
      <c r="E9" s="195"/>
      <c r="F9" s="195"/>
      <c r="G9" s="195"/>
      <c r="H9" s="195"/>
      <c r="I9" s="195"/>
      <c r="J9" s="83">
        <v>7062</v>
      </c>
      <c r="K9" s="197"/>
      <c r="L9" s="88"/>
      <c r="M9" s="87">
        <v>2000</v>
      </c>
    </row>
    <row r="10" spans="1:13" s="65" customFormat="1" ht="11.25" hidden="1" x14ac:dyDescent="0.2">
      <c r="A10" s="211">
        <v>1438</v>
      </c>
      <c r="B10" s="80"/>
      <c r="C10" s="88"/>
      <c r="D10" s="82">
        <v>5241</v>
      </c>
      <c r="E10" s="195"/>
      <c r="F10" s="195"/>
      <c r="G10" s="195"/>
      <c r="H10" s="195"/>
      <c r="I10" s="195"/>
      <c r="J10" s="83">
        <v>6658</v>
      </c>
      <c r="K10" s="197"/>
      <c r="L10" s="88"/>
      <c r="M10" s="87">
        <v>2001</v>
      </c>
    </row>
    <row r="11" spans="1:13" s="65" customFormat="1" ht="11.25" hidden="1" x14ac:dyDescent="0.2">
      <c r="A11" s="211">
        <v>1413</v>
      </c>
      <c r="B11" s="80"/>
      <c r="C11" s="88"/>
      <c r="D11" s="82">
        <v>5471</v>
      </c>
      <c r="E11" s="195"/>
      <c r="F11" s="195"/>
      <c r="G11" s="195"/>
      <c r="H11" s="195"/>
      <c r="I11" s="195"/>
      <c r="J11" s="83">
        <v>6979</v>
      </c>
      <c r="K11" s="197"/>
      <c r="L11" s="88"/>
      <c r="M11" s="87">
        <v>2002</v>
      </c>
    </row>
    <row r="12" spans="1:13" s="65" customFormat="1" ht="11.25" hidden="1" x14ac:dyDescent="0.2">
      <c r="A12" s="211">
        <v>1760.4670000000001</v>
      </c>
      <c r="B12" s="80"/>
      <c r="C12" s="88"/>
      <c r="D12" s="82">
        <v>5176.8969999999999</v>
      </c>
      <c r="E12" s="195"/>
      <c r="F12" s="195"/>
      <c r="G12" s="195"/>
      <c r="H12" s="195"/>
      <c r="I12" s="195"/>
      <c r="J12" s="83">
        <v>8029.6062000000002</v>
      </c>
      <c r="K12" s="197"/>
      <c r="L12" s="88"/>
      <c r="M12" s="87">
        <v>2003</v>
      </c>
    </row>
    <row r="13" spans="1:13" s="65" customFormat="1" ht="11.25" hidden="1" x14ac:dyDescent="0.2">
      <c r="A13" s="211">
        <v>1784.3859</v>
      </c>
      <c r="B13" s="80"/>
      <c r="C13" s="88"/>
      <c r="D13" s="82">
        <v>5721.8554000000004</v>
      </c>
      <c r="E13" s="195"/>
      <c r="F13" s="195"/>
      <c r="G13" s="195"/>
      <c r="H13" s="195"/>
      <c r="I13" s="195"/>
      <c r="J13" s="83">
        <v>8200.1941000000006</v>
      </c>
      <c r="K13" s="197"/>
      <c r="L13" s="88"/>
      <c r="M13" s="87">
        <v>2004</v>
      </c>
    </row>
    <row r="14" spans="1:13" s="65" customFormat="1" ht="11.25" hidden="1" x14ac:dyDescent="0.2">
      <c r="A14" s="211">
        <f>SUM(A36:A39)</f>
        <v>2202.7559999999999</v>
      </c>
      <c r="B14" s="80"/>
      <c r="C14" s="88"/>
      <c r="D14" s="82">
        <f>SUM(D36:D39)</f>
        <v>5352.9660000000003</v>
      </c>
      <c r="E14" s="195"/>
      <c r="F14" s="195"/>
      <c r="G14" s="195"/>
      <c r="H14" s="195"/>
      <c r="I14" s="195"/>
      <c r="J14" s="83">
        <f>SUM(J36:J39)</f>
        <v>9079.4560000000001</v>
      </c>
      <c r="K14" s="197"/>
      <c r="L14" s="88"/>
      <c r="M14" s="87">
        <v>2005</v>
      </c>
    </row>
    <row r="15" spans="1:13" s="65" customFormat="1" ht="11.25" hidden="1" x14ac:dyDescent="0.2">
      <c r="A15" s="211">
        <v>1639.335</v>
      </c>
      <c r="B15" s="80"/>
      <c r="C15" s="88"/>
      <c r="D15" s="82">
        <v>5516</v>
      </c>
      <c r="E15" s="195"/>
      <c r="F15" s="195"/>
      <c r="G15" s="195"/>
      <c r="H15" s="195"/>
      <c r="I15" s="195"/>
      <c r="J15" s="83">
        <v>8693</v>
      </c>
      <c r="K15" s="197"/>
      <c r="L15" s="88"/>
      <c r="M15" s="87">
        <v>2006</v>
      </c>
    </row>
    <row r="16" spans="1:13" s="65" customFormat="1" ht="11.25" hidden="1" x14ac:dyDescent="0.2">
      <c r="A16" s="211">
        <f>SUM(A46:A49)</f>
        <v>2309.6889999999999</v>
      </c>
      <c r="B16" s="80"/>
      <c r="C16" s="88"/>
      <c r="D16" s="82">
        <f>SUM(D46:D49)</f>
        <v>6126.3679999999995</v>
      </c>
      <c r="E16" s="195"/>
      <c r="F16" s="195"/>
      <c r="G16" s="195"/>
      <c r="H16" s="195"/>
      <c r="I16" s="195"/>
      <c r="J16" s="83">
        <f>SUM(J46:J49)</f>
        <v>9311.3920000000016</v>
      </c>
      <c r="K16" s="197"/>
      <c r="L16" s="88"/>
      <c r="M16" s="87">
        <v>2007</v>
      </c>
    </row>
    <row r="17" spans="1:13" s="65" customFormat="1" ht="11.25" hidden="1" x14ac:dyDescent="0.2">
      <c r="A17" s="211">
        <f>A54+A58+A62+A66</f>
        <v>2356.933</v>
      </c>
      <c r="B17" s="80"/>
      <c r="C17" s="88"/>
      <c r="D17" s="82">
        <f>D54+D58+D62+D66</f>
        <v>5804.2919999999995</v>
      </c>
      <c r="E17" s="242">
        <v>0</v>
      </c>
      <c r="F17" s="195"/>
      <c r="G17" s="195"/>
      <c r="H17" s="195"/>
      <c r="I17" s="195"/>
      <c r="J17" s="83">
        <f>J54+J58+J62+J66</f>
        <v>9970.7439999999988</v>
      </c>
      <c r="K17" s="197"/>
      <c r="L17" s="88"/>
      <c r="M17" s="87">
        <v>2008</v>
      </c>
    </row>
    <row r="18" spans="1:13" s="65" customFormat="1" ht="11.25" hidden="1" x14ac:dyDescent="0.2">
      <c r="A18" s="211">
        <f>A71+A75+A79+A83</f>
        <v>1585.6510000000001</v>
      </c>
      <c r="B18" s="80"/>
      <c r="C18" s="88"/>
      <c r="D18" s="82">
        <f>D71+D75+D79+D83</f>
        <v>4918.0139999999992</v>
      </c>
      <c r="E18" s="83">
        <f>E71+E75+E79+E83</f>
        <v>19.501999999999999</v>
      </c>
      <c r="F18" s="195"/>
      <c r="G18" s="195"/>
      <c r="H18" s="195"/>
      <c r="I18" s="195"/>
      <c r="J18" s="83">
        <f>J71+J75+J79+J83</f>
        <v>8875.5879999999997</v>
      </c>
      <c r="K18" s="197"/>
      <c r="L18" s="88"/>
      <c r="M18" s="87">
        <v>2009</v>
      </c>
    </row>
    <row r="19" spans="1:13" s="65" customFormat="1" ht="11.25" hidden="1" x14ac:dyDescent="0.2">
      <c r="A19" s="211">
        <f>A88+A92+A96+A100</f>
        <v>2254.7370000000001</v>
      </c>
      <c r="B19" s="80"/>
      <c r="C19" s="86"/>
      <c r="D19" s="82">
        <f>D88+D92+D96+D100</f>
        <v>7307.8610000000008</v>
      </c>
      <c r="E19" s="83">
        <f>E88+E92+E96+E100</f>
        <v>9.2370000000000001</v>
      </c>
      <c r="F19" s="195"/>
      <c r="G19" s="195"/>
      <c r="H19" s="195"/>
      <c r="I19" s="195"/>
      <c r="J19" s="83">
        <f>J88+J92+J96+J100</f>
        <v>9697.4469000000008</v>
      </c>
      <c r="K19" s="197">
        <f t="shared" ref="K19:K29" si="0">J19+E19+D19+A19</f>
        <v>19269.281900000002</v>
      </c>
      <c r="L19" s="88"/>
      <c r="M19" s="87">
        <v>2010</v>
      </c>
    </row>
    <row r="20" spans="1:13" s="65" customFormat="1" ht="11.25" hidden="1" x14ac:dyDescent="0.2">
      <c r="A20" s="211">
        <f>A105+A109+A113+A117</f>
        <v>2119.3199999999997</v>
      </c>
      <c r="B20" s="80"/>
      <c r="C20" s="86"/>
      <c r="D20" s="82">
        <f>D105+D109+D113+D117</f>
        <v>7224.6731</v>
      </c>
      <c r="E20" s="83">
        <f>E105+E109+E113+E117</f>
        <v>24.570999999999998</v>
      </c>
      <c r="F20" s="195"/>
      <c r="G20" s="195"/>
      <c r="H20" s="195"/>
      <c r="I20" s="195"/>
      <c r="J20" s="83">
        <f>J105+J109+J113+J117</f>
        <v>10221.252100000002</v>
      </c>
      <c r="K20" s="197">
        <f t="shared" si="0"/>
        <v>19589.816200000001</v>
      </c>
      <c r="L20" s="88"/>
      <c r="M20" s="87">
        <v>2011</v>
      </c>
    </row>
    <row r="21" spans="1:13" s="65" customFormat="1" ht="11.25" hidden="1" x14ac:dyDescent="0.2">
      <c r="A21" s="211">
        <f>A122+A126+A130+A134</f>
        <v>1456.2090000000001</v>
      </c>
      <c r="B21" s="80"/>
      <c r="C21" s="86"/>
      <c r="D21" s="82">
        <f>D122+D126+D130+D134</f>
        <v>7231.6741000000002</v>
      </c>
      <c r="E21" s="83">
        <f>E122+E126+E130+E134</f>
        <v>32.164000000000001</v>
      </c>
      <c r="F21" s="195"/>
      <c r="G21" s="195"/>
      <c r="H21" s="195"/>
      <c r="I21" s="195"/>
      <c r="J21" s="83">
        <f>J122+J126+J130+J134</f>
        <v>10709.4359</v>
      </c>
      <c r="K21" s="197">
        <f t="shared" si="0"/>
        <v>19429.483</v>
      </c>
      <c r="L21" s="88"/>
      <c r="M21" s="87">
        <v>2012</v>
      </c>
    </row>
    <row r="22" spans="1:13" s="65" customFormat="1" ht="11.25" hidden="1" x14ac:dyDescent="0.2">
      <c r="A22" s="211">
        <f>A139+A143+A147+A151</f>
        <v>1921.3107420000001</v>
      </c>
      <c r="B22" s="80"/>
      <c r="C22" s="86"/>
      <c r="D22" s="82">
        <f>D139+D143+D147+D151</f>
        <v>6829.0077000000001</v>
      </c>
      <c r="E22" s="83">
        <f>E139+E143+E147+E151</f>
        <v>11.792999999999999</v>
      </c>
      <c r="F22" s="195"/>
      <c r="G22" s="195"/>
      <c r="H22" s="195"/>
      <c r="I22" s="195"/>
      <c r="J22" s="83">
        <f>J139+J143+J147+J151</f>
        <v>11700.985199999999</v>
      </c>
      <c r="K22" s="197">
        <f t="shared" si="0"/>
        <v>20463.096642</v>
      </c>
      <c r="L22" s="88"/>
      <c r="M22" s="87">
        <v>2013</v>
      </c>
    </row>
    <row r="23" spans="1:13" s="65" customFormat="1" ht="11.25" x14ac:dyDescent="0.2">
      <c r="A23" s="212">
        <f>A156+A160+A164+A168</f>
        <v>2126.0742639999999</v>
      </c>
      <c r="B23" s="159"/>
      <c r="C23" s="86"/>
      <c r="D23" s="162">
        <f>D156+D160+D164+D168</f>
        <v>8264.3546380000007</v>
      </c>
      <c r="E23" s="160">
        <f>E156+E160+E164+E168</f>
        <v>16.855</v>
      </c>
      <c r="F23" s="195"/>
      <c r="G23" s="195"/>
      <c r="H23" s="195"/>
      <c r="I23" s="195"/>
      <c r="J23" s="160">
        <f>J156+J160+J164+J168</f>
        <v>10877.018199999999</v>
      </c>
      <c r="K23" s="197">
        <f t="shared" si="0"/>
        <v>21284.302101999998</v>
      </c>
      <c r="L23" s="88"/>
      <c r="M23" s="87">
        <v>2014</v>
      </c>
    </row>
    <row r="24" spans="1:13" s="65" customFormat="1" ht="11.25" x14ac:dyDescent="0.2">
      <c r="A24" s="212">
        <f>A173+A177+A181+A185</f>
        <v>1891.2726500000001</v>
      </c>
      <c r="B24" s="159"/>
      <c r="C24" s="86"/>
      <c r="D24" s="162">
        <f>D173+D177+D181+D185</f>
        <v>7948.6514390000002</v>
      </c>
      <c r="E24" s="160">
        <f>E173+E177+E181+E185</f>
        <v>5.71</v>
      </c>
      <c r="F24" s="195"/>
      <c r="G24" s="195"/>
      <c r="H24" s="195"/>
      <c r="I24" s="195"/>
      <c r="J24" s="160">
        <f>J173+J177+J181+J185</f>
        <v>10327.3233</v>
      </c>
      <c r="K24" s="197">
        <f t="shared" si="0"/>
        <v>20172.957388999999</v>
      </c>
      <c r="L24" s="88"/>
      <c r="M24" s="87">
        <v>2015</v>
      </c>
    </row>
    <row r="25" spans="1:13" s="65" customFormat="1" ht="11.25" x14ac:dyDescent="0.2">
      <c r="A25" s="212">
        <f>A190+A194+A198+A202</f>
        <v>1891.1232610000002</v>
      </c>
      <c r="B25" s="159"/>
      <c r="C25" s="86"/>
      <c r="D25" s="162">
        <f>D190+D194+D198+D202</f>
        <v>8694.1245689999996</v>
      </c>
      <c r="E25" s="160">
        <f>E190+E194+E198+E202</f>
        <v>2.3370000000000002</v>
      </c>
      <c r="F25" s="195"/>
      <c r="G25" s="195"/>
      <c r="H25" s="195"/>
      <c r="I25" s="195"/>
      <c r="J25" s="160">
        <f>J190+J194+J198+J202</f>
        <v>10149.9856</v>
      </c>
      <c r="K25" s="197">
        <f t="shared" si="0"/>
        <v>20737.57043</v>
      </c>
      <c r="L25" s="88"/>
      <c r="M25" s="87">
        <v>2016</v>
      </c>
    </row>
    <row r="26" spans="1:13" s="65" customFormat="1" ht="11.25" x14ac:dyDescent="0.2">
      <c r="A26" s="212">
        <f>A207+A211+A215+A219</f>
        <v>2018.1099549999999</v>
      </c>
      <c r="B26" s="159"/>
      <c r="C26" s="86"/>
      <c r="D26" s="162">
        <f>D207+D211+D215+D219</f>
        <v>8375.2217860000001</v>
      </c>
      <c r="E26" s="160">
        <f>E207+E211+E215+E219</f>
        <v>0.13600000000000001</v>
      </c>
      <c r="F26" s="195"/>
      <c r="G26" s="195"/>
      <c r="H26" s="195"/>
      <c r="I26" s="195"/>
      <c r="J26" s="160">
        <f>J207+J211+J215+J219</f>
        <v>10112.282599999999</v>
      </c>
      <c r="K26" s="197">
        <f t="shared" si="0"/>
        <v>20505.750340999999</v>
      </c>
      <c r="L26" s="88"/>
      <c r="M26" s="87">
        <v>2017</v>
      </c>
    </row>
    <row r="27" spans="1:13" s="65" customFormat="1" ht="11.25" x14ac:dyDescent="0.2">
      <c r="A27" s="212">
        <f>A224+A228+A232+A236</f>
        <v>2114.2659999999996</v>
      </c>
      <c r="B27" s="159"/>
      <c r="C27" s="86"/>
      <c r="D27" s="162">
        <f>D224+D228+D232+D236</f>
        <v>7702.5772059999999</v>
      </c>
      <c r="E27" s="160">
        <f>E224+E228+E232+E236</f>
        <v>2.137</v>
      </c>
      <c r="F27" s="195"/>
      <c r="G27" s="195"/>
      <c r="H27" s="195"/>
      <c r="I27" s="195"/>
      <c r="J27" s="160">
        <f>J224+J228+J232+J236</f>
        <v>10414.278299999998</v>
      </c>
      <c r="K27" s="197">
        <f t="shared" si="0"/>
        <v>20233.258505999998</v>
      </c>
      <c r="L27" s="88"/>
      <c r="M27" s="87">
        <v>2018</v>
      </c>
    </row>
    <row r="28" spans="1:13" s="65" customFormat="1" ht="11.25" x14ac:dyDescent="0.2">
      <c r="A28" s="212">
        <f>A241+A245+A249+A253</f>
        <v>1750.9701</v>
      </c>
      <c r="B28" s="159"/>
      <c r="C28" s="86"/>
      <c r="D28" s="162">
        <f>D241+D245+D249+D253</f>
        <v>7751.2784040000006</v>
      </c>
      <c r="E28" s="160">
        <f>E241+E245+E249+E253</f>
        <v>0</v>
      </c>
      <c r="F28" s="195"/>
      <c r="G28" s="195"/>
      <c r="H28" s="195"/>
      <c r="I28" s="195"/>
      <c r="J28" s="160">
        <f>J241+J245+J249+J253</f>
        <v>10107.8388</v>
      </c>
      <c r="K28" s="197">
        <f t="shared" si="0"/>
        <v>19610.087304000001</v>
      </c>
      <c r="L28" s="88"/>
      <c r="M28" s="87">
        <v>2019</v>
      </c>
    </row>
    <row r="29" spans="1:13" s="65" customFormat="1" ht="11.25" x14ac:dyDescent="0.2">
      <c r="A29" s="212">
        <f>A258+A262+A266+A270</f>
        <v>2075.4029999999998</v>
      </c>
      <c r="B29" s="159"/>
      <c r="C29" s="146"/>
      <c r="D29" s="162">
        <f>D258+D262+D266+D270</f>
        <v>7908.6100650000008</v>
      </c>
      <c r="E29" s="160">
        <f>E258+E262+E266+E270</f>
        <v>0</v>
      </c>
      <c r="F29" s="217"/>
      <c r="G29" s="217"/>
      <c r="H29" s="217"/>
      <c r="I29" s="217"/>
      <c r="J29" s="160">
        <f>J258+J262+J266+J270</f>
        <v>9139.3927000000003</v>
      </c>
      <c r="K29" s="197">
        <f t="shared" si="0"/>
        <v>19123.405765</v>
      </c>
      <c r="L29" s="88"/>
      <c r="M29" s="87">
        <v>2020</v>
      </c>
    </row>
    <row r="30" spans="1:13" s="65" customFormat="1" ht="11.25" x14ac:dyDescent="0.2">
      <c r="A30" s="212">
        <f t="shared" ref="A30:J30" si="1">A275+A279+A283+A287</f>
        <v>1632.3949999999998</v>
      </c>
      <c r="B30" s="145">
        <f>B275+B279+B283+B287</f>
        <v>811.53341</v>
      </c>
      <c r="C30" s="351">
        <f t="shared" si="1"/>
        <v>48.815600000000003</v>
      </c>
      <c r="D30" s="162">
        <f t="shared" si="1"/>
        <v>7367.4066999999995</v>
      </c>
      <c r="E30" s="160">
        <f t="shared" si="1"/>
        <v>0</v>
      </c>
      <c r="F30" s="217">
        <f t="shared" si="1"/>
        <v>70.734999999999999</v>
      </c>
      <c r="G30" s="217">
        <f t="shared" si="1"/>
        <v>373.654</v>
      </c>
      <c r="H30" s="217">
        <f t="shared" si="1"/>
        <v>3312.6758739999996</v>
      </c>
      <c r="I30" s="217">
        <f t="shared" si="1"/>
        <v>0</v>
      </c>
      <c r="J30" s="160">
        <f t="shared" si="1"/>
        <v>5523.0797999999995</v>
      </c>
      <c r="K30" s="352">
        <f>K275+K279+K283+K287</f>
        <v>19140.295384000001</v>
      </c>
      <c r="L30" s="154"/>
      <c r="M30" s="151">
        <v>2021</v>
      </c>
    </row>
    <row r="31" spans="1:13" s="65" customFormat="1" ht="11.25" x14ac:dyDescent="0.2">
      <c r="A31" s="212">
        <f t="shared" ref="A31:J31" si="2">A292+A296+A300+A304</f>
        <v>1546.9470000000001</v>
      </c>
      <c r="B31" s="144">
        <f t="shared" si="2"/>
        <v>857.39245499999993</v>
      </c>
      <c r="C31" s="351">
        <f t="shared" si="2"/>
        <v>267.22116</v>
      </c>
      <c r="D31" s="162">
        <f t="shared" si="2"/>
        <v>6968.3796999999995</v>
      </c>
      <c r="E31" s="160">
        <f t="shared" si="2"/>
        <v>0</v>
      </c>
      <c r="F31" s="217">
        <f t="shared" si="2"/>
        <v>1453.968245</v>
      </c>
      <c r="G31" s="217">
        <f t="shared" si="2"/>
        <v>443.47699999999998</v>
      </c>
      <c r="H31" s="217">
        <f t="shared" si="2"/>
        <v>3416.4816209999999</v>
      </c>
      <c r="I31" s="217">
        <f t="shared" si="2"/>
        <v>0</v>
      </c>
      <c r="J31" s="160">
        <f t="shared" si="2"/>
        <v>4292.7880000000005</v>
      </c>
      <c r="K31" s="352">
        <f>K292+K296+K300+K304</f>
        <v>19246.655181000002</v>
      </c>
      <c r="L31" s="154"/>
      <c r="M31" s="151">
        <v>2022</v>
      </c>
    </row>
    <row r="32" spans="1:13" s="65" customFormat="1" ht="11.25" x14ac:dyDescent="0.2">
      <c r="A32" s="212">
        <f t="shared" ref="A32:J32" si="3">A309+A313+A317+A321</f>
        <v>1582.6200000000001</v>
      </c>
      <c r="B32" s="144">
        <f t="shared" si="3"/>
        <v>1050.7754539999999</v>
      </c>
      <c r="C32" s="351">
        <f t="shared" si="3"/>
        <v>928.01199270999996</v>
      </c>
      <c r="D32" s="162">
        <f t="shared" si="3"/>
        <v>6358.6659</v>
      </c>
      <c r="E32" s="160">
        <f t="shared" si="3"/>
        <v>0.39100000000000001</v>
      </c>
      <c r="F32" s="217">
        <f t="shared" si="3"/>
        <v>3782.2931570000001</v>
      </c>
      <c r="G32" s="217">
        <f t="shared" si="3"/>
        <v>430.07300000000004</v>
      </c>
      <c r="H32" s="217">
        <f>H309+H313+H317+H321</f>
        <v>2774.208063</v>
      </c>
      <c r="I32" s="217">
        <f t="shared" si="3"/>
        <v>0</v>
      </c>
      <c r="J32" s="160">
        <f t="shared" si="3"/>
        <v>2770.8076999999998</v>
      </c>
      <c r="K32" s="352">
        <f>K309+K313+K317+K321</f>
        <v>19677.846266710003</v>
      </c>
      <c r="L32" s="348"/>
      <c r="M32" s="151">
        <v>2023</v>
      </c>
    </row>
    <row r="33" spans="1:14" s="65" customFormat="1" ht="11.25" x14ac:dyDescent="0.2">
      <c r="A33" s="214">
        <f>A326+A330+A334+A338</f>
        <v>643.38</v>
      </c>
      <c r="B33" s="145">
        <f t="shared" ref="B33:J33" si="4">B326+B330+B334+B338</f>
        <v>692.036295</v>
      </c>
      <c r="C33" s="351">
        <f t="shared" si="4"/>
        <v>1680.5996878800001</v>
      </c>
      <c r="D33" s="162">
        <f t="shared" si="4"/>
        <v>6957.4306000000006</v>
      </c>
      <c r="E33" s="160">
        <f t="shared" si="4"/>
        <v>0.43281599999999998</v>
      </c>
      <c r="F33" s="217">
        <f t="shared" si="4"/>
        <v>2131.7058940000002</v>
      </c>
      <c r="G33" s="217">
        <f t="shared" si="4"/>
        <v>362.80500000000001</v>
      </c>
      <c r="H33" s="217">
        <f t="shared" si="4"/>
        <v>2435.3730800000003</v>
      </c>
      <c r="I33" s="217">
        <f t="shared" si="4"/>
        <v>0</v>
      </c>
      <c r="J33" s="160">
        <f t="shared" si="4"/>
        <v>2476.6875</v>
      </c>
      <c r="K33" s="352">
        <f>K326+K330+K334+K338</f>
        <v>17380.450872879999</v>
      </c>
      <c r="L33" s="348"/>
      <c r="M33" s="151">
        <v>2024</v>
      </c>
      <c r="N33" s="353"/>
    </row>
    <row r="34" spans="1:14" s="65" customFormat="1" ht="11.25" x14ac:dyDescent="0.2">
      <c r="A34" s="213">
        <f t="shared" ref="A34:J34" si="5">A343+A347+A348+A349</f>
        <v>320.21899999999999</v>
      </c>
      <c r="B34" s="130">
        <f t="shared" si="5"/>
        <v>526.41940199999999</v>
      </c>
      <c r="C34" s="268">
        <f t="shared" si="5"/>
        <v>1216.4557380000001</v>
      </c>
      <c r="D34" s="182">
        <f t="shared" si="5"/>
        <v>4633.9719000000005</v>
      </c>
      <c r="E34" s="156">
        <f t="shared" si="5"/>
        <v>0</v>
      </c>
      <c r="F34" s="216">
        <f t="shared" si="5"/>
        <v>1447.4815820000003</v>
      </c>
      <c r="G34" s="216">
        <f t="shared" si="5"/>
        <v>204.02500000000001</v>
      </c>
      <c r="H34" s="216">
        <f t="shared" si="5"/>
        <v>940.7828639999999</v>
      </c>
      <c r="I34" s="216">
        <f t="shared" si="5"/>
        <v>0</v>
      </c>
      <c r="J34" s="156">
        <f t="shared" si="5"/>
        <v>1715.6105</v>
      </c>
      <c r="K34" s="259">
        <f>K343+K347+K348+K349</f>
        <v>11004.965986000003</v>
      </c>
      <c r="L34" s="269" t="s">
        <v>230</v>
      </c>
      <c r="M34" s="135">
        <v>2025</v>
      </c>
      <c r="N34" s="353"/>
    </row>
    <row r="35" spans="1:14" s="285" customFormat="1" ht="11.25" customHeight="1" x14ac:dyDescent="0.2">
      <c r="A35" s="279"/>
      <c r="B35" s="338"/>
      <c r="C35" s="282"/>
      <c r="D35" s="281"/>
      <c r="E35" s="282"/>
      <c r="F35" s="233"/>
      <c r="G35" s="233"/>
      <c r="H35" s="233"/>
      <c r="I35" s="233"/>
      <c r="J35" s="283"/>
      <c r="K35" s="264"/>
      <c r="L35" s="280"/>
      <c r="M35" s="284"/>
    </row>
    <row r="36" spans="1:14" s="285" customFormat="1" ht="11.25" hidden="1" x14ac:dyDescent="0.2">
      <c r="A36" s="279">
        <v>600.76800000000003</v>
      </c>
      <c r="B36" s="338"/>
      <c r="C36" s="282"/>
      <c r="D36" s="281">
        <v>1459.1120000000001</v>
      </c>
      <c r="E36" s="282"/>
      <c r="F36" s="233"/>
      <c r="G36" s="233"/>
      <c r="H36" s="233"/>
      <c r="I36" s="233"/>
      <c r="J36" s="283">
        <v>2044.3520000000001</v>
      </c>
      <c r="K36" s="264"/>
      <c r="L36" s="280" t="s">
        <v>53</v>
      </c>
      <c r="M36" s="284">
        <v>2005</v>
      </c>
    </row>
    <row r="37" spans="1:14" s="285" customFormat="1" ht="12" hidden="1" customHeight="1" x14ac:dyDescent="0.2">
      <c r="A37" s="279">
        <v>391.86</v>
      </c>
      <c r="B37" s="338"/>
      <c r="C37" s="282"/>
      <c r="D37" s="281">
        <v>1587.2059999999999</v>
      </c>
      <c r="E37" s="282"/>
      <c r="F37" s="233"/>
      <c r="G37" s="233"/>
      <c r="H37" s="233"/>
      <c r="I37" s="233"/>
      <c r="J37" s="283">
        <v>2557.6089999999999</v>
      </c>
      <c r="K37" s="264"/>
      <c r="L37" s="280" t="s">
        <v>54</v>
      </c>
      <c r="M37" s="284"/>
    </row>
    <row r="38" spans="1:14" s="285" customFormat="1" ht="12" hidden="1" customHeight="1" x14ac:dyDescent="0.2">
      <c r="A38" s="279">
        <v>651.86199999999997</v>
      </c>
      <c r="B38" s="338"/>
      <c r="C38" s="282"/>
      <c r="D38" s="281">
        <v>1193.7139999999999</v>
      </c>
      <c r="E38" s="282"/>
      <c r="F38" s="233"/>
      <c r="G38" s="233"/>
      <c r="H38" s="233"/>
      <c r="I38" s="233"/>
      <c r="J38" s="283">
        <v>2357.0549999999998</v>
      </c>
      <c r="K38" s="264"/>
      <c r="L38" s="280" t="s">
        <v>55</v>
      </c>
      <c r="M38" s="284"/>
    </row>
    <row r="39" spans="1:14" s="285" customFormat="1" ht="11.25" hidden="1" customHeight="1" x14ac:dyDescent="0.2">
      <c r="A39" s="279">
        <v>558.26599999999996</v>
      </c>
      <c r="B39" s="338"/>
      <c r="C39" s="282"/>
      <c r="D39" s="281">
        <v>1112.934</v>
      </c>
      <c r="E39" s="282"/>
      <c r="F39" s="233"/>
      <c r="G39" s="233"/>
      <c r="H39" s="233"/>
      <c r="I39" s="233"/>
      <c r="J39" s="283">
        <v>2120.44</v>
      </c>
      <c r="K39" s="264"/>
      <c r="L39" s="280" t="s">
        <v>56</v>
      </c>
      <c r="M39" s="284"/>
    </row>
    <row r="40" spans="1:14" s="285" customFormat="1" ht="9.75" hidden="1" customHeight="1" x14ac:dyDescent="0.2">
      <c r="A40" s="286"/>
      <c r="B40" s="280"/>
      <c r="C40" s="282"/>
      <c r="D40" s="284"/>
      <c r="E40" s="282"/>
      <c r="F40" s="233"/>
      <c r="G40" s="233"/>
      <c r="H40" s="233"/>
      <c r="I40" s="233"/>
      <c r="J40" s="282"/>
      <c r="K40" s="264"/>
      <c r="L40" s="280"/>
      <c r="M40" s="284"/>
    </row>
    <row r="41" spans="1:14" s="285" customFormat="1" ht="11.25" hidden="1" x14ac:dyDescent="0.2">
      <c r="A41" s="287">
        <v>253.33500000000001</v>
      </c>
      <c r="B41" s="339"/>
      <c r="C41" s="282"/>
      <c r="D41" s="288">
        <v>1170</v>
      </c>
      <c r="E41" s="282"/>
      <c r="F41" s="233"/>
      <c r="G41" s="233"/>
      <c r="H41" s="233"/>
      <c r="I41" s="233"/>
      <c r="J41" s="289">
        <v>2221</v>
      </c>
      <c r="K41" s="264"/>
      <c r="L41" s="280" t="s">
        <v>53</v>
      </c>
      <c r="M41" s="284">
        <v>2006</v>
      </c>
    </row>
    <row r="42" spans="1:14" s="285" customFormat="1" ht="11.25" hidden="1" x14ac:dyDescent="0.2">
      <c r="A42" s="287">
        <v>356</v>
      </c>
      <c r="B42" s="339"/>
      <c r="C42" s="282"/>
      <c r="D42" s="288">
        <v>1294</v>
      </c>
      <c r="E42" s="282"/>
      <c r="F42" s="233"/>
      <c r="G42" s="233"/>
      <c r="H42" s="233"/>
      <c r="I42" s="233"/>
      <c r="J42" s="289">
        <v>2688</v>
      </c>
      <c r="K42" s="264"/>
      <c r="L42" s="280" t="s">
        <v>54</v>
      </c>
      <c r="M42" s="284"/>
    </row>
    <row r="43" spans="1:14" s="285" customFormat="1" ht="11.25" hidden="1" x14ac:dyDescent="0.2">
      <c r="A43" s="287">
        <v>378</v>
      </c>
      <c r="B43" s="339"/>
      <c r="C43" s="282"/>
      <c r="D43" s="288">
        <v>1603</v>
      </c>
      <c r="E43" s="282"/>
      <c r="F43" s="233"/>
      <c r="G43" s="233"/>
      <c r="H43" s="233"/>
      <c r="I43" s="233"/>
      <c r="J43" s="289">
        <v>1744</v>
      </c>
      <c r="K43" s="264"/>
      <c r="L43" s="280" t="s">
        <v>55</v>
      </c>
      <c r="M43" s="284"/>
    </row>
    <row r="44" spans="1:14" s="285" customFormat="1" ht="11.25" hidden="1" x14ac:dyDescent="0.2">
      <c r="A44" s="287">
        <v>652</v>
      </c>
      <c r="B44" s="339"/>
      <c r="C44" s="282"/>
      <c r="D44" s="288">
        <v>1449</v>
      </c>
      <c r="E44" s="282"/>
      <c r="F44" s="233"/>
      <c r="G44" s="233"/>
      <c r="H44" s="233"/>
      <c r="I44" s="233"/>
      <c r="J44" s="289">
        <v>2040</v>
      </c>
      <c r="K44" s="264"/>
      <c r="L44" s="280" t="s">
        <v>56</v>
      </c>
      <c r="M44" s="284"/>
    </row>
    <row r="45" spans="1:14" s="285" customFormat="1" ht="11.25" hidden="1" x14ac:dyDescent="0.2">
      <c r="A45" s="287"/>
      <c r="B45" s="339"/>
      <c r="C45" s="282"/>
      <c r="D45" s="288"/>
      <c r="E45" s="282"/>
      <c r="F45" s="233"/>
      <c r="G45" s="233"/>
      <c r="H45" s="233"/>
      <c r="I45" s="233"/>
      <c r="J45" s="289"/>
      <c r="K45" s="264"/>
      <c r="L45" s="280"/>
      <c r="M45" s="284"/>
    </row>
    <row r="46" spans="1:14" s="285" customFormat="1" ht="11.25" hidden="1" x14ac:dyDescent="0.2">
      <c r="A46" s="287">
        <v>514.16300000000001</v>
      </c>
      <c r="B46" s="339"/>
      <c r="C46" s="282"/>
      <c r="D46" s="288">
        <v>1397.712</v>
      </c>
      <c r="E46" s="282"/>
      <c r="F46" s="233"/>
      <c r="G46" s="233"/>
      <c r="H46" s="233"/>
      <c r="I46" s="233"/>
      <c r="J46" s="289">
        <v>2213.6260000000002</v>
      </c>
      <c r="K46" s="264"/>
      <c r="L46" s="280" t="s">
        <v>53</v>
      </c>
      <c r="M46" s="284">
        <v>2007</v>
      </c>
    </row>
    <row r="47" spans="1:14" s="285" customFormat="1" ht="11.25" hidden="1" x14ac:dyDescent="0.2">
      <c r="A47" s="287">
        <v>476.685</v>
      </c>
      <c r="B47" s="339"/>
      <c r="C47" s="282"/>
      <c r="D47" s="288">
        <v>1716.732</v>
      </c>
      <c r="E47" s="282"/>
      <c r="F47" s="233"/>
      <c r="G47" s="233"/>
      <c r="H47" s="233"/>
      <c r="I47" s="233"/>
      <c r="J47" s="289">
        <v>2437.797</v>
      </c>
      <c r="K47" s="264"/>
      <c r="L47" s="280" t="s">
        <v>54</v>
      </c>
      <c r="M47" s="284"/>
    </row>
    <row r="48" spans="1:14" s="285" customFormat="1" ht="11.25" hidden="1" x14ac:dyDescent="0.2">
      <c r="A48" s="287">
        <v>689.68200000000002</v>
      </c>
      <c r="B48" s="339"/>
      <c r="C48" s="282"/>
      <c r="D48" s="288">
        <v>1376.47</v>
      </c>
      <c r="E48" s="282"/>
      <c r="F48" s="233"/>
      <c r="G48" s="233"/>
      <c r="H48" s="233"/>
      <c r="I48" s="233"/>
      <c r="J48" s="289">
        <v>2194.4659999999999</v>
      </c>
      <c r="K48" s="264"/>
      <c r="L48" s="280" t="s">
        <v>55</v>
      </c>
      <c r="M48" s="284"/>
    </row>
    <row r="49" spans="1:13" s="285" customFormat="1" ht="11.25" hidden="1" x14ac:dyDescent="0.2">
      <c r="A49" s="290">
        <v>629.15899999999999</v>
      </c>
      <c r="B49" s="340"/>
      <c r="C49" s="282"/>
      <c r="D49" s="288">
        <v>1635.454</v>
      </c>
      <c r="E49" s="282"/>
      <c r="F49" s="233"/>
      <c r="G49" s="233"/>
      <c r="H49" s="233"/>
      <c r="I49" s="233"/>
      <c r="J49" s="289">
        <v>2465.5030000000002</v>
      </c>
      <c r="K49" s="264"/>
      <c r="L49" s="280" t="s">
        <v>56</v>
      </c>
      <c r="M49" s="284"/>
    </row>
    <row r="50" spans="1:13" s="285" customFormat="1" ht="11.25" hidden="1" x14ac:dyDescent="0.2">
      <c r="A50" s="290"/>
      <c r="B50" s="340"/>
      <c r="C50" s="282"/>
      <c r="D50" s="288"/>
      <c r="E50" s="282"/>
      <c r="F50" s="233"/>
      <c r="G50" s="233"/>
      <c r="H50" s="233"/>
      <c r="I50" s="233"/>
      <c r="J50" s="289"/>
      <c r="K50" s="264"/>
      <c r="L50" s="280"/>
      <c r="M50" s="284"/>
    </row>
    <row r="51" spans="1:13" s="285" customFormat="1" ht="11.25" hidden="1" x14ac:dyDescent="0.2">
      <c r="A51" s="290">
        <v>243.434</v>
      </c>
      <c r="B51" s="340"/>
      <c r="C51" s="282"/>
      <c r="D51" s="288">
        <v>552.08500000000004</v>
      </c>
      <c r="E51" s="282"/>
      <c r="F51" s="233"/>
      <c r="G51" s="233"/>
      <c r="H51" s="233"/>
      <c r="I51" s="233"/>
      <c r="J51" s="289">
        <v>849.13300000000004</v>
      </c>
      <c r="K51" s="264"/>
      <c r="L51" s="280" t="s">
        <v>78</v>
      </c>
      <c r="M51" s="284">
        <v>2008</v>
      </c>
    </row>
    <row r="52" spans="1:13" s="285" customFormat="1" ht="11.25" hidden="1" x14ac:dyDescent="0.2">
      <c r="A52" s="290">
        <v>180.06700000000001</v>
      </c>
      <c r="B52" s="340"/>
      <c r="C52" s="282"/>
      <c r="D52" s="288">
        <v>589.774</v>
      </c>
      <c r="E52" s="282"/>
      <c r="F52" s="233"/>
      <c r="G52" s="233"/>
      <c r="H52" s="233"/>
      <c r="I52" s="233"/>
      <c r="J52" s="289">
        <v>814.01300000000003</v>
      </c>
      <c r="K52" s="264"/>
      <c r="L52" s="280" t="s">
        <v>79</v>
      </c>
      <c r="M52" s="284"/>
    </row>
    <row r="53" spans="1:13" s="285" customFormat="1" ht="11.25" hidden="1" x14ac:dyDescent="0.2">
      <c r="A53" s="290">
        <v>245.08600000000001</v>
      </c>
      <c r="B53" s="340"/>
      <c r="C53" s="282"/>
      <c r="D53" s="288">
        <v>668.09100000000001</v>
      </c>
      <c r="E53" s="282"/>
      <c r="F53" s="233"/>
      <c r="G53" s="233"/>
      <c r="H53" s="233"/>
      <c r="I53" s="233"/>
      <c r="J53" s="289">
        <v>989.75099999999998</v>
      </c>
      <c r="K53" s="264"/>
      <c r="L53" s="280" t="s">
        <v>80</v>
      </c>
      <c r="M53" s="284"/>
    </row>
    <row r="54" spans="1:13" s="285" customFormat="1" ht="11.25" hidden="1" x14ac:dyDescent="0.2">
      <c r="A54" s="290">
        <f>SUM(A51:A53)</f>
        <v>668.58699999999999</v>
      </c>
      <c r="B54" s="340"/>
      <c r="C54" s="282"/>
      <c r="D54" s="288">
        <f>SUM(D51:D53)</f>
        <v>1809.9499999999998</v>
      </c>
      <c r="E54" s="282"/>
      <c r="F54" s="233"/>
      <c r="G54" s="233"/>
      <c r="H54" s="233"/>
      <c r="I54" s="233"/>
      <c r="J54" s="289">
        <f>SUM(J51:J53)</f>
        <v>2652.8969999999999</v>
      </c>
      <c r="K54" s="264"/>
      <c r="L54" s="280" t="s">
        <v>53</v>
      </c>
      <c r="M54" s="284">
        <v>2008</v>
      </c>
    </row>
    <row r="55" spans="1:13" s="285" customFormat="1" ht="11.25" hidden="1" x14ac:dyDescent="0.2">
      <c r="A55" s="290">
        <v>215.673</v>
      </c>
      <c r="B55" s="340"/>
      <c r="C55" s="282"/>
      <c r="D55" s="288">
        <v>551.87199999999996</v>
      </c>
      <c r="E55" s="282"/>
      <c r="F55" s="233"/>
      <c r="G55" s="233"/>
      <c r="H55" s="233"/>
      <c r="I55" s="233"/>
      <c r="J55" s="289">
        <v>889.75400000000002</v>
      </c>
      <c r="K55" s="264"/>
      <c r="L55" s="280" t="s">
        <v>68</v>
      </c>
      <c r="M55" s="284"/>
    </row>
    <row r="56" spans="1:13" s="285" customFormat="1" ht="11.25" hidden="1" x14ac:dyDescent="0.2">
      <c r="A56" s="290">
        <v>203.73599999999999</v>
      </c>
      <c r="B56" s="340"/>
      <c r="C56" s="282"/>
      <c r="D56" s="288">
        <v>551.42999999999995</v>
      </c>
      <c r="E56" s="282"/>
      <c r="F56" s="233"/>
      <c r="G56" s="233"/>
      <c r="H56" s="233"/>
      <c r="I56" s="233"/>
      <c r="J56" s="289">
        <v>964.63499999999999</v>
      </c>
      <c r="K56" s="264"/>
      <c r="L56" s="280" t="s">
        <v>82</v>
      </c>
      <c r="M56" s="284"/>
    </row>
    <row r="57" spans="1:13" s="285" customFormat="1" ht="11.25" hidden="1" x14ac:dyDescent="0.2">
      <c r="A57" s="290">
        <v>252.64099999999999</v>
      </c>
      <c r="B57" s="340"/>
      <c r="C57" s="282"/>
      <c r="D57" s="288">
        <v>637.76</v>
      </c>
      <c r="E57" s="282"/>
      <c r="F57" s="233"/>
      <c r="G57" s="233"/>
      <c r="H57" s="233"/>
      <c r="I57" s="233"/>
      <c r="J57" s="289">
        <v>902.64800000000002</v>
      </c>
      <c r="K57" s="264"/>
      <c r="L57" s="280" t="s">
        <v>83</v>
      </c>
      <c r="M57" s="284"/>
    </row>
    <row r="58" spans="1:13" s="285" customFormat="1" ht="11.25" hidden="1" x14ac:dyDescent="0.2">
      <c r="A58" s="290">
        <f>SUM(A55:A57)</f>
        <v>672.05</v>
      </c>
      <c r="B58" s="340"/>
      <c r="C58" s="282"/>
      <c r="D58" s="288">
        <f>SUM(D55:D57)</f>
        <v>1741.0619999999999</v>
      </c>
      <c r="E58" s="282"/>
      <c r="F58" s="233"/>
      <c r="G58" s="233"/>
      <c r="H58" s="233"/>
      <c r="I58" s="233"/>
      <c r="J58" s="289">
        <f>SUM(J55:J57)</f>
        <v>2757.0370000000003</v>
      </c>
      <c r="K58" s="264"/>
      <c r="L58" s="280" t="s">
        <v>54</v>
      </c>
      <c r="M58" s="284"/>
    </row>
    <row r="59" spans="1:13" s="285" customFormat="1" ht="11.25" hidden="1" x14ac:dyDescent="0.2">
      <c r="A59" s="290">
        <v>191.59200000000001</v>
      </c>
      <c r="B59" s="340"/>
      <c r="C59" s="282"/>
      <c r="D59" s="288">
        <v>495.29700000000003</v>
      </c>
      <c r="E59" s="282"/>
      <c r="F59" s="233"/>
      <c r="G59" s="233"/>
      <c r="H59" s="233"/>
      <c r="I59" s="233"/>
      <c r="J59" s="289">
        <v>934.72799999999995</v>
      </c>
      <c r="K59" s="264"/>
      <c r="L59" s="280" t="s">
        <v>85</v>
      </c>
      <c r="M59" s="284"/>
    </row>
    <row r="60" spans="1:13" s="285" customFormat="1" ht="11.25" hidden="1" x14ac:dyDescent="0.2">
      <c r="A60" s="290">
        <v>240.82900000000001</v>
      </c>
      <c r="B60" s="340"/>
      <c r="C60" s="282"/>
      <c r="D60" s="288">
        <v>495.72899999999998</v>
      </c>
      <c r="E60" s="282"/>
      <c r="F60" s="233"/>
      <c r="G60" s="233"/>
      <c r="H60" s="233"/>
      <c r="I60" s="233"/>
      <c r="J60" s="289">
        <v>719.01400000000001</v>
      </c>
      <c r="K60" s="264"/>
      <c r="L60" s="280" t="s">
        <v>86</v>
      </c>
      <c r="M60" s="284"/>
    </row>
    <row r="61" spans="1:13" s="285" customFormat="1" ht="11.25" hidden="1" x14ac:dyDescent="0.2">
      <c r="A61" s="290">
        <v>203.18</v>
      </c>
      <c r="B61" s="340"/>
      <c r="C61" s="282"/>
      <c r="D61" s="288">
        <v>332.56599999999997</v>
      </c>
      <c r="E61" s="282"/>
      <c r="F61" s="233"/>
      <c r="G61" s="233"/>
      <c r="H61" s="233"/>
      <c r="I61" s="233"/>
      <c r="J61" s="289">
        <v>538.81299999999999</v>
      </c>
      <c r="K61" s="264"/>
      <c r="L61" s="280" t="s">
        <v>87</v>
      </c>
      <c r="M61" s="284"/>
    </row>
    <row r="62" spans="1:13" s="285" customFormat="1" ht="11.25" hidden="1" x14ac:dyDescent="0.2">
      <c r="A62" s="290">
        <f>SUM(A59:A61)</f>
        <v>635.60100000000011</v>
      </c>
      <c r="B62" s="340"/>
      <c r="C62" s="282"/>
      <c r="D62" s="288">
        <f>SUM(D59:D61)</f>
        <v>1323.5920000000001</v>
      </c>
      <c r="E62" s="282"/>
      <c r="F62" s="233"/>
      <c r="G62" s="233"/>
      <c r="H62" s="233"/>
      <c r="I62" s="233"/>
      <c r="J62" s="289">
        <f>SUM(J59:J61)</f>
        <v>2192.5549999999998</v>
      </c>
      <c r="K62" s="264"/>
      <c r="L62" s="280" t="s">
        <v>55</v>
      </c>
      <c r="M62" s="284"/>
    </row>
    <row r="63" spans="1:13" s="285" customFormat="1" ht="11.25" hidden="1" x14ac:dyDescent="0.2">
      <c r="A63" s="290">
        <v>161.376</v>
      </c>
      <c r="B63" s="340"/>
      <c r="C63" s="282"/>
      <c r="D63" s="288">
        <v>369.488</v>
      </c>
      <c r="E63" s="282"/>
      <c r="F63" s="233"/>
      <c r="G63" s="233"/>
      <c r="H63" s="233"/>
      <c r="I63" s="233"/>
      <c r="J63" s="289">
        <v>731.37699999999995</v>
      </c>
      <c r="K63" s="264"/>
      <c r="L63" s="280" t="s">
        <v>89</v>
      </c>
      <c r="M63" s="284"/>
    </row>
    <row r="64" spans="1:13" s="285" customFormat="1" ht="11.25" hidden="1" x14ac:dyDescent="0.2">
      <c r="A64" s="290">
        <v>138.233</v>
      </c>
      <c r="B64" s="340"/>
      <c r="C64" s="282"/>
      <c r="D64" s="288">
        <v>310.01499999999999</v>
      </c>
      <c r="E64" s="282"/>
      <c r="F64" s="233"/>
      <c r="G64" s="233"/>
      <c r="H64" s="233"/>
      <c r="I64" s="233"/>
      <c r="J64" s="289">
        <v>781.46799999999996</v>
      </c>
      <c r="K64" s="264"/>
      <c r="L64" s="280" t="s">
        <v>90</v>
      </c>
      <c r="M64" s="284"/>
    </row>
    <row r="65" spans="1:13" s="285" customFormat="1" ht="11.25" hidden="1" x14ac:dyDescent="0.2">
      <c r="A65" s="290">
        <v>81.085999999999999</v>
      </c>
      <c r="B65" s="340"/>
      <c r="C65" s="282"/>
      <c r="D65" s="288">
        <v>250.185</v>
      </c>
      <c r="E65" s="282"/>
      <c r="F65" s="233"/>
      <c r="G65" s="233"/>
      <c r="H65" s="233"/>
      <c r="I65" s="233"/>
      <c r="J65" s="289">
        <v>855.41</v>
      </c>
      <c r="K65" s="264"/>
      <c r="L65" s="280" t="s">
        <v>91</v>
      </c>
      <c r="M65" s="284"/>
    </row>
    <row r="66" spans="1:13" s="285" customFormat="1" ht="11.25" hidden="1" x14ac:dyDescent="0.2">
      <c r="A66" s="290">
        <f>SUM(A63:A65)</f>
        <v>380.69500000000005</v>
      </c>
      <c r="B66" s="340"/>
      <c r="C66" s="282"/>
      <c r="D66" s="288">
        <f>SUM(D63:D65)</f>
        <v>929.68799999999987</v>
      </c>
      <c r="E66" s="282"/>
      <c r="F66" s="233"/>
      <c r="G66" s="233"/>
      <c r="H66" s="233"/>
      <c r="I66" s="233"/>
      <c r="J66" s="289">
        <f>SUM(J63:J65)</f>
        <v>2368.2549999999997</v>
      </c>
      <c r="K66" s="264"/>
      <c r="L66" s="280" t="s">
        <v>56</v>
      </c>
      <c r="M66" s="284"/>
    </row>
    <row r="67" spans="1:13" s="285" customFormat="1" ht="11.25" hidden="1" x14ac:dyDescent="0.2">
      <c r="A67" s="290"/>
      <c r="B67" s="340"/>
      <c r="C67" s="282"/>
      <c r="D67" s="288"/>
      <c r="E67" s="282"/>
      <c r="F67" s="233"/>
      <c r="G67" s="233"/>
      <c r="H67" s="233"/>
      <c r="I67" s="233"/>
      <c r="J67" s="289"/>
      <c r="K67" s="264"/>
      <c r="L67" s="280"/>
      <c r="M67" s="284"/>
    </row>
    <row r="68" spans="1:13" s="285" customFormat="1" ht="11.25" hidden="1" x14ac:dyDescent="0.2">
      <c r="A68" s="290">
        <f>9.226+58.827</f>
        <v>68.052999999999997</v>
      </c>
      <c r="B68" s="340"/>
      <c r="C68" s="282"/>
      <c r="D68" s="288">
        <v>245.00800000000001</v>
      </c>
      <c r="E68" s="282">
        <v>0</v>
      </c>
      <c r="F68" s="233"/>
      <c r="G68" s="233"/>
      <c r="H68" s="233"/>
      <c r="I68" s="233"/>
      <c r="J68" s="289">
        <v>706.24800000000005</v>
      </c>
      <c r="K68" s="264"/>
      <c r="L68" s="280" t="s">
        <v>78</v>
      </c>
      <c r="M68" s="284"/>
    </row>
    <row r="69" spans="1:13" s="285" customFormat="1" ht="11.25" hidden="1" x14ac:dyDescent="0.2">
      <c r="A69" s="291">
        <f>4.905+26.25</f>
        <v>31.155000000000001</v>
      </c>
      <c r="B69" s="341"/>
      <c r="C69" s="282"/>
      <c r="D69" s="288">
        <v>263.63299999999998</v>
      </c>
      <c r="E69" s="282">
        <v>0</v>
      </c>
      <c r="F69" s="233"/>
      <c r="G69" s="233"/>
      <c r="H69" s="233"/>
      <c r="I69" s="233"/>
      <c r="J69" s="289">
        <v>637.23400000000004</v>
      </c>
      <c r="K69" s="264"/>
      <c r="L69" s="280" t="s">
        <v>79</v>
      </c>
      <c r="M69" s="284"/>
    </row>
    <row r="70" spans="1:13" s="285" customFormat="1" ht="11.25" hidden="1" x14ac:dyDescent="0.2">
      <c r="A70" s="290">
        <f>7.624+140.6</f>
        <v>148.22399999999999</v>
      </c>
      <c r="B70" s="340"/>
      <c r="C70" s="282"/>
      <c r="D70" s="288">
        <v>472.13299999999998</v>
      </c>
      <c r="E70" s="282">
        <v>0</v>
      </c>
      <c r="F70" s="233"/>
      <c r="G70" s="233"/>
      <c r="H70" s="233"/>
      <c r="I70" s="233"/>
      <c r="J70" s="289">
        <v>837.05200000000002</v>
      </c>
      <c r="K70" s="264"/>
      <c r="L70" s="280" t="s">
        <v>80</v>
      </c>
      <c r="M70" s="284"/>
    </row>
    <row r="71" spans="1:13" s="285" customFormat="1" ht="11.25" hidden="1" x14ac:dyDescent="0.2">
      <c r="A71" s="292">
        <f>SUM(A68:A70)</f>
        <v>247.43199999999999</v>
      </c>
      <c r="B71" s="342"/>
      <c r="C71" s="282"/>
      <c r="D71" s="293">
        <f>SUM(D68:D70)</f>
        <v>980.77399999999989</v>
      </c>
      <c r="E71" s="294">
        <f>SUM(E68:E70)</f>
        <v>0</v>
      </c>
      <c r="F71" s="233"/>
      <c r="G71" s="233"/>
      <c r="H71" s="233"/>
      <c r="I71" s="233"/>
      <c r="J71" s="295">
        <f>SUM(J68:J70)</f>
        <v>2180.5340000000001</v>
      </c>
      <c r="K71" s="264"/>
      <c r="L71" s="280" t="s">
        <v>53</v>
      </c>
      <c r="M71" s="284">
        <v>2009</v>
      </c>
    </row>
    <row r="72" spans="1:13" s="285" customFormat="1" ht="11.25" hidden="1" x14ac:dyDescent="0.2">
      <c r="A72" s="290">
        <f>5.767+104.48</f>
        <v>110.247</v>
      </c>
      <c r="B72" s="340"/>
      <c r="C72" s="282"/>
      <c r="D72" s="288">
        <v>382.71300000000002</v>
      </c>
      <c r="E72" s="296">
        <v>19.501999999999999</v>
      </c>
      <c r="F72" s="233"/>
      <c r="G72" s="233"/>
      <c r="H72" s="233"/>
      <c r="I72" s="233"/>
      <c r="J72" s="289">
        <v>780.56200000000001</v>
      </c>
      <c r="K72" s="264"/>
      <c r="L72" s="280" t="s">
        <v>68</v>
      </c>
      <c r="M72" s="284"/>
    </row>
    <row r="73" spans="1:13" s="285" customFormat="1" ht="11.25" hidden="1" x14ac:dyDescent="0.2">
      <c r="A73" s="290">
        <f>107</f>
        <v>107</v>
      </c>
      <c r="B73" s="340"/>
      <c r="C73" s="282"/>
      <c r="D73" s="288">
        <v>464.73399999999998</v>
      </c>
      <c r="E73" s="296">
        <v>0</v>
      </c>
      <c r="F73" s="233"/>
      <c r="G73" s="233"/>
      <c r="H73" s="233"/>
      <c r="I73" s="233"/>
      <c r="J73" s="289">
        <v>846.88699999999994</v>
      </c>
      <c r="K73" s="264"/>
      <c r="L73" s="280" t="s">
        <v>82</v>
      </c>
      <c r="M73" s="284"/>
    </row>
    <row r="74" spans="1:13" s="285" customFormat="1" ht="11.25" hidden="1" x14ac:dyDescent="0.2">
      <c r="A74" s="290">
        <f>0.271+95.5</f>
        <v>95.771000000000001</v>
      </c>
      <c r="B74" s="340"/>
      <c r="C74" s="282"/>
      <c r="D74" s="288">
        <v>402.20100000000002</v>
      </c>
      <c r="E74" s="296">
        <v>0</v>
      </c>
      <c r="F74" s="233"/>
      <c r="G74" s="233"/>
      <c r="H74" s="233"/>
      <c r="I74" s="233"/>
      <c r="J74" s="289">
        <v>675.85199999999998</v>
      </c>
      <c r="K74" s="264"/>
      <c r="L74" s="280" t="s">
        <v>83</v>
      </c>
      <c r="M74" s="284"/>
    </row>
    <row r="75" spans="1:13" s="285" customFormat="1" ht="11.25" hidden="1" x14ac:dyDescent="0.2">
      <c r="A75" s="292">
        <f>SUM(A72:A74)</f>
        <v>313.01800000000003</v>
      </c>
      <c r="B75" s="342"/>
      <c r="C75" s="282"/>
      <c r="D75" s="293">
        <f>SUM(D72:D74)</f>
        <v>1249.6480000000001</v>
      </c>
      <c r="E75" s="294">
        <v>19.501999999999999</v>
      </c>
      <c r="F75" s="233"/>
      <c r="G75" s="233"/>
      <c r="H75" s="233"/>
      <c r="I75" s="233"/>
      <c r="J75" s="295">
        <f>SUM(J72:J74)</f>
        <v>2303.3009999999999</v>
      </c>
      <c r="K75" s="264"/>
      <c r="L75" s="280" t="s">
        <v>54</v>
      </c>
      <c r="M75" s="284"/>
    </row>
    <row r="76" spans="1:13" s="285" customFormat="1" ht="11.25" hidden="1" x14ac:dyDescent="0.2">
      <c r="A76" s="290">
        <f>0.434+22.69</f>
        <v>23.124000000000002</v>
      </c>
      <c r="B76" s="340"/>
      <c r="C76" s="282"/>
      <c r="D76" s="288">
        <v>489.30700000000002</v>
      </c>
      <c r="E76" s="296">
        <v>0</v>
      </c>
      <c r="F76" s="233"/>
      <c r="G76" s="233"/>
      <c r="H76" s="233"/>
      <c r="I76" s="233"/>
      <c r="J76" s="289">
        <v>689.84900000000005</v>
      </c>
      <c r="K76" s="264"/>
      <c r="L76" s="280" t="s">
        <v>85</v>
      </c>
      <c r="M76" s="284"/>
    </row>
    <row r="77" spans="1:13" s="285" customFormat="1" ht="11.25" hidden="1" x14ac:dyDescent="0.2">
      <c r="A77" s="290">
        <f>0.058+228.499</f>
        <v>228.55699999999999</v>
      </c>
      <c r="B77" s="340"/>
      <c r="C77" s="282"/>
      <c r="D77" s="288">
        <v>471.54199999999997</v>
      </c>
      <c r="E77" s="296">
        <v>0</v>
      </c>
      <c r="F77" s="233"/>
      <c r="G77" s="233"/>
      <c r="H77" s="233"/>
      <c r="I77" s="233"/>
      <c r="J77" s="289">
        <v>774.83699999999999</v>
      </c>
      <c r="K77" s="264"/>
      <c r="L77" s="280" t="s">
        <v>86</v>
      </c>
      <c r="M77" s="284"/>
    </row>
    <row r="78" spans="1:13" s="285" customFormat="1" ht="11.25" hidden="1" x14ac:dyDescent="0.2">
      <c r="A78" s="290">
        <f>0.223+191.529</f>
        <v>191.75200000000001</v>
      </c>
      <c r="B78" s="340"/>
      <c r="C78" s="282"/>
      <c r="D78" s="288">
        <v>409.125</v>
      </c>
      <c r="E78" s="296">
        <v>0</v>
      </c>
      <c r="F78" s="233"/>
      <c r="G78" s="233"/>
      <c r="H78" s="233"/>
      <c r="I78" s="233"/>
      <c r="J78" s="289">
        <v>608.23</v>
      </c>
      <c r="K78" s="264"/>
      <c r="L78" s="280" t="s">
        <v>87</v>
      </c>
      <c r="M78" s="284"/>
    </row>
    <row r="79" spans="1:13" s="285" customFormat="1" ht="11.25" hidden="1" x14ac:dyDescent="0.2">
      <c r="A79" s="292">
        <f>SUM(A76:A78)</f>
        <v>443.43299999999999</v>
      </c>
      <c r="B79" s="342"/>
      <c r="C79" s="282"/>
      <c r="D79" s="293">
        <f>SUM(D76:D78)</f>
        <v>1369.9739999999999</v>
      </c>
      <c r="E79" s="294">
        <f>SUM(E76:E78)</f>
        <v>0</v>
      </c>
      <c r="F79" s="233"/>
      <c r="G79" s="233"/>
      <c r="H79" s="233"/>
      <c r="I79" s="233"/>
      <c r="J79" s="295">
        <f>SUM(J76:J78)</f>
        <v>2072.9160000000002</v>
      </c>
      <c r="K79" s="264"/>
      <c r="L79" s="280" t="s">
        <v>55</v>
      </c>
      <c r="M79" s="284"/>
    </row>
    <row r="80" spans="1:13" s="285" customFormat="1" ht="11.25" hidden="1" x14ac:dyDescent="0.2">
      <c r="A80" s="290">
        <f>1.31+185.417</f>
        <v>186.727</v>
      </c>
      <c r="B80" s="340"/>
      <c r="C80" s="282"/>
      <c r="D80" s="288">
        <v>403.89800000000002</v>
      </c>
      <c r="E80" s="296">
        <v>0</v>
      </c>
      <c r="F80" s="233"/>
      <c r="G80" s="233"/>
      <c r="H80" s="233"/>
      <c r="I80" s="233"/>
      <c r="J80" s="289">
        <v>831.96900000000005</v>
      </c>
      <c r="K80" s="264"/>
      <c r="L80" s="280" t="s">
        <v>89</v>
      </c>
      <c r="M80" s="284"/>
    </row>
    <row r="81" spans="1:13" s="285" customFormat="1" ht="11.25" hidden="1" x14ac:dyDescent="0.2">
      <c r="A81" s="290">
        <v>224.9</v>
      </c>
      <c r="B81" s="340"/>
      <c r="C81" s="282"/>
      <c r="D81" s="288">
        <v>406.541</v>
      </c>
      <c r="E81" s="296">
        <v>0</v>
      </c>
      <c r="F81" s="233"/>
      <c r="G81" s="233"/>
      <c r="H81" s="233"/>
      <c r="I81" s="233"/>
      <c r="J81" s="289">
        <v>688.77300000000002</v>
      </c>
      <c r="K81" s="264"/>
      <c r="L81" s="280" t="s">
        <v>90</v>
      </c>
      <c r="M81" s="284"/>
    </row>
    <row r="82" spans="1:13" s="285" customFormat="1" ht="11.25" hidden="1" x14ac:dyDescent="0.2">
      <c r="A82" s="290">
        <v>170.14099999999999</v>
      </c>
      <c r="B82" s="340"/>
      <c r="C82" s="282"/>
      <c r="D82" s="288">
        <v>507.17899999999997</v>
      </c>
      <c r="E82" s="296">
        <v>0</v>
      </c>
      <c r="F82" s="233"/>
      <c r="G82" s="233"/>
      <c r="H82" s="233"/>
      <c r="I82" s="233"/>
      <c r="J82" s="289">
        <v>798.09500000000003</v>
      </c>
      <c r="K82" s="264"/>
      <c r="L82" s="280" t="s">
        <v>91</v>
      </c>
      <c r="M82" s="284"/>
    </row>
    <row r="83" spans="1:13" s="285" customFormat="1" ht="11.25" hidden="1" x14ac:dyDescent="0.2">
      <c r="A83" s="292">
        <f>SUM(A80:A82)</f>
        <v>581.76800000000003</v>
      </c>
      <c r="B83" s="342"/>
      <c r="C83" s="282"/>
      <c r="D83" s="293">
        <f>SUM(D80:D82)</f>
        <v>1317.6179999999999</v>
      </c>
      <c r="E83" s="294">
        <f>SUM(E80:E82)</f>
        <v>0</v>
      </c>
      <c r="F83" s="233"/>
      <c r="G83" s="233"/>
      <c r="H83" s="233"/>
      <c r="I83" s="233"/>
      <c r="J83" s="295">
        <f>SUM(J80:J82)</f>
        <v>2318.8370000000004</v>
      </c>
      <c r="K83" s="264"/>
      <c r="L83" s="280" t="s">
        <v>56</v>
      </c>
      <c r="M83" s="284"/>
    </row>
    <row r="84" spans="1:13" s="285" customFormat="1" ht="11.25" hidden="1" x14ac:dyDescent="0.2">
      <c r="A84" s="290"/>
      <c r="B84" s="340"/>
      <c r="C84" s="282"/>
      <c r="D84" s="288"/>
      <c r="E84" s="296"/>
      <c r="F84" s="233"/>
      <c r="G84" s="233"/>
      <c r="H84" s="233"/>
      <c r="I84" s="233"/>
      <c r="J84" s="289"/>
      <c r="K84" s="264"/>
      <c r="L84" s="280"/>
      <c r="M84" s="284"/>
    </row>
    <row r="85" spans="1:13" s="285" customFormat="1" ht="11.25" hidden="1" x14ac:dyDescent="0.2">
      <c r="A85" s="290">
        <v>179.43600000000001</v>
      </c>
      <c r="B85" s="340"/>
      <c r="C85" s="282"/>
      <c r="D85" s="288">
        <v>563.89</v>
      </c>
      <c r="E85" s="296">
        <v>0</v>
      </c>
      <c r="F85" s="233"/>
      <c r="G85" s="233"/>
      <c r="H85" s="233"/>
      <c r="I85" s="233"/>
      <c r="J85" s="289">
        <v>706.601</v>
      </c>
      <c r="K85" s="264"/>
      <c r="L85" s="280" t="s">
        <v>78</v>
      </c>
      <c r="M85" s="284">
        <v>2010</v>
      </c>
    </row>
    <row r="86" spans="1:13" s="285" customFormat="1" ht="11.25" hidden="1" x14ac:dyDescent="0.2">
      <c r="A86" s="290">
        <v>156.55199999999999</v>
      </c>
      <c r="B86" s="340"/>
      <c r="C86" s="282"/>
      <c r="D86" s="288">
        <v>644.15599999999995</v>
      </c>
      <c r="E86" s="296">
        <v>0</v>
      </c>
      <c r="F86" s="233"/>
      <c r="G86" s="233"/>
      <c r="H86" s="233"/>
      <c r="I86" s="233"/>
      <c r="J86" s="289">
        <v>728.471</v>
      </c>
      <c r="K86" s="264"/>
      <c r="L86" s="280" t="s">
        <v>79</v>
      </c>
      <c r="M86" s="284"/>
    </row>
    <row r="87" spans="1:13" s="285" customFormat="1" ht="11.25" hidden="1" x14ac:dyDescent="0.2">
      <c r="A87" s="290">
        <v>232.24600000000001</v>
      </c>
      <c r="B87" s="340"/>
      <c r="C87" s="282"/>
      <c r="D87" s="288">
        <v>726.47299999999996</v>
      </c>
      <c r="E87" s="296">
        <v>0</v>
      </c>
      <c r="F87" s="233"/>
      <c r="G87" s="233"/>
      <c r="H87" s="233"/>
      <c r="I87" s="233"/>
      <c r="J87" s="289">
        <v>924.84900000000005</v>
      </c>
      <c r="K87" s="264"/>
      <c r="L87" s="280" t="s">
        <v>80</v>
      </c>
      <c r="M87" s="284"/>
    </row>
    <row r="88" spans="1:13" s="285" customFormat="1" ht="11.25" hidden="1" x14ac:dyDescent="0.2">
      <c r="A88" s="297">
        <f>SUM(A85:A87)</f>
        <v>568.23400000000004</v>
      </c>
      <c r="B88" s="343"/>
      <c r="C88" s="282"/>
      <c r="D88" s="298">
        <f>SUM(D85:D87)</f>
        <v>1934.5189999999998</v>
      </c>
      <c r="E88" s="299">
        <f>SUM(E85:E87)</f>
        <v>0</v>
      </c>
      <c r="F88" s="233"/>
      <c r="G88" s="233"/>
      <c r="H88" s="233"/>
      <c r="I88" s="233"/>
      <c r="J88" s="265">
        <f>SUM(J85:J87)</f>
        <v>2359.9210000000003</v>
      </c>
      <c r="K88" s="264"/>
      <c r="L88" s="280" t="s">
        <v>53</v>
      </c>
      <c r="M88" s="284">
        <v>2010</v>
      </c>
    </row>
    <row r="89" spans="1:13" s="285" customFormat="1" ht="11.25" hidden="1" x14ac:dyDescent="0.2">
      <c r="A89" s="297">
        <v>149.089</v>
      </c>
      <c r="B89" s="343"/>
      <c r="C89" s="282"/>
      <c r="D89" s="298">
        <v>651.43399999999997</v>
      </c>
      <c r="E89" s="299">
        <v>0</v>
      </c>
      <c r="F89" s="233"/>
      <c r="G89" s="233"/>
      <c r="H89" s="233"/>
      <c r="I89" s="233"/>
      <c r="J89" s="265">
        <v>956.08</v>
      </c>
      <c r="K89" s="264"/>
      <c r="L89" s="280" t="s">
        <v>68</v>
      </c>
      <c r="M89" s="284"/>
    </row>
    <row r="90" spans="1:13" s="285" customFormat="1" ht="11.25" hidden="1" x14ac:dyDescent="0.2">
      <c r="A90" s="297">
        <v>254.423</v>
      </c>
      <c r="B90" s="343"/>
      <c r="C90" s="282"/>
      <c r="D90" s="298">
        <v>723.33199999999999</v>
      </c>
      <c r="E90" s="299">
        <v>0</v>
      </c>
      <c r="F90" s="233"/>
      <c r="G90" s="233"/>
      <c r="H90" s="233"/>
      <c r="I90" s="233"/>
      <c r="J90" s="265">
        <v>911.48900000000003</v>
      </c>
      <c r="K90" s="264"/>
      <c r="L90" s="280" t="s">
        <v>82</v>
      </c>
      <c r="M90" s="284"/>
    </row>
    <row r="91" spans="1:13" s="285" customFormat="1" ht="11.25" hidden="1" x14ac:dyDescent="0.2">
      <c r="A91" s="297">
        <v>215.16800000000001</v>
      </c>
      <c r="B91" s="343"/>
      <c r="C91" s="282"/>
      <c r="D91" s="298">
        <v>588.33100000000002</v>
      </c>
      <c r="E91" s="299">
        <v>0</v>
      </c>
      <c r="F91" s="233"/>
      <c r="G91" s="233"/>
      <c r="H91" s="233"/>
      <c r="I91" s="233"/>
      <c r="J91" s="265">
        <v>977.34500000000003</v>
      </c>
      <c r="K91" s="264"/>
      <c r="L91" s="280" t="s">
        <v>83</v>
      </c>
      <c r="M91" s="284"/>
    </row>
    <row r="92" spans="1:13" s="285" customFormat="1" ht="11.25" hidden="1" x14ac:dyDescent="0.2">
      <c r="A92" s="297">
        <f>SUM(A89:A91)</f>
        <v>618.68000000000006</v>
      </c>
      <c r="B92" s="343"/>
      <c r="C92" s="282"/>
      <c r="D92" s="298">
        <f>SUM(D89:D91)</f>
        <v>1963.0970000000002</v>
      </c>
      <c r="E92" s="299">
        <f>SUM(E89:E91)</f>
        <v>0</v>
      </c>
      <c r="F92" s="233"/>
      <c r="G92" s="233"/>
      <c r="H92" s="233"/>
      <c r="I92" s="233"/>
      <c r="J92" s="265">
        <f>SUM(J89:J91)</f>
        <v>2844.9139999999998</v>
      </c>
      <c r="K92" s="264"/>
      <c r="L92" s="280" t="s">
        <v>54</v>
      </c>
      <c r="M92" s="284"/>
    </row>
    <row r="93" spans="1:13" s="285" customFormat="1" ht="11.25" hidden="1" x14ac:dyDescent="0.2">
      <c r="A93" s="297">
        <v>114.03</v>
      </c>
      <c r="B93" s="343"/>
      <c r="C93" s="282"/>
      <c r="D93" s="298">
        <v>520.12800000000004</v>
      </c>
      <c r="E93" s="299">
        <v>0</v>
      </c>
      <c r="F93" s="233"/>
      <c r="G93" s="233"/>
      <c r="H93" s="233"/>
      <c r="I93" s="233"/>
      <c r="J93" s="265">
        <v>915.81</v>
      </c>
      <c r="K93" s="264"/>
      <c r="L93" s="280" t="s">
        <v>85</v>
      </c>
      <c r="M93" s="284"/>
    </row>
    <row r="94" spans="1:13" s="285" customFormat="1" ht="11.25" hidden="1" x14ac:dyDescent="0.2">
      <c r="A94" s="297">
        <v>233.82900000000001</v>
      </c>
      <c r="B94" s="343"/>
      <c r="C94" s="282"/>
      <c r="D94" s="298">
        <v>549.07399999999996</v>
      </c>
      <c r="E94" s="299">
        <v>0</v>
      </c>
      <c r="F94" s="233"/>
      <c r="G94" s="233"/>
      <c r="H94" s="233"/>
      <c r="I94" s="233"/>
      <c r="J94" s="265">
        <v>870.19500000000005</v>
      </c>
      <c r="K94" s="264"/>
      <c r="L94" s="280" t="s">
        <v>86</v>
      </c>
      <c r="M94" s="284"/>
    </row>
    <row r="95" spans="1:13" s="285" customFormat="1" ht="11.25" hidden="1" x14ac:dyDescent="0.2">
      <c r="A95" s="297">
        <v>195.767</v>
      </c>
      <c r="B95" s="343"/>
      <c r="C95" s="282"/>
      <c r="D95" s="298">
        <v>475.85300000000001</v>
      </c>
      <c r="E95" s="299">
        <v>0</v>
      </c>
      <c r="F95" s="233"/>
      <c r="G95" s="233"/>
      <c r="H95" s="233"/>
      <c r="I95" s="233"/>
      <c r="J95" s="265">
        <v>763.34400000000005</v>
      </c>
      <c r="K95" s="264"/>
      <c r="L95" s="280" t="s">
        <v>87</v>
      </c>
      <c r="M95" s="284"/>
    </row>
    <row r="96" spans="1:13" s="285" customFormat="1" ht="11.25" hidden="1" x14ac:dyDescent="0.2">
      <c r="A96" s="297">
        <f>SUM(A93:A95)</f>
        <v>543.62599999999998</v>
      </c>
      <c r="B96" s="343"/>
      <c r="C96" s="282"/>
      <c r="D96" s="298">
        <f>SUM(D93:D95)</f>
        <v>1545.0550000000001</v>
      </c>
      <c r="E96" s="299">
        <f>SUM(E93:E95)</f>
        <v>0</v>
      </c>
      <c r="F96" s="233"/>
      <c r="G96" s="233"/>
      <c r="H96" s="233"/>
      <c r="I96" s="233"/>
      <c r="J96" s="265">
        <f>SUM(J93:J95)</f>
        <v>2549.3490000000002</v>
      </c>
      <c r="K96" s="264"/>
      <c r="L96" s="280" t="s">
        <v>55</v>
      </c>
      <c r="M96" s="284"/>
    </row>
    <row r="97" spans="1:13" s="285" customFormat="1" ht="11.25" hidden="1" x14ac:dyDescent="0.2">
      <c r="A97" s="297">
        <v>221.95599999999999</v>
      </c>
      <c r="B97" s="343"/>
      <c r="C97" s="282"/>
      <c r="D97" s="298">
        <v>584.94500000000005</v>
      </c>
      <c r="E97" s="299">
        <v>0</v>
      </c>
      <c r="F97" s="233"/>
      <c r="G97" s="233"/>
      <c r="H97" s="233"/>
      <c r="I97" s="233"/>
      <c r="J97" s="265">
        <v>693.6377</v>
      </c>
      <c r="K97" s="264"/>
      <c r="L97" s="280" t="s">
        <v>89</v>
      </c>
      <c r="M97" s="284"/>
    </row>
    <row r="98" spans="1:13" s="285" customFormat="1" ht="11.25" hidden="1" x14ac:dyDescent="0.2">
      <c r="A98" s="297">
        <v>212.43299999999999</v>
      </c>
      <c r="B98" s="343"/>
      <c r="C98" s="282"/>
      <c r="D98" s="298">
        <v>663.15099999999995</v>
      </c>
      <c r="E98" s="299">
        <v>0</v>
      </c>
      <c r="F98" s="233"/>
      <c r="G98" s="233"/>
      <c r="H98" s="233"/>
      <c r="I98" s="233"/>
      <c r="J98" s="265">
        <v>657.33590000000004</v>
      </c>
      <c r="K98" s="264"/>
      <c r="L98" s="280" t="s">
        <v>90</v>
      </c>
      <c r="M98" s="284"/>
    </row>
    <row r="99" spans="1:13" s="285" customFormat="1" ht="11.25" hidden="1" x14ac:dyDescent="0.2">
      <c r="A99" s="297">
        <v>89.808000000000007</v>
      </c>
      <c r="B99" s="343"/>
      <c r="C99" s="282"/>
      <c r="D99" s="298">
        <v>617.09400000000005</v>
      </c>
      <c r="E99" s="299">
        <v>9.2370000000000001</v>
      </c>
      <c r="F99" s="233"/>
      <c r="G99" s="233"/>
      <c r="H99" s="233"/>
      <c r="I99" s="233"/>
      <c r="J99" s="265">
        <v>592.28930000000003</v>
      </c>
      <c r="K99" s="264"/>
      <c r="L99" s="280" t="s">
        <v>91</v>
      </c>
      <c r="M99" s="284"/>
    </row>
    <row r="100" spans="1:13" s="285" customFormat="1" ht="11.25" hidden="1" x14ac:dyDescent="0.2">
      <c r="A100" s="297">
        <f>SUM(A97:A99)</f>
        <v>524.197</v>
      </c>
      <c r="B100" s="343"/>
      <c r="C100" s="282"/>
      <c r="D100" s="298">
        <f>SUM(D97:D99)</f>
        <v>1865.19</v>
      </c>
      <c r="E100" s="299">
        <f>SUM(E97:E99)</f>
        <v>9.2370000000000001</v>
      </c>
      <c r="F100" s="233"/>
      <c r="G100" s="233"/>
      <c r="H100" s="233"/>
      <c r="I100" s="233"/>
      <c r="J100" s="265">
        <f>SUM(J97:J99)</f>
        <v>1943.2629000000002</v>
      </c>
      <c r="K100" s="264"/>
      <c r="L100" s="280" t="s">
        <v>56</v>
      </c>
      <c r="M100" s="284"/>
    </row>
    <row r="101" spans="1:13" s="285" customFormat="1" ht="11.25" hidden="1" x14ac:dyDescent="0.2">
      <c r="A101" s="297"/>
      <c r="B101" s="343"/>
      <c r="C101" s="282"/>
      <c r="D101" s="298"/>
      <c r="E101" s="299"/>
      <c r="F101" s="233"/>
      <c r="G101" s="233"/>
      <c r="H101" s="233"/>
      <c r="I101" s="233"/>
      <c r="J101" s="265"/>
      <c r="K101" s="264"/>
      <c r="L101" s="280"/>
      <c r="M101" s="284"/>
    </row>
    <row r="102" spans="1:13" s="285" customFormat="1" ht="11.25" hidden="1" x14ac:dyDescent="0.2">
      <c r="A102" s="297">
        <v>106.277</v>
      </c>
      <c r="B102" s="343"/>
      <c r="C102" s="282"/>
      <c r="D102" s="298">
        <v>515.70659999999998</v>
      </c>
      <c r="E102" s="299">
        <v>0</v>
      </c>
      <c r="F102" s="233"/>
      <c r="G102" s="233"/>
      <c r="H102" s="233"/>
      <c r="I102" s="233"/>
      <c r="J102" s="265">
        <v>622.36590000000001</v>
      </c>
      <c r="K102" s="264"/>
      <c r="L102" s="280" t="s">
        <v>78</v>
      </c>
      <c r="M102" s="284">
        <v>2011</v>
      </c>
    </row>
    <row r="103" spans="1:13" s="285" customFormat="1" ht="11.25" hidden="1" x14ac:dyDescent="0.2">
      <c r="A103" s="297">
        <v>91.182000000000002</v>
      </c>
      <c r="B103" s="343"/>
      <c r="C103" s="282"/>
      <c r="D103" s="298">
        <v>520.15940000000001</v>
      </c>
      <c r="E103" s="299">
        <v>1.3220000000000001</v>
      </c>
      <c r="F103" s="233"/>
      <c r="G103" s="233"/>
      <c r="H103" s="233"/>
      <c r="I103" s="233"/>
      <c r="J103" s="265">
        <v>766.84450000000004</v>
      </c>
      <c r="K103" s="264"/>
      <c r="L103" s="280" t="s">
        <v>79</v>
      </c>
      <c r="M103" s="284"/>
    </row>
    <row r="104" spans="1:13" s="285" customFormat="1" ht="11.25" hidden="1" x14ac:dyDescent="0.2">
      <c r="A104" s="297">
        <v>215.322</v>
      </c>
      <c r="B104" s="343"/>
      <c r="C104" s="282"/>
      <c r="D104" s="298">
        <v>916.23299999999995</v>
      </c>
      <c r="E104" s="299">
        <v>2.5999999999999999E-2</v>
      </c>
      <c r="F104" s="233"/>
      <c r="G104" s="233"/>
      <c r="H104" s="233"/>
      <c r="I104" s="233"/>
      <c r="J104" s="265">
        <v>966.04129999999998</v>
      </c>
      <c r="K104" s="264"/>
      <c r="L104" s="280" t="s">
        <v>80</v>
      </c>
      <c r="M104" s="284"/>
    </row>
    <row r="105" spans="1:13" s="285" customFormat="1" ht="11.25" hidden="1" x14ac:dyDescent="0.2">
      <c r="A105" s="297">
        <f>SUM(A102:A104)</f>
        <v>412.78100000000001</v>
      </c>
      <c r="B105" s="343"/>
      <c r="C105" s="282"/>
      <c r="D105" s="298">
        <f>SUM(D102:D104)</f>
        <v>1952.0989999999999</v>
      </c>
      <c r="E105" s="299">
        <f>SUM(E102:E104)</f>
        <v>1.3480000000000001</v>
      </c>
      <c r="F105" s="233"/>
      <c r="G105" s="233"/>
      <c r="H105" s="233"/>
      <c r="I105" s="233"/>
      <c r="J105" s="265">
        <f>SUM(J102:J104)</f>
        <v>2355.2516999999998</v>
      </c>
      <c r="K105" s="264"/>
      <c r="L105" s="280" t="s">
        <v>53</v>
      </c>
      <c r="M105" s="284">
        <v>2011</v>
      </c>
    </row>
    <row r="106" spans="1:13" s="285" customFormat="1" ht="11.25" hidden="1" x14ac:dyDescent="0.2">
      <c r="A106" s="297">
        <v>130.29</v>
      </c>
      <c r="B106" s="343"/>
      <c r="C106" s="282"/>
      <c r="D106" s="298">
        <v>658.50409999999999</v>
      </c>
      <c r="E106" s="299">
        <v>0</v>
      </c>
      <c r="F106" s="233"/>
      <c r="G106" s="233"/>
      <c r="H106" s="233"/>
      <c r="I106" s="233"/>
      <c r="J106" s="265">
        <v>909.06460000000004</v>
      </c>
      <c r="K106" s="264"/>
      <c r="L106" s="280" t="s">
        <v>68</v>
      </c>
      <c r="M106" s="284"/>
    </row>
    <row r="107" spans="1:13" s="285" customFormat="1" ht="11.25" hidden="1" x14ac:dyDescent="0.2">
      <c r="A107" s="297">
        <v>183.327</v>
      </c>
      <c r="B107" s="343"/>
      <c r="C107" s="282"/>
      <c r="D107" s="298">
        <v>653.61469999999997</v>
      </c>
      <c r="E107" s="299">
        <v>0</v>
      </c>
      <c r="F107" s="233"/>
      <c r="G107" s="233"/>
      <c r="H107" s="233"/>
      <c r="I107" s="233"/>
      <c r="J107" s="265">
        <v>862.13430000000005</v>
      </c>
      <c r="K107" s="264"/>
      <c r="L107" s="280" t="s">
        <v>82</v>
      </c>
      <c r="M107" s="284"/>
    </row>
    <row r="108" spans="1:13" s="285" customFormat="1" ht="11.25" hidden="1" x14ac:dyDescent="0.2">
      <c r="A108" s="297">
        <v>177.386</v>
      </c>
      <c r="B108" s="343"/>
      <c r="C108" s="282"/>
      <c r="D108" s="298">
        <v>643.10159999999996</v>
      </c>
      <c r="E108" s="299">
        <v>0</v>
      </c>
      <c r="F108" s="233"/>
      <c r="G108" s="233"/>
      <c r="H108" s="233"/>
      <c r="I108" s="233"/>
      <c r="J108" s="265">
        <v>1078.7437</v>
      </c>
      <c r="K108" s="264"/>
      <c r="L108" s="280" t="s">
        <v>83</v>
      </c>
      <c r="M108" s="284"/>
    </row>
    <row r="109" spans="1:13" s="285" customFormat="1" ht="11.25" hidden="1" x14ac:dyDescent="0.2">
      <c r="A109" s="297">
        <f>SUM(A106:A108)</f>
        <v>491.00299999999993</v>
      </c>
      <c r="B109" s="343"/>
      <c r="C109" s="282"/>
      <c r="D109" s="298">
        <f>SUM(D106:D108)</f>
        <v>1955.2203999999999</v>
      </c>
      <c r="E109" s="299">
        <f>SUM(E106:E108)</f>
        <v>0</v>
      </c>
      <c r="F109" s="233"/>
      <c r="G109" s="233"/>
      <c r="H109" s="233"/>
      <c r="I109" s="233"/>
      <c r="J109" s="265">
        <f>SUM(J106:J108)</f>
        <v>2849.9426000000003</v>
      </c>
      <c r="K109" s="264"/>
      <c r="L109" s="280" t="s">
        <v>54</v>
      </c>
      <c r="M109" s="284"/>
    </row>
    <row r="110" spans="1:13" s="285" customFormat="1" ht="11.25" hidden="1" x14ac:dyDescent="0.2">
      <c r="A110" s="297">
        <v>152.15199999999999</v>
      </c>
      <c r="B110" s="343"/>
      <c r="C110" s="282"/>
      <c r="D110" s="298">
        <v>537.1617</v>
      </c>
      <c r="E110" s="299">
        <v>10.558999999999999</v>
      </c>
      <c r="F110" s="233"/>
      <c r="G110" s="233"/>
      <c r="H110" s="233"/>
      <c r="I110" s="233"/>
      <c r="J110" s="265">
        <v>922.88049999999998</v>
      </c>
      <c r="K110" s="264"/>
      <c r="L110" s="280" t="s">
        <v>85</v>
      </c>
      <c r="M110" s="284"/>
    </row>
    <row r="111" spans="1:13" s="285" customFormat="1" ht="11.25" hidden="1" x14ac:dyDescent="0.2">
      <c r="A111" s="297">
        <v>264.52300000000002</v>
      </c>
      <c r="B111" s="343"/>
      <c r="C111" s="282"/>
      <c r="D111" s="298">
        <v>573.13530000000003</v>
      </c>
      <c r="E111" s="299">
        <v>9.452</v>
      </c>
      <c r="F111" s="233"/>
      <c r="G111" s="233"/>
      <c r="H111" s="233"/>
      <c r="I111" s="233"/>
      <c r="J111" s="265">
        <v>918.25440000000003</v>
      </c>
      <c r="K111" s="264"/>
      <c r="L111" s="280" t="s">
        <v>86</v>
      </c>
      <c r="M111" s="284"/>
    </row>
    <row r="112" spans="1:13" s="285" customFormat="1" ht="11.25" hidden="1" x14ac:dyDescent="0.2">
      <c r="A112" s="297">
        <v>190.08099999999999</v>
      </c>
      <c r="B112" s="343"/>
      <c r="C112" s="282"/>
      <c r="D112" s="298">
        <v>544.50049999999999</v>
      </c>
      <c r="E112" s="299">
        <v>0</v>
      </c>
      <c r="F112" s="233"/>
      <c r="G112" s="233"/>
      <c r="H112" s="233"/>
      <c r="I112" s="233"/>
      <c r="J112" s="265">
        <v>818.4701</v>
      </c>
      <c r="K112" s="264"/>
      <c r="L112" s="280" t="s">
        <v>87</v>
      </c>
      <c r="M112" s="284"/>
    </row>
    <row r="113" spans="1:13" s="285" customFormat="1" ht="11.25" hidden="1" x14ac:dyDescent="0.2">
      <c r="A113" s="297">
        <f>SUM(A110:A112)</f>
        <v>606.75599999999997</v>
      </c>
      <c r="B113" s="343"/>
      <c r="C113" s="282"/>
      <c r="D113" s="298">
        <f>SUM(D110:D112)</f>
        <v>1654.7975000000001</v>
      </c>
      <c r="E113" s="299">
        <f>SUM(E110:E112)</f>
        <v>20.010999999999999</v>
      </c>
      <c r="F113" s="233"/>
      <c r="G113" s="233"/>
      <c r="H113" s="233"/>
      <c r="I113" s="233"/>
      <c r="J113" s="265">
        <f>SUM(J110:J112)</f>
        <v>2659.605</v>
      </c>
      <c r="K113" s="264"/>
      <c r="L113" s="280" t="s">
        <v>55</v>
      </c>
      <c r="M113" s="284"/>
    </row>
    <row r="114" spans="1:13" s="285" customFormat="1" ht="11.25" hidden="1" x14ac:dyDescent="0.2">
      <c r="A114" s="297">
        <v>158.721</v>
      </c>
      <c r="B114" s="343"/>
      <c r="C114" s="282"/>
      <c r="D114" s="298">
        <v>564.45219999999995</v>
      </c>
      <c r="E114" s="299">
        <v>0</v>
      </c>
      <c r="F114" s="233"/>
      <c r="G114" s="233"/>
      <c r="H114" s="233"/>
      <c r="I114" s="233"/>
      <c r="J114" s="265">
        <v>860.06600000000003</v>
      </c>
      <c r="K114" s="264"/>
      <c r="L114" s="280" t="s">
        <v>89</v>
      </c>
      <c r="M114" s="284"/>
    </row>
    <row r="115" spans="1:13" s="285" customFormat="1" ht="11.25" hidden="1" x14ac:dyDescent="0.2">
      <c r="A115" s="297">
        <v>235.685</v>
      </c>
      <c r="B115" s="343"/>
      <c r="C115" s="282"/>
      <c r="D115" s="298">
        <v>504.48309999999998</v>
      </c>
      <c r="E115" s="299">
        <v>3.2120000000000002</v>
      </c>
      <c r="F115" s="233"/>
      <c r="G115" s="233"/>
      <c r="H115" s="233"/>
      <c r="I115" s="233"/>
      <c r="J115" s="265">
        <v>762.31269999999995</v>
      </c>
      <c r="K115" s="264"/>
      <c r="L115" s="280" t="s">
        <v>90</v>
      </c>
      <c r="M115" s="284"/>
    </row>
    <row r="116" spans="1:13" s="285" customFormat="1" ht="11.25" hidden="1" x14ac:dyDescent="0.2">
      <c r="A116" s="297">
        <v>214.374</v>
      </c>
      <c r="B116" s="343"/>
      <c r="C116" s="282"/>
      <c r="D116" s="298">
        <v>593.62090000000001</v>
      </c>
      <c r="E116" s="299">
        <v>0</v>
      </c>
      <c r="F116" s="233"/>
      <c r="G116" s="233"/>
      <c r="H116" s="233"/>
      <c r="I116" s="233"/>
      <c r="J116" s="265">
        <v>734.07410000000004</v>
      </c>
      <c r="K116" s="264"/>
      <c r="L116" s="280" t="s">
        <v>91</v>
      </c>
      <c r="M116" s="284"/>
    </row>
    <row r="117" spans="1:13" s="285" customFormat="1" ht="11.25" hidden="1" x14ac:dyDescent="0.2">
      <c r="A117" s="297">
        <f>SUM(A114:A116)</f>
        <v>608.78</v>
      </c>
      <c r="B117" s="343"/>
      <c r="C117" s="282"/>
      <c r="D117" s="298">
        <f>SUM(D114:D116)</f>
        <v>1662.5562</v>
      </c>
      <c r="E117" s="265">
        <f>SUM(E114:E116)</f>
        <v>3.2120000000000002</v>
      </c>
      <c r="F117" s="233"/>
      <c r="G117" s="233"/>
      <c r="H117" s="233"/>
      <c r="I117" s="233"/>
      <c r="J117" s="265">
        <f>SUM(J114:J116)</f>
        <v>2356.4528</v>
      </c>
      <c r="K117" s="264"/>
      <c r="L117" s="280" t="s">
        <v>56</v>
      </c>
      <c r="M117" s="284"/>
    </row>
    <row r="118" spans="1:13" s="285" customFormat="1" ht="11.25" hidden="1" x14ac:dyDescent="0.2">
      <c r="A118" s="300"/>
      <c r="B118" s="344"/>
      <c r="C118" s="282"/>
      <c r="D118" s="301"/>
      <c r="E118" s="265"/>
      <c r="F118" s="233"/>
      <c r="G118" s="233"/>
      <c r="H118" s="233"/>
      <c r="I118" s="233"/>
      <c r="J118" s="302"/>
      <c r="K118" s="264"/>
      <c r="L118" s="280"/>
      <c r="M118" s="284"/>
    </row>
    <row r="119" spans="1:13" s="285" customFormat="1" ht="11.25" hidden="1" x14ac:dyDescent="0.2">
      <c r="A119" s="297">
        <v>42.875999999999998</v>
      </c>
      <c r="B119" s="343"/>
      <c r="C119" s="282"/>
      <c r="D119" s="298">
        <v>544.43619999999999</v>
      </c>
      <c r="E119" s="265">
        <v>3.46</v>
      </c>
      <c r="F119" s="233"/>
      <c r="G119" s="233"/>
      <c r="H119" s="233"/>
      <c r="I119" s="233"/>
      <c r="J119" s="265">
        <v>910.29290000000003</v>
      </c>
      <c r="K119" s="264"/>
      <c r="L119" s="280" t="s">
        <v>78</v>
      </c>
      <c r="M119" s="284">
        <v>2012</v>
      </c>
    </row>
    <row r="120" spans="1:13" s="285" customFormat="1" ht="11.25" hidden="1" x14ac:dyDescent="0.2">
      <c r="A120" s="297">
        <v>121.43300000000001</v>
      </c>
      <c r="B120" s="343"/>
      <c r="C120" s="282"/>
      <c r="D120" s="298">
        <v>462.26400000000001</v>
      </c>
      <c r="E120" s="265">
        <v>21.2</v>
      </c>
      <c r="F120" s="233"/>
      <c r="G120" s="233"/>
      <c r="H120" s="233"/>
      <c r="I120" s="233"/>
      <c r="J120" s="265">
        <v>726.62900000000002</v>
      </c>
      <c r="K120" s="264"/>
      <c r="L120" s="280" t="s">
        <v>79</v>
      </c>
      <c r="M120" s="284"/>
    </row>
    <row r="121" spans="1:13" s="285" customFormat="1" ht="11.25" hidden="1" x14ac:dyDescent="0.2">
      <c r="A121" s="297">
        <v>172.05799999999999</v>
      </c>
      <c r="B121" s="343"/>
      <c r="C121" s="282"/>
      <c r="D121" s="298">
        <v>632.71510000000001</v>
      </c>
      <c r="E121" s="265">
        <v>0.504</v>
      </c>
      <c r="F121" s="233"/>
      <c r="G121" s="233"/>
      <c r="H121" s="233"/>
      <c r="I121" s="233"/>
      <c r="J121" s="265">
        <v>1029.1574000000001</v>
      </c>
      <c r="K121" s="264"/>
      <c r="L121" s="280" t="s">
        <v>80</v>
      </c>
      <c r="M121" s="284"/>
    </row>
    <row r="122" spans="1:13" s="285" customFormat="1" ht="10.5" hidden="1" customHeight="1" x14ac:dyDescent="0.2">
      <c r="A122" s="297">
        <f>SUM(A119:A121)</f>
        <v>336.36699999999996</v>
      </c>
      <c r="B122" s="343"/>
      <c r="C122" s="282"/>
      <c r="D122" s="298">
        <f>SUM(D119:D121)</f>
        <v>1639.4153000000001</v>
      </c>
      <c r="E122" s="265">
        <f>SUM(E119:E121)</f>
        <v>25.164000000000001</v>
      </c>
      <c r="F122" s="233"/>
      <c r="G122" s="233"/>
      <c r="H122" s="233"/>
      <c r="I122" s="233"/>
      <c r="J122" s="265">
        <f>SUM(J119:J121)</f>
        <v>2666.0793000000003</v>
      </c>
      <c r="K122" s="264"/>
      <c r="L122" s="280" t="s">
        <v>53</v>
      </c>
      <c r="M122" s="284">
        <v>2012</v>
      </c>
    </row>
    <row r="123" spans="1:13" s="285" customFormat="1" ht="11.25" hidden="1" x14ac:dyDescent="0.2">
      <c r="A123" s="297">
        <v>155.803</v>
      </c>
      <c r="B123" s="343"/>
      <c r="C123" s="282"/>
      <c r="D123" s="298">
        <v>688.06230000000005</v>
      </c>
      <c r="E123" s="265">
        <v>7</v>
      </c>
      <c r="F123" s="233"/>
      <c r="G123" s="233"/>
      <c r="H123" s="233"/>
      <c r="I123" s="233"/>
      <c r="J123" s="265">
        <v>889.15869999999995</v>
      </c>
      <c r="K123" s="264"/>
      <c r="L123" s="280" t="s">
        <v>68</v>
      </c>
      <c r="M123" s="284"/>
    </row>
    <row r="124" spans="1:13" s="285" customFormat="1" ht="11.25" hidden="1" x14ac:dyDescent="0.2">
      <c r="A124" s="297">
        <v>147.27600000000001</v>
      </c>
      <c r="B124" s="343"/>
      <c r="C124" s="282"/>
      <c r="D124" s="298">
        <v>766.80370000000005</v>
      </c>
      <c r="E124" s="265">
        <v>0</v>
      </c>
      <c r="F124" s="233"/>
      <c r="G124" s="233"/>
      <c r="H124" s="233"/>
      <c r="I124" s="233"/>
      <c r="J124" s="265">
        <v>1019.7624</v>
      </c>
      <c r="K124" s="264"/>
      <c r="L124" s="280" t="s">
        <v>82</v>
      </c>
      <c r="M124" s="284"/>
    </row>
    <row r="125" spans="1:13" s="285" customFormat="1" ht="11.25" hidden="1" x14ac:dyDescent="0.2">
      <c r="A125" s="297">
        <v>166.25299999999999</v>
      </c>
      <c r="B125" s="343"/>
      <c r="C125" s="282"/>
      <c r="D125" s="298">
        <v>650.22619999999995</v>
      </c>
      <c r="E125" s="265">
        <v>0</v>
      </c>
      <c r="F125" s="233"/>
      <c r="G125" s="233"/>
      <c r="H125" s="233"/>
      <c r="I125" s="233"/>
      <c r="J125" s="265">
        <v>904.63459999999998</v>
      </c>
      <c r="K125" s="264"/>
      <c r="L125" s="280" t="s">
        <v>83</v>
      </c>
      <c r="M125" s="284"/>
    </row>
    <row r="126" spans="1:13" s="285" customFormat="1" ht="11.25" hidden="1" x14ac:dyDescent="0.2">
      <c r="A126" s="297">
        <f>SUM(A123:A125)</f>
        <v>469.33199999999999</v>
      </c>
      <c r="B126" s="343"/>
      <c r="C126" s="282"/>
      <c r="D126" s="298">
        <f>SUM(D123:D125)</f>
        <v>2105.0922</v>
      </c>
      <c r="E126" s="265">
        <f>SUM(E123:E125)</f>
        <v>7</v>
      </c>
      <c r="F126" s="233"/>
      <c r="G126" s="233"/>
      <c r="H126" s="233"/>
      <c r="I126" s="233"/>
      <c r="J126" s="265">
        <f>SUM(J123:J125)</f>
        <v>2813.5556999999999</v>
      </c>
      <c r="K126" s="264"/>
      <c r="L126" s="280" t="s">
        <v>54</v>
      </c>
      <c r="M126" s="284"/>
    </row>
    <row r="127" spans="1:13" s="285" customFormat="1" ht="11.25" hidden="1" x14ac:dyDescent="0.2">
      <c r="A127" s="297">
        <v>145.57900000000001</v>
      </c>
      <c r="B127" s="343"/>
      <c r="C127" s="282"/>
      <c r="D127" s="298">
        <v>694.94640000000004</v>
      </c>
      <c r="E127" s="265">
        <v>0</v>
      </c>
      <c r="F127" s="233"/>
      <c r="G127" s="233"/>
      <c r="H127" s="233"/>
      <c r="I127" s="233"/>
      <c r="J127" s="265">
        <v>899.49950000000001</v>
      </c>
      <c r="K127" s="264"/>
      <c r="L127" s="280" t="s">
        <v>85</v>
      </c>
      <c r="M127" s="284"/>
    </row>
    <row r="128" spans="1:13" s="285" customFormat="1" ht="11.25" hidden="1" x14ac:dyDescent="0.2">
      <c r="A128" s="297">
        <v>128.75399999999999</v>
      </c>
      <c r="B128" s="343"/>
      <c r="C128" s="282"/>
      <c r="D128" s="298">
        <v>707.31510000000003</v>
      </c>
      <c r="E128" s="265">
        <v>0</v>
      </c>
      <c r="F128" s="233"/>
      <c r="G128" s="233"/>
      <c r="H128" s="233"/>
      <c r="I128" s="233"/>
      <c r="J128" s="265">
        <v>818.39639999999997</v>
      </c>
      <c r="K128" s="264"/>
      <c r="L128" s="280" t="s">
        <v>86</v>
      </c>
      <c r="M128" s="284"/>
    </row>
    <row r="129" spans="1:13" s="285" customFormat="1" ht="11.25" hidden="1" x14ac:dyDescent="0.2">
      <c r="A129" s="297">
        <v>122.59099999999999</v>
      </c>
      <c r="B129" s="343"/>
      <c r="C129" s="282"/>
      <c r="D129" s="298">
        <v>498.202</v>
      </c>
      <c r="E129" s="265">
        <v>0</v>
      </c>
      <c r="F129" s="233"/>
      <c r="G129" s="233"/>
      <c r="H129" s="233"/>
      <c r="I129" s="233"/>
      <c r="J129" s="265">
        <v>795.19590000000005</v>
      </c>
      <c r="K129" s="264"/>
      <c r="L129" s="280" t="s">
        <v>87</v>
      </c>
      <c r="M129" s="284"/>
    </row>
    <row r="130" spans="1:13" s="285" customFormat="1" ht="11.25" hidden="1" x14ac:dyDescent="0.2">
      <c r="A130" s="297">
        <f>SUM(A127:A129)</f>
        <v>396.92399999999998</v>
      </c>
      <c r="B130" s="343"/>
      <c r="C130" s="282"/>
      <c r="D130" s="298">
        <f>SUM(D127:D129)</f>
        <v>1900.4635000000001</v>
      </c>
      <c r="E130" s="265">
        <f>SUM(E127:E129)</f>
        <v>0</v>
      </c>
      <c r="F130" s="233"/>
      <c r="G130" s="233"/>
      <c r="H130" s="233"/>
      <c r="I130" s="233"/>
      <c r="J130" s="265">
        <f>SUM(J127:J129)</f>
        <v>2513.0918000000001</v>
      </c>
      <c r="K130" s="264"/>
      <c r="L130" s="280" t="s">
        <v>55</v>
      </c>
      <c r="M130" s="284"/>
    </row>
    <row r="131" spans="1:13" s="285" customFormat="1" ht="11.25" hidden="1" x14ac:dyDescent="0.2">
      <c r="A131" s="297">
        <v>86.025999999999996</v>
      </c>
      <c r="B131" s="343"/>
      <c r="C131" s="282"/>
      <c r="D131" s="298">
        <v>521.76120000000003</v>
      </c>
      <c r="E131" s="265">
        <v>0</v>
      </c>
      <c r="F131" s="233"/>
      <c r="G131" s="233"/>
      <c r="H131" s="233"/>
      <c r="I131" s="233"/>
      <c r="J131" s="265">
        <v>907.57370000000003</v>
      </c>
      <c r="K131" s="264"/>
      <c r="L131" s="280" t="s">
        <v>89</v>
      </c>
      <c r="M131" s="284"/>
    </row>
    <row r="132" spans="1:13" s="285" customFormat="1" ht="11.25" hidden="1" x14ac:dyDescent="0.2">
      <c r="A132" s="297">
        <v>57.302999999999997</v>
      </c>
      <c r="B132" s="343"/>
      <c r="C132" s="282"/>
      <c r="D132" s="298">
        <v>501.30369999999999</v>
      </c>
      <c r="E132" s="265">
        <v>0</v>
      </c>
      <c r="F132" s="233"/>
      <c r="G132" s="233"/>
      <c r="H132" s="233"/>
      <c r="I132" s="233"/>
      <c r="J132" s="265">
        <v>898.24839999999995</v>
      </c>
      <c r="K132" s="264"/>
      <c r="L132" s="280" t="s">
        <v>90</v>
      </c>
      <c r="M132" s="284"/>
    </row>
    <row r="133" spans="1:13" s="285" customFormat="1" ht="11.25" hidden="1" x14ac:dyDescent="0.2">
      <c r="A133" s="297">
        <v>110.25700000000001</v>
      </c>
      <c r="B133" s="343"/>
      <c r="C133" s="282"/>
      <c r="D133" s="298">
        <v>563.63819999999998</v>
      </c>
      <c r="E133" s="265">
        <v>0</v>
      </c>
      <c r="F133" s="233"/>
      <c r="G133" s="233"/>
      <c r="H133" s="233"/>
      <c r="I133" s="233"/>
      <c r="J133" s="265">
        <v>910.88699999999994</v>
      </c>
      <c r="K133" s="264"/>
      <c r="L133" s="280" t="s">
        <v>91</v>
      </c>
      <c r="M133" s="284"/>
    </row>
    <row r="134" spans="1:13" s="285" customFormat="1" ht="11.25" hidden="1" x14ac:dyDescent="0.2">
      <c r="A134" s="297">
        <f>SUM(A131:A133)</f>
        <v>253.58600000000001</v>
      </c>
      <c r="B134" s="343"/>
      <c r="C134" s="282"/>
      <c r="D134" s="298">
        <f>SUM(D131:D133)</f>
        <v>1586.7031000000002</v>
      </c>
      <c r="E134" s="265">
        <f>SUM(E131:E133)</f>
        <v>0</v>
      </c>
      <c r="F134" s="233"/>
      <c r="G134" s="233"/>
      <c r="H134" s="233"/>
      <c r="I134" s="233"/>
      <c r="J134" s="265">
        <f>SUM(J131:J133)</f>
        <v>2716.7091</v>
      </c>
      <c r="K134" s="264"/>
      <c r="L134" s="280" t="s">
        <v>56</v>
      </c>
      <c r="M134" s="284"/>
    </row>
    <row r="135" spans="1:13" s="285" customFormat="1" ht="11.25" hidden="1" x14ac:dyDescent="0.2">
      <c r="A135" s="297"/>
      <c r="B135" s="343"/>
      <c r="C135" s="282"/>
      <c r="D135" s="298"/>
      <c r="E135" s="265"/>
      <c r="F135" s="233"/>
      <c r="G135" s="233"/>
      <c r="H135" s="233"/>
      <c r="I135" s="233"/>
      <c r="J135" s="265"/>
      <c r="K135" s="264"/>
      <c r="L135" s="280"/>
      <c r="M135" s="284"/>
    </row>
    <row r="136" spans="1:13" s="285" customFormat="1" ht="11.25" hidden="1" x14ac:dyDescent="0.2">
      <c r="A136" s="297">
        <v>98.090999999999994</v>
      </c>
      <c r="B136" s="343"/>
      <c r="C136" s="282"/>
      <c r="D136" s="298">
        <v>520.84990000000005</v>
      </c>
      <c r="E136" s="265">
        <v>0</v>
      </c>
      <c r="F136" s="233"/>
      <c r="G136" s="233"/>
      <c r="H136" s="233"/>
      <c r="I136" s="233"/>
      <c r="J136" s="265">
        <v>939.78909999999996</v>
      </c>
      <c r="K136" s="264"/>
      <c r="L136" s="280" t="s">
        <v>78</v>
      </c>
      <c r="M136" s="284">
        <v>2013</v>
      </c>
    </row>
    <row r="137" spans="1:13" s="285" customFormat="1" ht="11.25" hidden="1" x14ac:dyDescent="0.2">
      <c r="A137" s="297">
        <v>156.72200000000001</v>
      </c>
      <c r="B137" s="343"/>
      <c r="C137" s="282"/>
      <c r="D137" s="298">
        <v>635.20450000000005</v>
      </c>
      <c r="E137" s="265">
        <v>0</v>
      </c>
      <c r="F137" s="233"/>
      <c r="G137" s="233"/>
      <c r="H137" s="233"/>
      <c r="I137" s="233"/>
      <c r="J137" s="265">
        <v>916.40290000000005</v>
      </c>
      <c r="K137" s="264"/>
      <c r="L137" s="280" t="s">
        <v>79</v>
      </c>
      <c r="M137" s="284"/>
    </row>
    <row r="138" spans="1:13" s="285" customFormat="1" ht="11.25" hidden="1" x14ac:dyDescent="0.2">
      <c r="A138" s="297">
        <v>181.07499999999999</v>
      </c>
      <c r="B138" s="343"/>
      <c r="C138" s="282"/>
      <c r="D138" s="298">
        <v>639.13419999999996</v>
      </c>
      <c r="E138" s="265">
        <v>3.95</v>
      </c>
      <c r="F138" s="233"/>
      <c r="G138" s="233"/>
      <c r="H138" s="233"/>
      <c r="I138" s="233"/>
      <c r="J138" s="265">
        <v>1114.6472000000001</v>
      </c>
      <c r="K138" s="264"/>
      <c r="L138" s="280" t="s">
        <v>80</v>
      </c>
      <c r="M138" s="284"/>
    </row>
    <row r="139" spans="1:13" s="285" customFormat="1" ht="11.25" hidden="1" x14ac:dyDescent="0.2">
      <c r="A139" s="297">
        <f>SUM(A136:A138)</f>
        <v>435.88799999999998</v>
      </c>
      <c r="B139" s="343"/>
      <c r="C139" s="282"/>
      <c r="D139" s="298">
        <f>SUM(D136:D138)</f>
        <v>1795.1886</v>
      </c>
      <c r="E139" s="265">
        <f>SUM(E136:E138)</f>
        <v>3.95</v>
      </c>
      <c r="F139" s="233"/>
      <c r="G139" s="233"/>
      <c r="H139" s="233"/>
      <c r="I139" s="233"/>
      <c r="J139" s="265">
        <f>SUM(J136:J138)</f>
        <v>2970.8392000000003</v>
      </c>
      <c r="K139" s="264"/>
      <c r="L139" s="280" t="s">
        <v>53</v>
      </c>
      <c r="M139" s="284">
        <v>2013</v>
      </c>
    </row>
    <row r="140" spans="1:13" s="285" customFormat="1" ht="11.25" hidden="1" x14ac:dyDescent="0.2">
      <c r="A140" s="297">
        <v>163.753748</v>
      </c>
      <c r="B140" s="343"/>
      <c r="C140" s="282"/>
      <c r="D140" s="298">
        <v>745.02470000000005</v>
      </c>
      <c r="E140" s="265">
        <v>3.3</v>
      </c>
      <c r="F140" s="233"/>
      <c r="G140" s="233"/>
      <c r="H140" s="233"/>
      <c r="I140" s="233"/>
      <c r="J140" s="265">
        <v>1108.0726</v>
      </c>
      <c r="K140" s="264"/>
      <c r="L140" s="280" t="s">
        <v>68</v>
      </c>
      <c r="M140" s="284"/>
    </row>
    <row r="141" spans="1:13" s="285" customFormat="1" ht="11.25" hidden="1" x14ac:dyDescent="0.2">
      <c r="A141" s="297">
        <v>232.62799999999999</v>
      </c>
      <c r="B141" s="343"/>
      <c r="C141" s="282"/>
      <c r="D141" s="298">
        <v>754.85979999999995</v>
      </c>
      <c r="E141" s="265">
        <v>0</v>
      </c>
      <c r="F141" s="233"/>
      <c r="G141" s="233"/>
      <c r="H141" s="233"/>
      <c r="I141" s="233"/>
      <c r="J141" s="265">
        <v>1188.1632999999999</v>
      </c>
      <c r="K141" s="264"/>
      <c r="L141" s="280" t="s">
        <v>82</v>
      </c>
      <c r="M141" s="284"/>
    </row>
    <row r="142" spans="1:13" s="285" customFormat="1" ht="11.25" hidden="1" x14ac:dyDescent="0.2">
      <c r="A142" s="297">
        <v>234.898</v>
      </c>
      <c r="B142" s="343"/>
      <c r="C142" s="282"/>
      <c r="D142" s="298">
        <v>541.76700000000005</v>
      </c>
      <c r="E142" s="265">
        <v>1.9790000000000001</v>
      </c>
      <c r="F142" s="233"/>
      <c r="G142" s="233"/>
      <c r="H142" s="233"/>
      <c r="I142" s="233"/>
      <c r="J142" s="265">
        <v>1015.5705</v>
      </c>
      <c r="K142" s="264"/>
      <c r="L142" s="280" t="s">
        <v>83</v>
      </c>
      <c r="M142" s="284"/>
    </row>
    <row r="143" spans="1:13" s="285" customFormat="1" ht="11.25" hidden="1" x14ac:dyDescent="0.2">
      <c r="A143" s="297">
        <f>SUM(A140:A142)</f>
        <v>631.27974800000004</v>
      </c>
      <c r="B143" s="343"/>
      <c r="C143" s="282"/>
      <c r="D143" s="298">
        <f>SUM(D140:D142)</f>
        <v>2041.6515000000002</v>
      </c>
      <c r="E143" s="265">
        <f>SUM(E140:E142)</f>
        <v>5.2789999999999999</v>
      </c>
      <c r="F143" s="233"/>
      <c r="G143" s="233"/>
      <c r="H143" s="233"/>
      <c r="I143" s="233"/>
      <c r="J143" s="265">
        <f>SUM(J140:J142)</f>
        <v>3311.8063999999995</v>
      </c>
      <c r="K143" s="264"/>
      <c r="L143" s="280" t="s">
        <v>54</v>
      </c>
      <c r="M143" s="284"/>
    </row>
    <row r="144" spans="1:13" s="285" customFormat="1" ht="11.25" hidden="1" x14ac:dyDescent="0.2">
      <c r="A144" s="297">
        <v>127.259</v>
      </c>
      <c r="B144" s="343"/>
      <c r="C144" s="282"/>
      <c r="D144" s="298">
        <v>577.08259999999996</v>
      </c>
      <c r="E144" s="265">
        <v>2.4510000000000001</v>
      </c>
      <c r="F144" s="233"/>
      <c r="G144" s="233"/>
      <c r="H144" s="233"/>
      <c r="I144" s="233"/>
      <c r="J144" s="265">
        <v>997.29290000000003</v>
      </c>
      <c r="K144" s="264"/>
      <c r="L144" s="280" t="s">
        <v>85</v>
      </c>
      <c r="M144" s="284"/>
    </row>
    <row r="145" spans="1:13" s="285" customFormat="1" ht="11.25" hidden="1" x14ac:dyDescent="0.2">
      <c r="A145" s="297">
        <v>109.605666</v>
      </c>
      <c r="B145" s="343"/>
      <c r="C145" s="282"/>
      <c r="D145" s="298">
        <v>475.15019999999998</v>
      </c>
      <c r="E145" s="265">
        <v>0</v>
      </c>
      <c r="F145" s="233"/>
      <c r="G145" s="233"/>
      <c r="H145" s="233"/>
      <c r="I145" s="233"/>
      <c r="J145" s="265">
        <v>1066.0146999999999</v>
      </c>
      <c r="K145" s="264"/>
      <c r="L145" s="280" t="s">
        <v>86</v>
      </c>
      <c r="M145" s="284"/>
    </row>
    <row r="146" spans="1:13" s="285" customFormat="1" ht="11.25" hidden="1" x14ac:dyDescent="0.2">
      <c r="A146" s="297">
        <v>107.036</v>
      </c>
      <c r="B146" s="343"/>
      <c r="C146" s="282"/>
      <c r="D146" s="298">
        <v>423.68490000000003</v>
      </c>
      <c r="E146" s="265">
        <v>0.113</v>
      </c>
      <c r="F146" s="233"/>
      <c r="G146" s="233"/>
      <c r="H146" s="233"/>
      <c r="I146" s="233"/>
      <c r="J146" s="265">
        <v>869.86170000000004</v>
      </c>
      <c r="K146" s="264"/>
      <c r="L146" s="280" t="s">
        <v>87</v>
      </c>
      <c r="M146" s="284"/>
    </row>
    <row r="147" spans="1:13" s="285" customFormat="1" ht="11.25" hidden="1" x14ac:dyDescent="0.2">
      <c r="A147" s="297">
        <f>SUM(A144:A146)</f>
        <v>343.900666</v>
      </c>
      <c r="B147" s="343"/>
      <c r="C147" s="282"/>
      <c r="D147" s="298">
        <f>SUM(D144:D146)</f>
        <v>1475.9177</v>
      </c>
      <c r="E147" s="265">
        <f>SUM(E144:E146)</f>
        <v>2.5640000000000001</v>
      </c>
      <c r="F147" s="233"/>
      <c r="G147" s="233"/>
      <c r="H147" s="233"/>
      <c r="I147" s="233"/>
      <c r="J147" s="265">
        <f>SUM(J144:J146)</f>
        <v>2933.1693</v>
      </c>
      <c r="K147" s="264"/>
      <c r="L147" s="280" t="s">
        <v>55</v>
      </c>
      <c r="M147" s="284"/>
    </row>
    <row r="148" spans="1:13" s="285" customFormat="1" ht="11.25" hidden="1" x14ac:dyDescent="0.2">
      <c r="A148" s="297">
        <v>166.739</v>
      </c>
      <c r="B148" s="343"/>
      <c r="C148" s="282"/>
      <c r="D148" s="298">
        <v>479.93610000000001</v>
      </c>
      <c r="E148" s="265">
        <v>0</v>
      </c>
      <c r="F148" s="233"/>
      <c r="G148" s="233"/>
      <c r="H148" s="233"/>
      <c r="I148" s="233"/>
      <c r="J148" s="265">
        <v>814.82569999999998</v>
      </c>
      <c r="K148" s="264"/>
      <c r="L148" s="280" t="s">
        <v>89</v>
      </c>
      <c r="M148" s="284"/>
    </row>
    <row r="149" spans="1:13" s="285" customFormat="1" ht="11.25" hidden="1" x14ac:dyDescent="0.2">
      <c r="A149" s="297">
        <v>141.59414200000001</v>
      </c>
      <c r="B149" s="343"/>
      <c r="C149" s="282"/>
      <c r="D149" s="298">
        <v>499.00020000000001</v>
      </c>
      <c r="E149" s="265">
        <v>0</v>
      </c>
      <c r="F149" s="233"/>
      <c r="G149" s="233"/>
      <c r="H149" s="233"/>
      <c r="I149" s="233"/>
      <c r="J149" s="265">
        <v>755.71209999999996</v>
      </c>
      <c r="K149" s="264"/>
      <c r="L149" s="280" t="s">
        <v>90</v>
      </c>
      <c r="M149" s="284"/>
    </row>
    <row r="150" spans="1:13" s="285" customFormat="1" ht="11.25" hidden="1" x14ac:dyDescent="0.2">
      <c r="A150" s="297">
        <v>201.90918600000001</v>
      </c>
      <c r="B150" s="343"/>
      <c r="C150" s="282"/>
      <c r="D150" s="298">
        <v>537.31359999999995</v>
      </c>
      <c r="E150" s="265">
        <v>0</v>
      </c>
      <c r="F150" s="233"/>
      <c r="G150" s="233"/>
      <c r="H150" s="233"/>
      <c r="I150" s="233"/>
      <c r="J150" s="265">
        <v>914.63250000000005</v>
      </c>
      <c r="K150" s="264"/>
      <c r="L150" s="280" t="s">
        <v>91</v>
      </c>
      <c r="M150" s="284"/>
    </row>
    <row r="151" spans="1:13" s="285" customFormat="1" ht="11.25" hidden="1" x14ac:dyDescent="0.2">
      <c r="A151" s="297">
        <f>SUM(A148:A150)</f>
        <v>510.24232800000004</v>
      </c>
      <c r="B151" s="343"/>
      <c r="C151" s="282"/>
      <c r="D151" s="298">
        <f>SUM(D148:D150)</f>
        <v>1516.2499</v>
      </c>
      <c r="E151" s="265">
        <f>SUM(E148:E150)</f>
        <v>0</v>
      </c>
      <c r="F151" s="233"/>
      <c r="G151" s="233"/>
      <c r="H151" s="233"/>
      <c r="I151" s="233"/>
      <c r="J151" s="265">
        <f>SUM(J148:J150)</f>
        <v>2485.1703000000002</v>
      </c>
      <c r="K151" s="264"/>
      <c r="L151" s="280" t="s">
        <v>56</v>
      </c>
      <c r="M151" s="284"/>
    </row>
    <row r="152" spans="1:13" s="285" customFormat="1" ht="11.25" hidden="1" x14ac:dyDescent="0.2">
      <c r="A152" s="292"/>
      <c r="B152" s="342"/>
      <c r="C152" s="282"/>
      <c r="D152" s="293"/>
      <c r="E152" s="295"/>
      <c r="F152" s="233"/>
      <c r="G152" s="233"/>
      <c r="H152" s="233"/>
      <c r="I152" s="233"/>
      <c r="J152" s="295"/>
      <c r="K152" s="264"/>
      <c r="L152" s="280"/>
      <c r="M152" s="284"/>
    </row>
    <row r="153" spans="1:13" s="285" customFormat="1" ht="11.25" hidden="1" x14ac:dyDescent="0.2">
      <c r="A153" s="297">
        <v>172.95699999999999</v>
      </c>
      <c r="B153" s="343"/>
      <c r="C153" s="282"/>
      <c r="D153" s="298">
        <v>721.67999899999995</v>
      </c>
      <c r="E153" s="265">
        <v>0.185</v>
      </c>
      <c r="F153" s="233"/>
      <c r="G153" s="233"/>
      <c r="H153" s="233"/>
      <c r="I153" s="233"/>
      <c r="J153" s="265">
        <v>874.57119999999998</v>
      </c>
      <c r="K153" s="264"/>
      <c r="L153" s="280" t="s">
        <v>78</v>
      </c>
      <c r="M153" s="284">
        <v>2014</v>
      </c>
    </row>
    <row r="154" spans="1:13" s="285" customFormat="1" ht="11.25" hidden="1" x14ac:dyDescent="0.2">
      <c r="A154" s="297">
        <v>214.36829</v>
      </c>
      <c r="B154" s="343"/>
      <c r="C154" s="282"/>
      <c r="D154" s="298">
        <v>733.13628600000004</v>
      </c>
      <c r="E154" s="265">
        <v>5.2690000000000001</v>
      </c>
      <c r="F154" s="233"/>
      <c r="G154" s="233"/>
      <c r="H154" s="233"/>
      <c r="I154" s="233"/>
      <c r="J154" s="265">
        <v>702.78380000000004</v>
      </c>
      <c r="K154" s="264"/>
      <c r="L154" s="280" t="s">
        <v>79</v>
      </c>
      <c r="M154" s="284"/>
    </row>
    <row r="155" spans="1:13" s="285" customFormat="1" ht="11.25" hidden="1" x14ac:dyDescent="0.2">
      <c r="A155" s="297">
        <v>214.7645</v>
      </c>
      <c r="B155" s="343"/>
      <c r="C155" s="282"/>
      <c r="D155" s="298">
        <v>634.1078</v>
      </c>
      <c r="E155" s="265">
        <v>6.41</v>
      </c>
      <c r="F155" s="233"/>
      <c r="G155" s="233"/>
      <c r="H155" s="233"/>
      <c r="I155" s="233"/>
      <c r="J155" s="265">
        <v>991.11620000000005</v>
      </c>
      <c r="K155" s="264"/>
      <c r="L155" s="280" t="s">
        <v>80</v>
      </c>
      <c r="M155" s="284"/>
    </row>
    <row r="156" spans="1:13" s="285" customFormat="1" ht="11.25" hidden="1" x14ac:dyDescent="0.2">
      <c r="A156" s="297">
        <f>SUM(A153:A155)</f>
        <v>602.08978999999999</v>
      </c>
      <c r="B156" s="343"/>
      <c r="C156" s="282"/>
      <c r="D156" s="298">
        <f>SUM(D153:D155)</f>
        <v>2088.9240849999996</v>
      </c>
      <c r="E156" s="265">
        <f>SUM(E153:E155)</f>
        <v>11.864000000000001</v>
      </c>
      <c r="F156" s="233"/>
      <c r="G156" s="233"/>
      <c r="H156" s="233"/>
      <c r="I156" s="233"/>
      <c r="J156" s="265">
        <f>SUM(J153:J155)</f>
        <v>2568.4712</v>
      </c>
      <c r="K156" s="264"/>
      <c r="L156" s="280" t="s">
        <v>53</v>
      </c>
      <c r="M156" s="284">
        <v>2014</v>
      </c>
    </row>
    <row r="157" spans="1:13" s="285" customFormat="1" ht="11.25" hidden="1" x14ac:dyDescent="0.2">
      <c r="A157" s="297">
        <v>216.065774</v>
      </c>
      <c r="B157" s="343"/>
      <c r="C157" s="282"/>
      <c r="D157" s="298">
        <v>525.00246400000003</v>
      </c>
      <c r="E157" s="265">
        <v>0</v>
      </c>
      <c r="F157" s="233"/>
      <c r="G157" s="233"/>
      <c r="H157" s="233"/>
      <c r="I157" s="233"/>
      <c r="J157" s="265">
        <v>948.09870000000001</v>
      </c>
      <c r="K157" s="264"/>
      <c r="L157" s="280" t="s">
        <v>68</v>
      </c>
      <c r="M157" s="284"/>
    </row>
    <row r="158" spans="1:13" s="285" customFormat="1" ht="11.25" hidden="1" x14ac:dyDescent="0.2">
      <c r="A158" s="297">
        <v>211.37799999999999</v>
      </c>
      <c r="B158" s="343"/>
      <c r="C158" s="282"/>
      <c r="D158" s="298">
        <v>718.46532500000001</v>
      </c>
      <c r="E158" s="265">
        <v>2.7589999999999999</v>
      </c>
      <c r="F158" s="233"/>
      <c r="G158" s="233"/>
      <c r="H158" s="233"/>
      <c r="I158" s="233"/>
      <c r="J158" s="265">
        <v>976.98040000000003</v>
      </c>
      <c r="K158" s="264"/>
      <c r="L158" s="280" t="s">
        <v>82</v>
      </c>
      <c r="M158" s="284"/>
    </row>
    <row r="159" spans="1:13" s="285" customFormat="1" ht="11.25" hidden="1" x14ac:dyDescent="0.2">
      <c r="A159" s="297">
        <v>152.65199999999999</v>
      </c>
      <c r="B159" s="343"/>
      <c r="C159" s="282"/>
      <c r="D159" s="298">
        <v>709.95960200000002</v>
      </c>
      <c r="E159" s="265">
        <v>0.36799999999999999</v>
      </c>
      <c r="F159" s="233"/>
      <c r="G159" s="233"/>
      <c r="H159" s="233"/>
      <c r="I159" s="233"/>
      <c r="J159" s="265">
        <v>950.37549999999999</v>
      </c>
      <c r="K159" s="264"/>
      <c r="L159" s="280" t="s">
        <v>83</v>
      </c>
      <c r="M159" s="284"/>
    </row>
    <row r="160" spans="1:13" s="285" customFormat="1" ht="11.25" hidden="1" x14ac:dyDescent="0.2">
      <c r="A160" s="297">
        <f>SUM(A157:A159)</f>
        <v>580.09577399999989</v>
      </c>
      <c r="B160" s="343"/>
      <c r="C160" s="282"/>
      <c r="D160" s="298">
        <f>SUM(D157:D159)</f>
        <v>1953.4273910000002</v>
      </c>
      <c r="E160" s="265">
        <f>SUM(E157:E159)</f>
        <v>3.1269999999999998</v>
      </c>
      <c r="F160" s="233"/>
      <c r="G160" s="233"/>
      <c r="H160" s="233"/>
      <c r="I160" s="233"/>
      <c r="J160" s="265">
        <f>SUM(J157:J159)</f>
        <v>2875.4546</v>
      </c>
      <c r="K160" s="264"/>
      <c r="L160" s="280" t="s">
        <v>54</v>
      </c>
      <c r="M160" s="284"/>
    </row>
    <row r="161" spans="1:13" s="285" customFormat="1" ht="11.25" hidden="1" x14ac:dyDescent="0.2">
      <c r="A161" s="297">
        <v>83.997</v>
      </c>
      <c r="B161" s="343"/>
      <c r="C161" s="282"/>
      <c r="D161" s="298">
        <v>624.05075599999998</v>
      </c>
      <c r="E161" s="265">
        <v>0</v>
      </c>
      <c r="F161" s="233"/>
      <c r="G161" s="233"/>
      <c r="H161" s="233"/>
      <c r="I161" s="233"/>
      <c r="J161" s="265">
        <v>909.64859999999999</v>
      </c>
      <c r="K161" s="264"/>
      <c r="L161" s="280" t="s">
        <v>85</v>
      </c>
      <c r="M161" s="284"/>
    </row>
    <row r="162" spans="1:13" s="285" customFormat="1" ht="11.25" hidden="1" x14ac:dyDescent="0.2">
      <c r="A162" s="297">
        <v>158.22800000000001</v>
      </c>
      <c r="B162" s="343"/>
      <c r="C162" s="282"/>
      <c r="D162" s="298">
        <v>720.602666</v>
      </c>
      <c r="E162" s="265">
        <v>0</v>
      </c>
      <c r="F162" s="233"/>
      <c r="G162" s="233"/>
      <c r="H162" s="233"/>
      <c r="I162" s="233"/>
      <c r="J162" s="265">
        <v>930.1105</v>
      </c>
      <c r="K162" s="264"/>
      <c r="L162" s="280" t="s">
        <v>86</v>
      </c>
      <c r="M162" s="284"/>
    </row>
    <row r="163" spans="1:13" s="285" customFormat="1" ht="11.25" hidden="1" x14ac:dyDescent="0.2">
      <c r="A163" s="297">
        <v>234.255</v>
      </c>
      <c r="B163" s="343"/>
      <c r="C163" s="282"/>
      <c r="D163" s="298">
        <v>747.27823999999998</v>
      </c>
      <c r="E163" s="265">
        <v>0</v>
      </c>
      <c r="F163" s="233"/>
      <c r="G163" s="233"/>
      <c r="H163" s="233"/>
      <c r="I163" s="233"/>
      <c r="J163" s="265">
        <v>878.56489999999997</v>
      </c>
      <c r="K163" s="264"/>
      <c r="L163" s="280" t="s">
        <v>87</v>
      </c>
      <c r="M163" s="284"/>
    </row>
    <row r="164" spans="1:13" s="285" customFormat="1" ht="11.25" hidden="1" x14ac:dyDescent="0.2">
      <c r="A164" s="297">
        <f>SUM(A161:A163)</f>
        <v>476.48</v>
      </c>
      <c r="B164" s="343"/>
      <c r="C164" s="282"/>
      <c r="D164" s="298">
        <f>SUM(D161:D163)</f>
        <v>2091.931662</v>
      </c>
      <c r="E164" s="265">
        <f>SUM(E161:E163)</f>
        <v>0</v>
      </c>
      <c r="F164" s="233"/>
      <c r="G164" s="233"/>
      <c r="H164" s="233"/>
      <c r="I164" s="233"/>
      <c r="J164" s="265">
        <f>SUM(J161:J163)</f>
        <v>2718.3240000000001</v>
      </c>
      <c r="K164" s="264"/>
      <c r="L164" s="280" t="s">
        <v>55</v>
      </c>
      <c r="M164" s="284"/>
    </row>
    <row r="165" spans="1:13" s="285" customFormat="1" ht="11.25" hidden="1" x14ac:dyDescent="0.2">
      <c r="A165" s="297">
        <v>180.447</v>
      </c>
      <c r="B165" s="343"/>
      <c r="C165" s="282"/>
      <c r="D165" s="298">
        <v>700.07838200000003</v>
      </c>
      <c r="E165" s="265">
        <v>4.0000000000000001E-3</v>
      </c>
      <c r="F165" s="233"/>
      <c r="G165" s="233"/>
      <c r="H165" s="233"/>
      <c r="I165" s="233"/>
      <c r="J165" s="265">
        <v>909.65470000000005</v>
      </c>
      <c r="K165" s="264"/>
      <c r="L165" s="280" t="s">
        <v>89</v>
      </c>
      <c r="M165" s="284"/>
    </row>
    <row r="166" spans="1:13" s="285" customFormat="1" ht="11.25" hidden="1" x14ac:dyDescent="0.2">
      <c r="A166" s="297">
        <v>118.205</v>
      </c>
      <c r="B166" s="343"/>
      <c r="C166" s="282"/>
      <c r="D166" s="298">
        <v>601.92697099999998</v>
      </c>
      <c r="E166" s="265">
        <v>0</v>
      </c>
      <c r="F166" s="233"/>
      <c r="G166" s="233"/>
      <c r="H166" s="233"/>
      <c r="I166" s="233"/>
      <c r="J166" s="265">
        <v>874.5521</v>
      </c>
      <c r="K166" s="264"/>
      <c r="L166" s="280" t="s">
        <v>90</v>
      </c>
      <c r="M166" s="284"/>
    </row>
    <row r="167" spans="1:13" s="285" customFormat="1" ht="11.25" hidden="1" x14ac:dyDescent="0.2">
      <c r="A167" s="297">
        <v>168.7567</v>
      </c>
      <c r="B167" s="343"/>
      <c r="C167" s="282"/>
      <c r="D167" s="298">
        <v>828.066147</v>
      </c>
      <c r="E167" s="265">
        <v>1.86</v>
      </c>
      <c r="F167" s="233"/>
      <c r="G167" s="233"/>
      <c r="H167" s="233"/>
      <c r="I167" s="233"/>
      <c r="J167" s="265">
        <v>930.5616</v>
      </c>
      <c r="K167" s="264"/>
      <c r="L167" s="280" t="s">
        <v>91</v>
      </c>
      <c r="M167" s="284"/>
    </row>
    <row r="168" spans="1:13" s="285" customFormat="1" ht="11.25" hidden="1" x14ac:dyDescent="0.2">
      <c r="A168" s="297">
        <f>SUM(A165:A167)</f>
        <v>467.40869999999995</v>
      </c>
      <c r="B168" s="343"/>
      <c r="C168" s="282"/>
      <c r="D168" s="298">
        <f>SUM(D165:D167)</f>
        <v>2130.0715</v>
      </c>
      <c r="E168" s="265">
        <f>SUM(E165:E167)</f>
        <v>1.8640000000000001</v>
      </c>
      <c r="F168" s="233"/>
      <c r="G168" s="233"/>
      <c r="H168" s="233"/>
      <c r="I168" s="233"/>
      <c r="J168" s="265">
        <f>SUM(J165:J167)</f>
        <v>2714.7683999999999</v>
      </c>
      <c r="K168" s="264"/>
      <c r="L168" s="280" t="s">
        <v>56</v>
      </c>
      <c r="M168" s="284"/>
    </row>
    <row r="169" spans="1:13" s="285" customFormat="1" ht="11.25" hidden="1" x14ac:dyDescent="0.2">
      <c r="A169" s="292"/>
      <c r="B169" s="342"/>
      <c r="C169" s="282"/>
      <c r="D169" s="293"/>
      <c r="E169" s="295"/>
      <c r="F169" s="233"/>
      <c r="G169" s="233"/>
      <c r="H169" s="233"/>
      <c r="I169" s="233"/>
      <c r="J169" s="295"/>
      <c r="K169" s="264"/>
      <c r="L169" s="280"/>
      <c r="M169" s="284"/>
    </row>
    <row r="170" spans="1:13" s="285" customFormat="1" ht="11.25" hidden="1" x14ac:dyDescent="0.2">
      <c r="A170" s="297">
        <v>178.86500000000001</v>
      </c>
      <c r="B170" s="343"/>
      <c r="C170" s="282"/>
      <c r="D170" s="298">
        <v>711.729736</v>
      </c>
      <c r="E170" s="265">
        <v>0</v>
      </c>
      <c r="F170" s="233"/>
      <c r="G170" s="233"/>
      <c r="H170" s="233"/>
      <c r="I170" s="233"/>
      <c r="J170" s="265">
        <v>901.59630000000004</v>
      </c>
      <c r="K170" s="264"/>
      <c r="L170" s="280" t="s">
        <v>78</v>
      </c>
      <c r="M170" s="284">
        <v>2015</v>
      </c>
    </row>
    <row r="171" spans="1:13" s="285" customFormat="1" ht="11.25" hidden="1" x14ac:dyDescent="0.2">
      <c r="A171" s="297">
        <v>166.358</v>
      </c>
      <c r="B171" s="343"/>
      <c r="C171" s="282"/>
      <c r="D171" s="298">
        <v>489.61032</v>
      </c>
      <c r="E171" s="265">
        <v>0</v>
      </c>
      <c r="F171" s="233"/>
      <c r="G171" s="233"/>
      <c r="H171" s="233"/>
      <c r="I171" s="233"/>
      <c r="J171" s="265">
        <v>815.77020000000005</v>
      </c>
      <c r="K171" s="264"/>
      <c r="L171" s="280" t="s">
        <v>79</v>
      </c>
      <c r="M171" s="284"/>
    </row>
    <row r="172" spans="1:13" s="285" customFormat="1" ht="11.25" hidden="1" x14ac:dyDescent="0.2">
      <c r="A172" s="297">
        <v>60.655999999999999</v>
      </c>
      <c r="B172" s="343"/>
      <c r="C172" s="282"/>
      <c r="D172" s="298">
        <v>775.57729400000005</v>
      </c>
      <c r="E172" s="265">
        <v>1E-3</v>
      </c>
      <c r="F172" s="233"/>
      <c r="G172" s="233"/>
      <c r="H172" s="233"/>
      <c r="I172" s="233"/>
      <c r="J172" s="265">
        <v>1074.0551</v>
      </c>
      <c r="K172" s="264"/>
      <c r="L172" s="280" t="s">
        <v>80</v>
      </c>
      <c r="M172" s="284"/>
    </row>
    <row r="173" spans="1:13" s="285" customFormat="1" ht="11.25" hidden="1" x14ac:dyDescent="0.2">
      <c r="A173" s="297">
        <f>SUM(A170:A172)</f>
        <v>405.87900000000002</v>
      </c>
      <c r="B173" s="343"/>
      <c r="C173" s="282"/>
      <c r="D173" s="298">
        <f>SUM(D170:D172)</f>
        <v>1976.9173500000002</v>
      </c>
      <c r="E173" s="265">
        <f>SUM(E170:E172)</f>
        <v>1E-3</v>
      </c>
      <c r="F173" s="233"/>
      <c r="G173" s="233"/>
      <c r="H173" s="233"/>
      <c r="I173" s="233"/>
      <c r="J173" s="265">
        <f>SUM(J170:J172)</f>
        <v>2791.4216000000001</v>
      </c>
      <c r="K173" s="264"/>
      <c r="L173" s="280" t="s">
        <v>53</v>
      </c>
      <c r="M173" s="284">
        <v>2015</v>
      </c>
    </row>
    <row r="174" spans="1:13" s="285" customFormat="1" ht="11.25" hidden="1" x14ac:dyDescent="0.2">
      <c r="A174" s="297">
        <v>0.12265</v>
      </c>
      <c r="B174" s="343"/>
      <c r="C174" s="282"/>
      <c r="D174" s="298">
        <v>565.59638399999994</v>
      </c>
      <c r="E174" s="265">
        <v>0.34</v>
      </c>
      <c r="F174" s="233"/>
      <c r="G174" s="233"/>
      <c r="H174" s="233"/>
      <c r="I174" s="233"/>
      <c r="J174" s="265">
        <v>837.52380000000005</v>
      </c>
      <c r="K174" s="264"/>
      <c r="L174" s="280" t="s">
        <v>68</v>
      </c>
      <c r="M174" s="284"/>
    </row>
    <row r="175" spans="1:13" s="285" customFormat="1" ht="11.25" hidden="1" x14ac:dyDescent="0.2">
      <c r="A175" s="297">
        <v>0.214</v>
      </c>
      <c r="B175" s="343"/>
      <c r="C175" s="282"/>
      <c r="D175" s="298">
        <v>802.06216700000004</v>
      </c>
      <c r="E175" s="265">
        <v>1.05</v>
      </c>
      <c r="F175" s="233"/>
      <c r="G175" s="233"/>
      <c r="H175" s="233"/>
      <c r="I175" s="233"/>
      <c r="J175" s="265">
        <v>864.19579999999996</v>
      </c>
      <c r="K175" s="264"/>
      <c r="L175" s="280" t="s">
        <v>82</v>
      </c>
      <c r="M175" s="284"/>
    </row>
    <row r="176" spans="1:13" s="285" customFormat="1" ht="11.25" hidden="1" x14ac:dyDescent="0.2">
      <c r="A176" s="297">
        <v>207.46899999999999</v>
      </c>
      <c r="B176" s="343"/>
      <c r="C176" s="282"/>
      <c r="D176" s="298">
        <v>737.48818500000004</v>
      </c>
      <c r="E176" s="265">
        <v>3.03</v>
      </c>
      <c r="F176" s="233"/>
      <c r="G176" s="233"/>
      <c r="H176" s="233"/>
      <c r="I176" s="233"/>
      <c r="J176" s="265">
        <v>809.44899999999996</v>
      </c>
      <c r="K176" s="264"/>
      <c r="L176" s="280" t="s">
        <v>83</v>
      </c>
      <c r="M176" s="284"/>
    </row>
    <row r="177" spans="1:13" s="285" customFormat="1" ht="11.25" hidden="1" x14ac:dyDescent="0.2">
      <c r="A177" s="297">
        <f>SUM(A174:A176)</f>
        <v>207.80564999999999</v>
      </c>
      <c r="B177" s="343"/>
      <c r="C177" s="282"/>
      <c r="D177" s="298">
        <f>SUM(D174:D176)</f>
        <v>2105.1467360000001</v>
      </c>
      <c r="E177" s="265">
        <f>SUM(E174:E176)</f>
        <v>4.42</v>
      </c>
      <c r="F177" s="233"/>
      <c r="G177" s="233"/>
      <c r="H177" s="233"/>
      <c r="I177" s="233"/>
      <c r="J177" s="265">
        <f>SUM(J174:J176)</f>
        <v>2511.1686</v>
      </c>
      <c r="K177" s="264"/>
      <c r="L177" s="280" t="s">
        <v>54</v>
      </c>
      <c r="M177" s="284"/>
    </row>
    <row r="178" spans="1:13" s="285" customFormat="1" ht="11.25" hidden="1" x14ac:dyDescent="0.2">
      <c r="A178" s="297">
        <v>290.94099999999997</v>
      </c>
      <c r="B178" s="343"/>
      <c r="C178" s="282"/>
      <c r="D178" s="303">
        <v>667.23022100000003</v>
      </c>
      <c r="E178" s="265">
        <v>0</v>
      </c>
      <c r="F178" s="233"/>
      <c r="G178" s="233"/>
      <c r="H178" s="233"/>
      <c r="I178" s="233"/>
      <c r="J178" s="265">
        <v>850.85569999999996</v>
      </c>
      <c r="K178" s="264"/>
      <c r="L178" s="280" t="s">
        <v>85</v>
      </c>
      <c r="M178" s="284"/>
    </row>
    <row r="179" spans="1:13" s="285" customFormat="1" ht="11.25" hidden="1" x14ac:dyDescent="0.2">
      <c r="A179" s="297">
        <v>225.637</v>
      </c>
      <c r="B179" s="343"/>
      <c r="C179" s="282"/>
      <c r="D179" s="303">
        <v>607.15200000000004</v>
      </c>
      <c r="E179" s="265">
        <v>0</v>
      </c>
      <c r="F179" s="233"/>
      <c r="G179" s="233"/>
      <c r="H179" s="233"/>
      <c r="I179" s="233"/>
      <c r="J179" s="265">
        <v>755.87969999999996</v>
      </c>
      <c r="K179" s="264"/>
      <c r="L179" s="280" t="s">
        <v>86</v>
      </c>
      <c r="M179" s="284"/>
    </row>
    <row r="180" spans="1:13" s="285" customFormat="1" ht="11.25" hidden="1" x14ac:dyDescent="0.2">
      <c r="A180" s="297">
        <v>83.691999999999993</v>
      </c>
      <c r="B180" s="343"/>
      <c r="C180" s="282"/>
      <c r="D180" s="303">
        <v>610.65578800000003</v>
      </c>
      <c r="E180" s="265">
        <v>1.2889999999999999</v>
      </c>
      <c r="F180" s="233"/>
      <c r="G180" s="233"/>
      <c r="H180" s="233"/>
      <c r="I180" s="233"/>
      <c r="J180" s="265">
        <v>780.51689999999996</v>
      </c>
      <c r="K180" s="264"/>
      <c r="L180" s="280" t="s">
        <v>87</v>
      </c>
      <c r="M180" s="284"/>
    </row>
    <row r="181" spans="1:13" s="285" customFormat="1" ht="11.25" hidden="1" x14ac:dyDescent="0.2">
      <c r="A181" s="297">
        <f>SUM(A178:A180)</f>
        <v>600.27</v>
      </c>
      <c r="B181" s="343"/>
      <c r="C181" s="282"/>
      <c r="D181" s="303">
        <f>SUM(D178:D180)</f>
        <v>1885.0380090000001</v>
      </c>
      <c r="E181" s="265">
        <f>SUM(E178:E180)</f>
        <v>1.2889999999999999</v>
      </c>
      <c r="F181" s="233"/>
      <c r="G181" s="233"/>
      <c r="H181" s="233"/>
      <c r="I181" s="233"/>
      <c r="J181" s="265">
        <f>SUM(J178:J180)</f>
        <v>2387.2523000000001</v>
      </c>
      <c r="K181" s="264"/>
      <c r="L181" s="280" t="s">
        <v>55</v>
      </c>
      <c r="M181" s="284"/>
    </row>
    <row r="182" spans="1:13" s="285" customFormat="1" ht="11.25" hidden="1" x14ac:dyDescent="0.2">
      <c r="A182" s="297">
        <v>226.16499999999999</v>
      </c>
      <c r="B182" s="343"/>
      <c r="C182" s="282"/>
      <c r="D182" s="303">
        <v>595.238921</v>
      </c>
      <c r="E182" s="265">
        <v>0</v>
      </c>
      <c r="F182" s="233"/>
      <c r="G182" s="233"/>
      <c r="H182" s="233"/>
      <c r="I182" s="233"/>
      <c r="J182" s="265">
        <v>839.43870000000004</v>
      </c>
      <c r="K182" s="264"/>
      <c r="L182" s="280" t="s">
        <v>89</v>
      </c>
      <c r="M182" s="284"/>
    </row>
    <row r="183" spans="1:13" s="285" customFormat="1" ht="11.25" hidden="1" x14ac:dyDescent="0.2">
      <c r="A183" s="297">
        <v>216.78200000000001</v>
      </c>
      <c r="B183" s="343"/>
      <c r="C183" s="282"/>
      <c r="D183" s="303">
        <v>663.30924600000003</v>
      </c>
      <c r="E183" s="265">
        <v>0</v>
      </c>
      <c r="F183" s="233"/>
      <c r="G183" s="233"/>
      <c r="H183" s="233"/>
      <c r="I183" s="233"/>
      <c r="J183" s="265">
        <v>882.70270000000005</v>
      </c>
      <c r="K183" s="264"/>
      <c r="L183" s="280" t="s">
        <v>90</v>
      </c>
      <c r="M183" s="284"/>
    </row>
    <row r="184" spans="1:13" s="285" customFormat="1" ht="11.25" hidden="1" x14ac:dyDescent="0.2">
      <c r="A184" s="297">
        <v>234.37100000000001</v>
      </c>
      <c r="B184" s="343"/>
      <c r="C184" s="282"/>
      <c r="D184" s="303">
        <v>723.00117699999998</v>
      </c>
      <c r="E184" s="265">
        <v>0</v>
      </c>
      <c r="F184" s="233"/>
      <c r="G184" s="233"/>
      <c r="H184" s="233"/>
      <c r="I184" s="233"/>
      <c r="J184" s="265">
        <v>915.33939999999996</v>
      </c>
      <c r="K184" s="264"/>
      <c r="L184" s="280" t="s">
        <v>91</v>
      </c>
      <c r="M184" s="284"/>
    </row>
    <row r="185" spans="1:13" s="285" customFormat="1" ht="11.25" hidden="1" x14ac:dyDescent="0.2">
      <c r="A185" s="297">
        <f>SUM(A182:A184)</f>
        <v>677.31799999999998</v>
      </c>
      <c r="B185" s="343"/>
      <c r="C185" s="282"/>
      <c r="D185" s="303">
        <f>SUM(D182:D184)</f>
        <v>1981.549344</v>
      </c>
      <c r="E185" s="265">
        <f>SUM(E182:E184)</f>
        <v>0</v>
      </c>
      <c r="F185" s="233"/>
      <c r="G185" s="233"/>
      <c r="H185" s="233"/>
      <c r="I185" s="233"/>
      <c r="J185" s="265">
        <f>SUM(J182:J184)</f>
        <v>2637.4807999999998</v>
      </c>
      <c r="K185" s="264"/>
      <c r="L185" s="280" t="s">
        <v>56</v>
      </c>
      <c r="M185" s="284"/>
    </row>
    <row r="186" spans="1:13" s="285" customFormat="1" ht="11.25" hidden="1" x14ac:dyDescent="0.2">
      <c r="A186" s="292"/>
      <c r="B186" s="342"/>
      <c r="C186" s="282"/>
      <c r="D186" s="304"/>
      <c r="E186" s="295"/>
      <c r="F186" s="233"/>
      <c r="G186" s="233"/>
      <c r="H186" s="233"/>
      <c r="I186" s="233"/>
      <c r="J186" s="295"/>
      <c r="K186" s="264"/>
      <c r="L186" s="280"/>
      <c r="M186" s="284"/>
    </row>
    <row r="187" spans="1:13" s="285" customFormat="1" ht="11.25" hidden="1" x14ac:dyDescent="0.2">
      <c r="A187" s="297">
        <v>48.98</v>
      </c>
      <c r="B187" s="343"/>
      <c r="C187" s="282"/>
      <c r="D187" s="303">
        <v>701.59556299999997</v>
      </c>
      <c r="E187" s="265">
        <v>0</v>
      </c>
      <c r="F187" s="233"/>
      <c r="G187" s="233"/>
      <c r="H187" s="233"/>
      <c r="I187" s="233"/>
      <c r="J187" s="265">
        <v>908.78420000000006</v>
      </c>
      <c r="K187" s="264">
        <f t="shared" ref="K187:K202" si="6">J187+E187+D187+A187</f>
        <v>1659.3597629999999</v>
      </c>
      <c r="L187" s="280" t="s">
        <v>78</v>
      </c>
      <c r="M187" s="284">
        <v>2016</v>
      </c>
    </row>
    <row r="188" spans="1:13" s="285" customFormat="1" ht="11.25" hidden="1" x14ac:dyDescent="0.2">
      <c r="A188" s="297">
        <v>22.42</v>
      </c>
      <c r="B188" s="343"/>
      <c r="C188" s="282"/>
      <c r="D188" s="303">
        <v>616.37804300000005</v>
      </c>
      <c r="E188" s="265">
        <v>0</v>
      </c>
      <c r="F188" s="233"/>
      <c r="G188" s="233"/>
      <c r="H188" s="233"/>
      <c r="I188" s="233"/>
      <c r="J188" s="265">
        <v>894.63679999999999</v>
      </c>
      <c r="K188" s="264">
        <f t="shared" si="6"/>
        <v>1533.434843</v>
      </c>
      <c r="L188" s="280" t="s">
        <v>79</v>
      </c>
      <c r="M188" s="284"/>
    </row>
    <row r="189" spans="1:13" s="285" customFormat="1" ht="11.25" hidden="1" x14ac:dyDescent="0.2">
      <c r="A189" s="297">
        <v>60</v>
      </c>
      <c r="B189" s="343"/>
      <c r="C189" s="282"/>
      <c r="D189" s="303">
        <v>810.697048</v>
      </c>
      <c r="E189" s="265">
        <v>0.28599999999999998</v>
      </c>
      <c r="F189" s="233"/>
      <c r="G189" s="233"/>
      <c r="H189" s="233"/>
      <c r="I189" s="233"/>
      <c r="J189" s="265">
        <v>942.87080000000003</v>
      </c>
      <c r="K189" s="264">
        <f t="shared" si="6"/>
        <v>1813.853848</v>
      </c>
      <c r="L189" s="280" t="s">
        <v>80</v>
      </c>
      <c r="M189" s="284"/>
    </row>
    <row r="190" spans="1:13" s="285" customFormat="1" ht="11.25" hidden="1" x14ac:dyDescent="0.2">
      <c r="A190" s="297">
        <f>SUM(A187:A189)</f>
        <v>131.4</v>
      </c>
      <c r="B190" s="343"/>
      <c r="C190" s="282"/>
      <c r="D190" s="303">
        <f>SUM(D187:D189)</f>
        <v>2128.670654</v>
      </c>
      <c r="E190" s="265">
        <f>SUM(E187:E189)</f>
        <v>0.28599999999999998</v>
      </c>
      <c r="F190" s="233"/>
      <c r="G190" s="233"/>
      <c r="H190" s="233"/>
      <c r="I190" s="233"/>
      <c r="J190" s="265">
        <f>SUM(J187:J189)</f>
        <v>2746.2918</v>
      </c>
      <c r="K190" s="264">
        <f t="shared" si="6"/>
        <v>5006.6484540000001</v>
      </c>
      <c r="L190" s="280" t="s">
        <v>53</v>
      </c>
      <c r="M190" s="284">
        <v>2016</v>
      </c>
    </row>
    <row r="191" spans="1:13" s="285" customFormat="1" ht="11.25" hidden="1" x14ac:dyDescent="0.2">
      <c r="A191" s="297">
        <v>112.496</v>
      </c>
      <c r="B191" s="343"/>
      <c r="C191" s="282"/>
      <c r="D191" s="303">
        <v>758.61110099999996</v>
      </c>
      <c r="E191" s="265">
        <v>0</v>
      </c>
      <c r="F191" s="233"/>
      <c r="G191" s="233"/>
      <c r="H191" s="233"/>
      <c r="I191" s="233"/>
      <c r="J191" s="265">
        <v>834.35170000000005</v>
      </c>
      <c r="K191" s="264">
        <f t="shared" si="6"/>
        <v>1705.4588010000002</v>
      </c>
      <c r="L191" s="280" t="s">
        <v>68</v>
      </c>
      <c r="M191" s="284"/>
    </row>
    <row r="192" spans="1:13" s="285" customFormat="1" ht="11.25" hidden="1" x14ac:dyDescent="0.2">
      <c r="A192" s="297">
        <v>64.428261000000006</v>
      </c>
      <c r="B192" s="343"/>
      <c r="C192" s="282"/>
      <c r="D192" s="303">
        <v>868.15427599999998</v>
      </c>
      <c r="E192" s="265">
        <v>0</v>
      </c>
      <c r="F192" s="233"/>
      <c r="G192" s="233"/>
      <c r="H192" s="233"/>
      <c r="I192" s="233"/>
      <c r="J192" s="265">
        <v>977.23130000000003</v>
      </c>
      <c r="K192" s="264">
        <f t="shared" si="6"/>
        <v>1909.8138370000001</v>
      </c>
      <c r="L192" s="280" t="s">
        <v>82</v>
      </c>
      <c r="M192" s="284"/>
    </row>
    <row r="193" spans="1:13" s="285" customFormat="1" ht="11.25" hidden="1" x14ac:dyDescent="0.2">
      <c r="A193" s="297">
        <v>91.042000000000002</v>
      </c>
      <c r="B193" s="343"/>
      <c r="C193" s="282"/>
      <c r="D193" s="303">
        <v>835.06733999999994</v>
      </c>
      <c r="E193" s="265">
        <v>0</v>
      </c>
      <c r="F193" s="233"/>
      <c r="G193" s="233"/>
      <c r="H193" s="233"/>
      <c r="I193" s="233"/>
      <c r="J193" s="265">
        <v>853.56640000000004</v>
      </c>
      <c r="K193" s="264">
        <f t="shared" si="6"/>
        <v>1779.6757399999999</v>
      </c>
      <c r="L193" s="280" t="s">
        <v>83</v>
      </c>
      <c r="M193" s="284"/>
    </row>
    <row r="194" spans="1:13" s="285" customFormat="1" ht="11.25" hidden="1" x14ac:dyDescent="0.2">
      <c r="A194" s="297">
        <f>SUM(A191:A193)</f>
        <v>267.96626100000003</v>
      </c>
      <c r="B194" s="343"/>
      <c r="C194" s="282"/>
      <c r="D194" s="303">
        <f>SUM(D191:D193)</f>
        <v>2461.8327169999998</v>
      </c>
      <c r="E194" s="265">
        <f>SUM(E191:E193)</f>
        <v>0</v>
      </c>
      <c r="F194" s="233"/>
      <c r="G194" s="233"/>
      <c r="H194" s="233"/>
      <c r="I194" s="233"/>
      <c r="J194" s="265">
        <f>SUM(J191:J193)</f>
        <v>2665.1494000000002</v>
      </c>
      <c r="K194" s="264">
        <f t="shared" si="6"/>
        <v>5394.9483779999991</v>
      </c>
      <c r="L194" s="280" t="s">
        <v>54</v>
      </c>
      <c r="M194" s="284"/>
    </row>
    <row r="195" spans="1:13" s="285" customFormat="1" ht="11.25" hidden="1" x14ac:dyDescent="0.2">
      <c r="A195" s="297">
        <v>205.286</v>
      </c>
      <c r="B195" s="343"/>
      <c r="C195" s="282"/>
      <c r="D195" s="303">
        <v>714.00382999999999</v>
      </c>
      <c r="E195" s="265">
        <v>2</v>
      </c>
      <c r="F195" s="233"/>
      <c r="G195" s="233"/>
      <c r="H195" s="233"/>
      <c r="I195" s="233"/>
      <c r="J195" s="265">
        <v>741.73440000000005</v>
      </c>
      <c r="K195" s="264">
        <f t="shared" si="6"/>
        <v>1663.02423</v>
      </c>
      <c r="L195" s="280" t="s">
        <v>85</v>
      </c>
      <c r="M195" s="284"/>
    </row>
    <row r="196" spans="1:13" s="285" customFormat="1" ht="11.25" hidden="1" x14ac:dyDescent="0.2">
      <c r="A196" s="297">
        <v>282.37700000000001</v>
      </c>
      <c r="B196" s="343"/>
      <c r="C196" s="282"/>
      <c r="D196" s="303">
        <v>720.88865299999998</v>
      </c>
      <c r="E196" s="265">
        <v>0</v>
      </c>
      <c r="F196" s="233"/>
      <c r="G196" s="233"/>
      <c r="H196" s="233"/>
      <c r="I196" s="233"/>
      <c r="J196" s="265">
        <v>672.44569999999999</v>
      </c>
      <c r="K196" s="264">
        <f t="shared" si="6"/>
        <v>1675.7113529999999</v>
      </c>
      <c r="L196" s="280" t="s">
        <v>86</v>
      </c>
      <c r="M196" s="284"/>
    </row>
    <row r="197" spans="1:13" s="285" customFormat="1" ht="11.25" hidden="1" x14ac:dyDescent="0.2">
      <c r="A197" s="297">
        <v>259.911</v>
      </c>
      <c r="B197" s="343"/>
      <c r="C197" s="282"/>
      <c r="D197" s="303">
        <v>677.34071500000005</v>
      </c>
      <c r="E197" s="265">
        <v>5.0999999999999997E-2</v>
      </c>
      <c r="F197" s="233"/>
      <c r="G197" s="233"/>
      <c r="H197" s="233"/>
      <c r="I197" s="233"/>
      <c r="J197" s="265">
        <v>670.23800000000006</v>
      </c>
      <c r="K197" s="264">
        <f t="shared" si="6"/>
        <v>1607.5407150000001</v>
      </c>
      <c r="L197" s="280" t="s">
        <v>87</v>
      </c>
      <c r="M197" s="284"/>
    </row>
    <row r="198" spans="1:13" s="285" customFormat="1" ht="11.25" hidden="1" x14ac:dyDescent="0.2">
      <c r="A198" s="297">
        <f>SUM(A195:A197)</f>
        <v>747.57400000000007</v>
      </c>
      <c r="B198" s="343"/>
      <c r="C198" s="282"/>
      <c r="D198" s="303">
        <f>SUM(D195:D197)</f>
        <v>2112.2331979999999</v>
      </c>
      <c r="E198" s="265">
        <f>SUM(E195:E197)</f>
        <v>2.0510000000000002</v>
      </c>
      <c r="F198" s="233"/>
      <c r="G198" s="233"/>
      <c r="H198" s="233"/>
      <c r="I198" s="233"/>
      <c r="J198" s="265">
        <f>SUM(J195:J197)</f>
        <v>2084.4180999999999</v>
      </c>
      <c r="K198" s="264">
        <f t="shared" si="6"/>
        <v>4946.2762980000007</v>
      </c>
      <c r="L198" s="280" t="s">
        <v>55</v>
      </c>
      <c r="M198" s="284"/>
    </row>
    <row r="199" spans="1:13" s="285" customFormat="1" ht="11.25" hidden="1" x14ac:dyDescent="0.2">
      <c r="A199" s="297">
        <v>138.01</v>
      </c>
      <c r="B199" s="343"/>
      <c r="C199" s="282"/>
      <c r="D199" s="303">
        <v>504.89150000000001</v>
      </c>
      <c r="E199" s="265">
        <v>0</v>
      </c>
      <c r="F199" s="233"/>
      <c r="G199" s="233"/>
      <c r="H199" s="233"/>
      <c r="I199" s="233"/>
      <c r="J199" s="265">
        <v>766.4348</v>
      </c>
      <c r="K199" s="264">
        <f t="shared" si="6"/>
        <v>1409.3362999999999</v>
      </c>
      <c r="L199" s="280" t="s">
        <v>89</v>
      </c>
      <c r="M199" s="284"/>
    </row>
    <row r="200" spans="1:13" s="285" customFormat="1" ht="11.25" hidden="1" x14ac:dyDescent="0.2">
      <c r="A200" s="297">
        <v>305.95499999999998</v>
      </c>
      <c r="B200" s="343"/>
      <c r="C200" s="282"/>
      <c r="D200" s="303">
        <v>777.33600000000001</v>
      </c>
      <c r="E200" s="265">
        <v>0</v>
      </c>
      <c r="F200" s="233"/>
      <c r="G200" s="233"/>
      <c r="H200" s="233"/>
      <c r="I200" s="233"/>
      <c r="J200" s="265">
        <v>937.44489999999996</v>
      </c>
      <c r="K200" s="264">
        <f t="shared" si="6"/>
        <v>2020.7358999999999</v>
      </c>
      <c r="L200" s="280" t="s">
        <v>90</v>
      </c>
      <c r="M200" s="284"/>
    </row>
    <row r="201" spans="1:13" s="285" customFormat="1" ht="11.25" hidden="1" x14ac:dyDescent="0.2">
      <c r="A201" s="297">
        <v>300.21800000000002</v>
      </c>
      <c r="B201" s="343"/>
      <c r="C201" s="282"/>
      <c r="D201" s="303">
        <v>709.16049999999996</v>
      </c>
      <c r="E201" s="265">
        <v>0</v>
      </c>
      <c r="F201" s="233"/>
      <c r="G201" s="233"/>
      <c r="H201" s="233"/>
      <c r="I201" s="233"/>
      <c r="J201" s="265">
        <v>950.24659999999994</v>
      </c>
      <c r="K201" s="264">
        <f t="shared" si="6"/>
        <v>1959.6251</v>
      </c>
      <c r="L201" s="280" t="s">
        <v>91</v>
      </c>
      <c r="M201" s="284"/>
    </row>
    <row r="202" spans="1:13" s="285" customFormat="1" ht="11.25" hidden="1" x14ac:dyDescent="0.2">
      <c r="A202" s="297">
        <f>SUM(A199:A201)</f>
        <v>744.18299999999999</v>
      </c>
      <c r="B202" s="343"/>
      <c r="C202" s="282"/>
      <c r="D202" s="303">
        <f>SUM(D199:D201)</f>
        <v>1991.3879999999999</v>
      </c>
      <c r="E202" s="265">
        <f>SUM(E199:E201)</f>
        <v>0</v>
      </c>
      <c r="F202" s="233"/>
      <c r="G202" s="233"/>
      <c r="H202" s="233"/>
      <c r="I202" s="233"/>
      <c r="J202" s="265">
        <f>SUM(J199:J201)</f>
        <v>2654.1262999999999</v>
      </c>
      <c r="K202" s="264">
        <f t="shared" si="6"/>
        <v>5389.6972999999998</v>
      </c>
      <c r="L202" s="280" t="s">
        <v>56</v>
      </c>
      <c r="M202" s="284"/>
    </row>
    <row r="203" spans="1:13" s="285" customFormat="1" ht="11.25" hidden="1" x14ac:dyDescent="0.2">
      <c r="A203" s="292"/>
      <c r="B203" s="342"/>
      <c r="C203" s="282"/>
      <c r="D203" s="304"/>
      <c r="E203" s="295"/>
      <c r="F203" s="233"/>
      <c r="G203" s="233"/>
      <c r="H203" s="233"/>
      <c r="I203" s="233"/>
      <c r="J203" s="295"/>
      <c r="K203" s="264"/>
      <c r="L203" s="280"/>
      <c r="M203" s="284"/>
    </row>
    <row r="204" spans="1:13" s="65" customFormat="1" ht="11.25" hidden="1" x14ac:dyDescent="0.2">
      <c r="A204" s="213">
        <v>96.159454999999994</v>
      </c>
      <c r="B204" s="130"/>
      <c r="C204" s="86"/>
      <c r="D204" s="244">
        <v>722.39970000000005</v>
      </c>
      <c r="E204" s="127">
        <v>0</v>
      </c>
      <c r="F204" s="195"/>
      <c r="G204" s="195"/>
      <c r="H204" s="195"/>
      <c r="I204" s="195"/>
      <c r="J204" s="127">
        <v>893.26969999999994</v>
      </c>
      <c r="K204" s="197">
        <f t="shared" ref="K204:K219" si="7">J204+E204+D204+A204</f>
        <v>1711.828855</v>
      </c>
      <c r="L204" s="88" t="s">
        <v>78</v>
      </c>
      <c r="M204" s="87">
        <v>2017</v>
      </c>
    </row>
    <row r="205" spans="1:13" s="65" customFormat="1" ht="11.25" hidden="1" x14ac:dyDescent="0.2">
      <c r="A205" s="213">
        <v>75.149000000000001</v>
      </c>
      <c r="B205" s="130"/>
      <c r="C205" s="86"/>
      <c r="D205" s="244">
        <v>697.36559999999997</v>
      </c>
      <c r="E205" s="127">
        <v>0.13600000000000001</v>
      </c>
      <c r="F205" s="195"/>
      <c r="G205" s="195"/>
      <c r="H205" s="195"/>
      <c r="I205" s="195"/>
      <c r="J205" s="127">
        <v>775.39599999999996</v>
      </c>
      <c r="K205" s="197">
        <f t="shared" si="7"/>
        <v>1548.0465999999997</v>
      </c>
      <c r="L205" s="88" t="s">
        <v>79</v>
      </c>
      <c r="M205" s="87"/>
    </row>
    <row r="206" spans="1:13" s="65" customFormat="1" ht="11.25" hidden="1" x14ac:dyDescent="0.2">
      <c r="A206" s="213">
        <v>73.200999999999993</v>
      </c>
      <c r="B206" s="130"/>
      <c r="C206" s="86"/>
      <c r="D206" s="244">
        <v>821.21889999999996</v>
      </c>
      <c r="E206" s="127">
        <v>0</v>
      </c>
      <c r="F206" s="195"/>
      <c r="G206" s="195"/>
      <c r="H206" s="195"/>
      <c r="I206" s="195"/>
      <c r="J206" s="127">
        <v>897.11739999999998</v>
      </c>
      <c r="K206" s="197">
        <f t="shared" si="7"/>
        <v>1791.5373</v>
      </c>
      <c r="L206" s="88" t="s">
        <v>80</v>
      </c>
      <c r="M206" s="87"/>
    </row>
    <row r="207" spans="1:13" s="65" customFormat="1" ht="11.25" hidden="1" x14ac:dyDescent="0.2">
      <c r="A207" s="214">
        <f>SUM(A204:A206)</f>
        <v>244.50945499999997</v>
      </c>
      <c r="B207" s="145"/>
      <c r="C207" s="86"/>
      <c r="D207" s="243">
        <f>SUM(D204:D206)</f>
        <v>2240.9841999999999</v>
      </c>
      <c r="E207" s="144">
        <f>SUM(E204:E206)</f>
        <v>0.13600000000000001</v>
      </c>
      <c r="F207" s="195"/>
      <c r="G207" s="195"/>
      <c r="H207" s="195"/>
      <c r="I207" s="195"/>
      <c r="J207" s="144">
        <f>SUM(J204:J206)</f>
        <v>2565.7831000000001</v>
      </c>
      <c r="K207" s="197">
        <f t="shared" si="7"/>
        <v>5051.4127550000003</v>
      </c>
      <c r="L207" s="88" t="s">
        <v>53</v>
      </c>
      <c r="M207" s="87">
        <v>2017</v>
      </c>
    </row>
    <row r="208" spans="1:13" s="65" customFormat="1" ht="11.25" hidden="1" x14ac:dyDescent="0.2">
      <c r="A208" s="214">
        <v>108.42400000000001</v>
      </c>
      <c r="B208" s="145"/>
      <c r="C208" s="86"/>
      <c r="D208" s="243">
        <v>689.80955500000005</v>
      </c>
      <c r="E208" s="144">
        <v>0</v>
      </c>
      <c r="F208" s="195"/>
      <c r="G208" s="195"/>
      <c r="H208" s="195"/>
      <c r="I208" s="195"/>
      <c r="J208" s="144">
        <v>968.95339999999999</v>
      </c>
      <c r="K208" s="197">
        <f t="shared" si="7"/>
        <v>1767.1869550000001</v>
      </c>
      <c r="L208" s="88" t="s">
        <v>68</v>
      </c>
      <c r="M208" s="87"/>
    </row>
    <row r="209" spans="1:13" s="65" customFormat="1" ht="11.25" hidden="1" x14ac:dyDescent="0.2">
      <c r="A209" s="214">
        <v>181.227</v>
      </c>
      <c r="B209" s="145"/>
      <c r="C209" s="86"/>
      <c r="D209" s="243">
        <v>707.90980000000002</v>
      </c>
      <c r="E209" s="144">
        <v>0</v>
      </c>
      <c r="F209" s="195"/>
      <c r="G209" s="195"/>
      <c r="H209" s="195"/>
      <c r="I209" s="195"/>
      <c r="J209" s="144">
        <v>882.44970000000001</v>
      </c>
      <c r="K209" s="197">
        <f t="shared" si="7"/>
        <v>1771.5865000000001</v>
      </c>
      <c r="L209" s="88" t="s">
        <v>82</v>
      </c>
      <c r="M209" s="87"/>
    </row>
    <row r="210" spans="1:13" s="65" customFormat="1" ht="11.25" hidden="1" x14ac:dyDescent="0.2">
      <c r="A210" s="214">
        <v>205.19300000000001</v>
      </c>
      <c r="B210" s="145"/>
      <c r="C210" s="86"/>
      <c r="D210" s="243">
        <v>725.58420000000001</v>
      </c>
      <c r="E210" s="144">
        <v>0</v>
      </c>
      <c r="F210" s="195"/>
      <c r="G210" s="195"/>
      <c r="H210" s="195"/>
      <c r="I210" s="195"/>
      <c r="J210" s="144">
        <v>874.11940000000004</v>
      </c>
      <c r="K210" s="197">
        <f t="shared" si="7"/>
        <v>1804.8966</v>
      </c>
      <c r="L210" s="88" t="s">
        <v>83</v>
      </c>
      <c r="M210" s="87"/>
    </row>
    <row r="211" spans="1:13" s="65" customFormat="1" ht="11.25" hidden="1" x14ac:dyDescent="0.2">
      <c r="A211" s="214">
        <f>SUM(A208:A210)</f>
        <v>494.84400000000005</v>
      </c>
      <c r="B211" s="145"/>
      <c r="C211" s="86"/>
      <c r="D211" s="243">
        <f>SUM(D208:D210)</f>
        <v>2123.3035550000004</v>
      </c>
      <c r="E211" s="144">
        <f>SUM(E208:E210)</f>
        <v>0</v>
      </c>
      <c r="F211" s="195"/>
      <c r="G211" s="195"/>
      <c r="H211" s="195"/>
      <c r="I211" s="195"/>
      <c r="J211" s="144">
        <f>SUM(J208:J210)</f>
        <v>2725.5225</v>
      </c>
      <c r="K211" s="197">
        <f t="shared" si="7"/>
        <v>5343.6700550000005</v>
      </c>
      <c r="L211" s="88" t="s">
        <v>54</v>
      </c>
      <c r="M211" s="87"/>
    </row>
    <row r="212" spans="1:13" s="65" customFormat="1" ht="11.25" hidden="1" x14ac:dyDescent="0.2">
      <c r="A212" s="214">
        <v>248.702</v>
      </c>
      <c r="B212" s="145"/>
      <c r="C212" s="86"/>
      <c r="D212" s="243">
        <v>702.80734900000004</v>
      </c>
      <c r="E212" s="144">
        <v>0</v>
      </c>
      <c r="F212" s="195"/>
      <c r="G212" s="195"/>
      <c r="H212" s="195"/>
      <c r="I212" s="195"/>
      <c r="J212" s="144">
        <v>868.38059999999996</v>
      </c>
      <c r="K212" s="197">
        <f t="shared" si="7"/>
        <v>1819.8899490000001</v>
      </c>
      <c r="L212" s="88" t="s">
        <v>85</v>
      </c>
      <c r="M212" s="87"/>
    </row>
    <row r="213" spans="1:13" s="65" customFormat="1" ht="11.25" hidden="1" x14ac:dyDescent="0.2">
      <c r="A213" s="214">
        <v>226.01499999999999</v>
      </c>
      <c r="B213" s="145"/>
      <c r="C213" s="86"/>
      <c r="D213" s="243">
        <v>633.80255699999998</v>
      </c>
      <c r="E213" s="144">
        <v>0</v>
      </c>
      <c r="F213" s="195"/>
      <c r="G213" s="195"/>
      <c r="H213" s="195"/>
      <c r="I213" s="195"/>
      <c r="J213" s="144">
        <v>839.42600000000004</v>
      </c>
      <c r="K213" s="197">
        <f t="shared" si="7"/>
        <v>1699.2435569999998</v>
      </c>
      <c r="L213" s="88" t="s">
        <v>86</v>
      </c>
      <c r="M213" s="87"/>
    </row>
    <row r="214" spans="1:13" s="65" customFormat="1" ht="11.25" hidden="1" x14ac:dyDescent="0.2">
      <c r="A214" s="214">
        <v>126.3565</v>
      </c>
      <c r="B214" s="145"/>
      <c r="C214" s="86"/>
      <c r="D214" s="243">
        <v>609.55485999999996</v>
      </c>
      <c r="E214" s="144">
        <v>0</v>
      </c>
      <c r="F214" s="195"/>
      <c r="G214" s="195"/>
      <c r="H214" s="195"/>
      <c r="I214" s="195"/>
      <c r="J214" s="144">
        <v>783.72360000000003</v>
      </c>
      <c r="K214" s="197">
        <f t="shared" si="7"/>
        <v>1519.6349600000001</v>
      </c>
      <c r="L214" s="88" t="s">
        <v>87</v>
      </c>
      <c r="M214" s="87"/>
    </row>
    <row r="215" spans="1:13" s="65" customFormat="1" ht="11.25" hidden="1" x14ac:dyDescent="0.2">
      <c r="A215" s="214">
        <f>SUM(A212:A214)</f>
        <v>601.07349999999997</v>
      </c>
      <c r="B215" s="145"/>
      <c r="C215" s="86"/>
      <c r="D215" s="243">
        <f>SUM(D212:D214)</f>
        <v>1946.1647660000001</v>
      </c>
      <c r="E215" s="144">
        <f>SUM(E212:E214)</f>
        <v>0</v>
      </c>
      <c r="F215" s="195"/>
      <c r="G215" s="195"/>
      <c r="H215" s="195"/>
      <c r="I215" s="195"/>
      <c r="J215" s="144">
        <f>SUM(J212:J214)</f>
        <v>2491.5302000000001</v>
      </c>
      <c r="K215" s="197">
        <f t="shared" si="7"/>
        <v>5038.7684659999995</v>
      </c>
      <c r="L215" s="88" t="s">
        <v>55</v>
      </c>
      <c r="M215" s="87"/>
    </row>
    <row r="216" spans="1:13" s="65" customFormat="1" ht="11.25" hidden="1" x14ac:dyDescent="0.2">
      <c r="A216" s="214">
        <v>211.542</v>
      </c>
      <c r="B216" s="145"/>
      <c r="C216" s="86"/>
      <c r="D216" s="243">
        <v>663.49636199999998</v>
      </c>
      <c r="E216" s="144">
        <v>0</v>
      </c>
      <c r="F216" s="195"/>
      <c r="G216" s="195"/>
      <c r="H216" s="195"/>
      <c r="I216" s="195"/>
      <c r="J216" s="144">
        <v>810.82600000000002</v>
      </c>
      <c r="K216" s="197">
        <f t="shared" si="7"/>
        <v>1685.8643619999998</v>
      </c>
      <c r="L216" s="88" t="s">
        <v>89</v>
      </c>
      <c r="M216" s="87"/>
    </row>
    <row r="217" spans="1:13" s="65" customFormat="1" ht="11.25" hidden="1" x14ac:dyDescent="0.2">
      <c r="A217" s="214">
        <v>220.05799999999999</v>
      </c>
      <c r="B217" s="145"/>
      <c r="C217" s="86"/>
      <c r="D217" s="243">
        <v>729.47062400000004</v>
      </c>
      <c r="E217" s="144">
        <v>0</v>
      </c>
      <c r="F217" s="195"/>
      <c r="G217" s="195"/>
      <c r="H217" s="195"/>
      <c r="I217" s="195"/>
      <c r="J217" s="144">
        <v>764.5847</v>
      </c>
      <c r="K217" s="197">
        <f t="shared" si="7"/>
        <v>1714.1133239999999</v>
      </c>
      <c r="L217" s="88" t="s">
        <v>90</v>
      </c>
      <c r="M217" s="87"/>
    </row>
    <row r="218" spans="1:13" s="65" customFormat="1" ht="11.25" hidden="1" x14ac:dyDescent="0.2">
      <c r="A218" s="214">
        <v>246.083</v>
      </c>
      <c r="B218" s="145"/>
      <c r="C218" s="86"/>
      <c r="D218" s="243">
        <v>671.802279</v>
      </c>
      <c r="E218" s="144">
        <v>0</v>
      </c>
      <c r="F218" s="195"/>
      <c r="G218" s="195"/>
      <c r="H218" s="195"/>
      <c r="I218" s="195"/>
      <c r="J218" s="166">
        <v>754.03610000000003</v>
      </c>
      <c r="K218" s="197">
        <f t="shared" si="7"/>
        <v>1671.9213790000001</v>
      </c>
      <c r="L218" s="88" t="s">
        <v>91</v>
      </c>
      <c r="M218" s="87"/>
    </row>
    <row r="219" spans="1:13" s="65" customFormat="1" ht="11.25" hidden="1" x14ac:dyDescent="0.2">
      <c r="A219" s="214">
        <f>SUM(A216:A218)</f>
        <v>677.68299999999999</v>
      </c>
      <c r="B219" s="145"/>
      <c r="C219" s="86"/>
      <c r="D219" s="243">
        <f>SUM(D216:D218)</f>
        <v>2064.7692649999999</v>
      </c>
      <c r="E219" s="144">
        <f>SUM(E216:E218)</f>
        <v>0</v>
      </c>
      <c r="F219" s="195"/>
      <c r="G219" s="195"/>
      <c r="H219" s="195"/>
      <c r="I219" s="195"/>
      <c r="J219" s="144">
        <f>SUM(J216:J218)</f>
        <v>2329.4467999999997</v>
      </c>
      <c r="K219" s="197">
        <f t="shared" si="7"/>
        <v>5071.8990649999996</v>
      </c>
      <c r="L219" s="88" t="s">
        <v>56</v>
      </c>
      <c r="M219" s="87"/>
    </row>
    <row r="220" spans="1:13" s="65" customFormat="1" ht="11.25" hidden="1" x14ac:dyDescent="0.2">
      <c r="A220" s="213"/>
      <c r="B220" s="130"/>
      <c r="C220" s="86"/>
      <c r="D220" s="244"/>
      <c r="E220" s="127"/>
      <c r="F220" s="195"/>
      <c r="G220" s="195"/>
      <c r="H220" s="195"/>
      <c r="I220" s="195"/>
      <c r="J220" s="127"/>
      <c r="K220" s="197"/>
      <c r="L220" s="88"/>
      <c r="M220" s="87"/>
    </row>
    <row r="221" spans="1:13" s="65" customFormat="1" ht="11.25" hidden="1" x14ac:dyDescent="0.2">
      <c r="A221" s="213">
        <v>218.48400000000001</v>
      </c>
      <c r="B221" s="130"/>
      <c r="C221" s="86"/>
      <c r="D221" s="244">
        <v>594.96939599999996</v>
      </c>
      <c r="E221" s="127">
        <v>0</v>
      </c>
      <c r="F221" s="195"/>
      <c r="G221" s="195"/>
      <c r="H221" s="195"/>
      <c r="I221" s="195"/>
      <c r="J221" s="127">
        <v>971.46159999999998</v>
      </c>
      <c r="K221" s="197">
        <f t="shared" ref="K221:K236" si="8">J221+E221+D221+A221</f>
        <v>1784.914996</v>
      </c>
      <c r="L221" s="88" t="s">
        <v>78</v>
      </c>
      <c r="M221" s="87">
        <v>2018</v>
      </c>
    </row>
    <row r="222" spans="1:13" s="65" customFormat="1" ht="11.25" hidden="1" x14ac:dyDescent="0.2">
      <c r="A222" s="213">
        <v>124.40900000000001</v>
      </c>
      <c r="B222" s="130"/>
      <c r="C222" s="86"/>
      <c r="D222" s="244">
        <v>648.89732500000002</v>
      </c>
      <c r="E222" s="127">
        <v>0</v>
      </c>
      <c r="F222" s="195"/>
      <c r="G222" s="195"/>
      <c r="H222" s="195"/>
      <c r="I222" s="195"/>
      <c r="J222" s="127">
        <v>965.22630000000004</v>
      </c>
      <c r="K222" s="197">
        <f t="shared" si="8"/>
        <v>1738.5326250000003</v>
      </c>
      <c r="L222" s="88" t="s">
        <v>79</v>
      </c>
      <c r="M222" s="87"/>
    </row>
    <row r="223" spans="1:13" s="65" customFormat="1" ht="11.25" hidden="1" x14ac:dyDescent="0.2">
      <c r="A223" s="213">
        <v>79.177999999999997</v>
      </c>
      <c r="B223" s="130"/>
      <c r="C223" s="86"/>
      <c r="D223" s="244">
        <v>636.53606400000001</v>
      </c>
      <c r="E223" s="127">
        <v>0</v>
      </c>
      <c r="F223" s="195"/>
      <c r="G223" s="195"/>
      <c r="H223" s="195"/>
      <c r="I223" s="195"/>
      <c r="J223" s="158">
        <v>1010.299</v>
      </c>
      <c r="K223" s="197">
        <f t="shared" si="8"/>
        <v>1726.0130639999998</v>
      </c>
      <c r="L223" s="88" t="s">
        <v>80</v>
      </c>
      <c r="M223" s="87"/>
    </row>
    <row r="224" spans="1:13" s="65" customFormat="1" ht="11.25" hidden="1" x14ac:dyDescent="0.2">
      <c r="A224" s="214">
        <f>SUM(A221:A223)</f>
        <v>422.07100000000003</v>
      </c>
      <c r="B224" s="145"/>
      <c r="C224" s="86"/>
      <c r="D224" s="243">
        <f>SUM(D221:D223)</f>
        <v>1880.4027849999998</v>
      </c>
      <c r="E224" s="144">
        <f>SUM(E221:E223)</f>
        <v>0</v>
      </c>
      <c r="F224" s="195"/>
      <c r="G224" s="195"/>
      <c r="H224" s="195"/>
      <c r="I224" s="195"/>
      <c r="J224" s="144">
        <f>SUM(J221:J223)</f>
        <v>2946.9868999999999</v>
      </c>
      <c r="K224" s="197">
        <f t="shared" si="8"/>
        <v>5249.460685</v>
      </c>
      <c r="L224" s="88" t="s">
        <v>53</v>
      </c>
      <c r="M224" s="87">
        <v>2018</v>
      </c>
    </row>
    <row r="225" spans="1:13" s="65" customFormat="1" ht="11.25" hidden="1" x14ac:dyDescent="0.2">
      <c r="A225" s="214">
        <v>147.971</v>
      </c>
      <c r="B225" s="145"/>
      <c r="C225" s="86"/>
      <c r="D225" s="243">
        <v>601.02550799999995</v>
      </c>
      <c r="E225" s="144">
        <v>0</v>
      </c>
      <c r="F225" s="195"/>
      <c r="G225" s="195"/>
      <c r="H225" s="195"/>
      <c r="I225" s="195"/>
      <c r="J225" s="144">
        <v>1005.9646</v>
      </c>
      <c r="K225" s="197">
        <f t="shared" si="8"/>
        <v>1754.961108</v>
      </c>
      <c r="L225" s="88" t="s">
        <v>68</v>
      </c>
      <c r="M225" s="87"/>
    </row>
    <row r="226" spans="1:13" s="65" customFormat="1" ht="11.25" hidden="1" x14ac:dyDescent="0.2">
      <c r="A226" s="214">
        <v>108.434</v>
      </c>
      <c r="B226" s="145"/>
      <c r="C226" s="86"/>
      <c r="D226" s="243">
        <v>581.94009900000003</v>
      </c>
      <c r="E226" s="144">
        <v>1.534</v>
      </c>
      <c r="F226" s="195"/>
      <c r="G226" s="195"/>
      <c r="H226" s="195"/>
      <c r="I226" s="195"/>
      <c r="J226" s="144">
        <v>966.12379999999996</v>
      </c>
      <c r="K226" s="197">
        <f t="shared" si="8"/>
        <v>1658.0318989999998</v>
      </c>
      <c r="L226" s="88" t="s">
        <v>82</v>
      </c>
      <c r="M226" s="87"/>
    </row>
    <row r="227" spans="1:13" s="65" customFormat="1" ht="11.25" hidden="1" x14ac:dyDescent="0.2">
      <c r="A227" s="214">
        <v>205.029</v>
      </c>
      <c r="B227" s="145"/>
      <c r="C227" s="86"/>
      <c r="D227" s="243">
        <v>615.56810299999995</v>
      </c>
      <c r="E227" s="144">
        <v>0</v>
      </c>
      <c r="F227" s="195"/>
      <c r="G227" s="195"/>
      <c r="H227" s="195"/>
      <c r="I227" s="195"/>
      <c r="J227" s="144">
        <v>824.11199999999997</v>
      </c>
      <c r="K227" s="197">
        <f t="shared" si="8"/>
        <v>1644.7091029999999</v>
      </c>
      <c r="L227" s="88" t="s">
        <v>83</v>
      </c>
      <c r="M227" s="87"/>
    </row>
    <row r="228" spans="1:13" s="65" customFormat="1" ht="11.25" hidden="1" x14ac:dyDescent="0.2">
      <c r="A228" s="214">
        <f>SUM(A225:A227)</f>
        <v>461.43399999999997</v>
      </c>
      <c r="B228" s="145"/>
      <c r="C228" s="86"/>
      <c r="D228" s="243">
        <f>SUM(D225:D227)</f>
        <v>1798.5337100000002</v>
      </c>
      <c r="E228" s="144">
        <f>SUM(E225:E227)</f>
        <v>1.534</v>
      </c>
      <c r="F228" s="195"/>
      <c r="G228" s="195"/>
      <c r="H228" s="195"/>
      <c r="I228" s="195"/>
      <c r="J228" s="144">
        <f>SUM(J225:J227)</f>
        <v>2796.2004000000002</v>
      </c>
      <c r="K228" s="197">
        <f t="shared" si="8"/>
        <v>5057.7021100000011</v>
      </c>
      <c r="L228" s="88" t="s">
        <v>54</v>
      </c>
      <c r="M228" s="87"/>
    </row>
    <row r="229" spans="1:13" s="65" customFormat="1" ht="11.25" hidden="1" x14ac:dyDescent="0.2">
      <c r="A229" s="214">
        <v>77.965999999999994</v>
      </c>
      <c r="B229" s="145"/>
      <c r="C229" s="86"/>
      <c r="D229" s="243">
        <v>848.06997699999999</v>
      </c>
      <c r="E229" s="144">
        <v>0</v>
      </c>
      <c r="F229" s="195"/>
      <c r="G229" s="195"/>
      <c r="H229" s="195"/>
      <c r="I229" s="195"/>
      <c r="J229" s="144">
        <v>672.09280000000001</v>
      </c>
      <c r="K229" s="197">
        <f t="shared" si="8"/>
        <v>1598.1287769999999</v>
      </c>
      <c r="L229" s="88" t="s">
        <v>85</v>
      </c>
      <c r="M229" s="87"/>
    </row>
    <row r="230" spans="1:13" s="65" customFormat="1" ht="11.25" hidden="1" x14ac:dyDescent="0.2">
      <c r="A230" s="214">
        <v>204.07</v>
      </c>
      <c r="B230" s="145"/>
      <c r="C230" s="86"/>
      <c r="D230" s="243">
        <v>686.53353800000002</v>
      </c>
      <c r="E230" s="144">
        <v>0.60299999999999998</v>
      </c>
      <c r="F230" s="195"/>
      <c r="G230" s="195"/>
      <c r="H230" s="195"/>
      <c r="I230" s="195"/>
      <c r="J230" s="144">
        <v>618.58720000000005</v>
      </c>
      <c r="K230" s="197">
        <f t="shared" si="8"/>
        <v>1509.7937380000001</v>
      </c>
      <c r="L230" s="88" t="s">
        <v>86</v>
      </c>
      <c r="M230" s="87"/>
    </row>
    <row r="231" spans="1:13" s="65" customFormat="1" ht="11.25" hidden="1" x14ac:dyDescent="0.2">
      <c r="A231" s="214">
        <v>168.39599999999999</v>
      </c>
      <c r="B231" s="145"/>
      <c r="C231" s="86"/>
      <c r="D231" s="243">
        <v>453.81137999999999</v>
      </c>
      <c r="E231" s="144">
        <v>0</v>
      </c>
      <c r="F231" s="195"/>
      <c r="G231" s="195"/>
      <c r="H231" s="195"/>
      <c r="I231" s="195"/>
      <c r="J231" s="144">
        <v>766.40210000000002</v>
      </c>
      <c r="K231" s="197">
        <f t="shared" si="8"/>
        <v>1388.6094799999998</v>
      </c>
      <c r="L231" s="88" t="s">
        <v>87</v>
      </c>
      <c r="M231" s="87"/>
    </row>
    <row r="232" spans="1:13" s="65" customFormat="1" ht="11.25" hidden="1" x14ac:dyDescent="0.2">
      <c r="A232" s="214">
        <f>SUM(A229:A231)</f>
        <v>450.43200000000002</v>
      </c>
      <c r="B232" s="145"/>
      <c r="C232" s="86"/>
      <c r="D232" s="243">
        <f>SUM(D229:D231)</f>
        <v>1988.4148949999999</v>
      </c>
      <c r="E232" s="144">
        <f>SUM(E229:E231)</f>
        <v>0.60299999999999998</v>
      </c>
      <c r="F232" s="195"/>
      <c r="G232" s="195"/>
      <c r="H232" s="195"/>
      <c r="I232" s="195"/>
      <c r="J232" s="144">
        <f>SUM(J229:J231)</f>
        <v>2057.0821000000001</v>
      </c>
      <c r="K232" s="197">
        <f t="shared" si="8"/>
        <v>4496.5319950000003</v>
      </c>
      <c r="L232" s="88" t="s">
        <v>55</v>
      </c>
      <c r="M232" s="87"/>
    </row>
    <row r="233" spans="1:13" s="65" customFormat="1" ht="11.25" hidden="1" x14ac:dyDescent="0.2">
      <c r="A233" s="214">
        <v>201.41900000000001</v>
      </c>
      <c r="B233" s="145"/>
      <c r="C233" s="86"/>
      <c r="D233" s="243">
        <v>596.68189299999995</v>
      </c>
      <c r="E233" s="144">
        <v>0</v>
      </c>
      <c r="F233" s="195"/>
      <c r="G233" s="195"/>
      <c r="H233" s="195"/>
      <c r="I233" s="195"/>
      <c r="J233" s="144">
        <v>988.80340000000001</v>
      </c>
      <c r="K233" s="197">
        <f t="shared" si="8"/>
        <v>1786.9042930000001</v>
      </c>
      <c r="L233" s="88" t="s">
        <v>89</v>
      </c>
      <c r="M233" s="87"/>
    </row>
    <row r="234" spans="1:13" s="65" customFormat="1" ht="11.25" hidden="1" x14ac:dyDescent="0.2">
      <c r="A234" s="214">
        <v>262.952</v>
      </c>
      <c r="B234" s="145"/>
      <c r="C234" s="86"/>
      <c r="D234" s="243">
        <v>800.60818300000005</v>
      </c>
      <c r="E234" s="144">
        <v>0</v>
      </c>
      <c r="F234" s="195"/>
      <c r="G234" s="195"/>
      <c r="H234" s="195"/>
      <c r="I234" s="195"/>
      <c r="J234" s="144">
        <v>854.80520000000001</v>
      </c>
      <c r="K234" s="197">
        <f t="shared" si="8"/>
        <v>1918.3653830000001</v>
      </c>
      <c r="L234" s="88" t="s">
        <v>90</v>
      </c>
      <c r="M234" s="87"/>
    </row>
    <row r="235" spans="1:13" s="65" customFormat="1" ht="11.25" hidden="1" x14ac:dyDescent="0.2">
      <c r="A235" s="214">
        <v>315.95800000000003</v>
      </c>
      <c r="B235" s="145"/>
      <c r="C235" s="86"/>
      <c r="D235" s="243">
        <v>637.93574000000001</v>
      </c>
      <c r="E235" s="144">
        <v>0</v>
      </c>
      <c r="F235" s="195"/>
      <c r="G235" s="195"/>
      <c r="H235" s="195"/>
      <c r="I235" s="195"/>
      <c r="J235" s="144">
        <v>770.40030000000002</v>
      </c>
      <c r="K235" s="197">
        <f t="shared" si="8"/>
        <v>1724.2940400000002</v>
      </c>
      <c r="L235" s="88" t="s">
        <v>91</v>
      </c>
      <c r="M235" s="87"/>
    </row>
    <row r="236" spans="1:13" s="65" customFormat="1" ht="11.25" hidden="1" x14ac:dyDescent="0.2">
      <c r="A236" s="214">
        <f>SUM(A233:A235)</f>
        <v>780.32899999999995</v>
      </c>
      <c r="B236" s="145"/>
      <c r="C236" s="86"/>
      <c r="D236" s="243">
        <f>SUM(D233:D235)</f>
        <v>2035.2258160000001</v>
      </c>
      <c r="E236" s="144">
        <f>SUM(E233:E235)</f>
        <v>0</v>
      </c>
      <c r="F236" s="195"/>
      <c r="G236" s="195"/>
      <c r="H236" s="195"/>
      <c r="I236" s="195"/>
      <c r="J236" s="144">
        <f>SUM(J233:J235)</f>
        <v>2614.0088999999998</v>
      </c>
      <c r="K236" s="197">
        <f t="shared" si="8"/>
        <v>5429.5637159999997</v>
      </c>
      <c r="L236" s="88" t="s">
        <v>56</v>
      </c>
      <c r="M236" s="87"/>
    </row>
    <row r="237" spans="1:13" s="65" customFormat="1" ht="11.25" hidden="1" x14ac:dyDescent="0.2">
      <c r="A237" s="213"/>
      <c r="B237" s="130"/>
      <c r="C237" s="86"/>
      <c r="D237" s="244"/>
      <c r="E237" s="127"/>
      <c r="F237" s="195"/>
      <c r="G237" s="195"/>
      <c r="H237" s="195"/>
      <c r="I237" s="195"/>
      <c r="J237" s="127"/>
      <c r="K237" s="197"/>
      <c r="L237" s="88"/>
      <c r="M237" s="87"/>
    </row>
    <row r="238" spans="1:13" s="65" customFormat="1" ht="11.25" hidden="1" x14ac:dyDescent="0.2">
      <c r="A238" s="213">
        <v>133.77199999999999</v>
      </c>
      <c r="B238" s="130"/>
      <c r="C238" s="86"/>
      <c r="D238" s="244">
        <v>677.83357100000001</v>
      </c>
      <c r="E238" s="127">
        <v>0</v>
      </c>
      <c r="F238" s="195"/>
      <c r="G238" s="195"/>
      <c r="H238" s="195"/>
      <c r="I238" s="195"/>
      <c r="J238" s="127">
        <v>921.95450000000005</v>
      </c>
      <c r="K238" s="197">
        <f t="shared" ref="K238:K253" si="9">J238+E238+D238+A238</f>
        <v>1733.5600709999999</v>
      </c>
      <c r="L238" s="88" t="s">
        <v>78</v>
      </c>
      <c r="M238" s="87">
        <v>2019</v>
      </c>
    </row>
    <row r="239" spans="1:13" s="65" customFormat="1" ht="11.25" hidden="1" x14ac:dyDescent="0.2">
      <c r="A239" s="213">
        <v>157.79400000000001</v>
      </c>
      <c r="B239" s="130"/>
      <c r="C239" s="86"/>
      <c r="D239" s="244">
        <v>646.135715</v>
      </c>
      <c r="E239" s="127">
        <v>0</v>
      </c>
      <c r="F239" s="195"/>
      <c r="G239" s="195"/>
      <c r="H239" s="195"/>
      <c r="I239" s="195"/>
      <c r="J239" s="127">
        <v>833.31669999999997</v>
      </c>
      <c r="K239" s="197">
        <f t="shared" si="9"/>
        <v>1637.2464150000001</v>
      </c>
      <c r="L239" s="88" t="s">
        <v>79</v>
      </c>
      <c r="M239" s="87"/>
    </row>
    <row r="240" spans="1:13" s="65" customFormat="1" ht="11.25" hidden="1" x14ac:dyDescent="0.2">
      <c r="A240" s="213">
        <v>180.48400000000001</v>
      </c>
      <c r="B240" s="130"/>
      <c r="C240" s="86"/>
      <c r="D240" s="244">
        <v>682.01470200000006</v>
      </c>
      <c r="E240" s="127">
        <v>0</v>
      </c>
      <c r="F240" s="195"/>
      <c r="G240" s="195"/>
      <c r="H240" s="195"/>
      <c r="I240" s="195"/>
      <c r="J240" s="127">
        <v>966.83199999999999</v>
      </c>
      <c r="K240" s="197">
        <f t="shared" si="9"/>
        <v>1829.330702</v>
      </c>
      <c r="L240" s="88" t="s">
        <v>80</v>
      </c>
      <c r="M240" s="87"/>
    </row>
    <row r="241" spans="1:14" s="65" customFormat="1" ht="11.25" hidden="1" x14ac:dyDescent="0.2">
      <c r="A241" s="214">
        <f>SUM(A238:A240)</f>
        <v>472.05000000000007</v>
      </c>
      <c r="B241" s="145"/>
      <c r="C241" s="86"/>
      <c r="D241" s="243">
        <f>SUM(D238:D240)</f>
        <v>2005.983988</v>
      </c>
      <c r="E241" s="144">
        <f>SUM(E238:E240)</f>
        <v>0</v>
      </c>
      <c r="F241" s="195"/>
      <c r="G241" s="195"/>
      <c r="H241" s="195"/>
      <c r="I241" s="195"/>
      <c r="J241" s="144">
        <f>SUM(J238:J240)</f>
        <v>2722.1032</v>
      </c>
      <c r="K241" s="197">
        <f t="shared" si="9"/>
        <v>5200.1371879999997</v>
      </c>
      <c r="L241" s="88" t="s">
        <v>53</v>
      </c>
      <c r="M241" s="87">
        <v>2019</v>
      </c>
      <c r="N241" s="353"/>
    </row>
    <row r="242" spans="1:14" s="65" customFormat="1" ht="11.25" hidden="1" x14ac:dyDescent="0.2">
      <c r="A242" s="214">
        <v>223.25700000000001</v>
      </c>
      <c r="B242" s="145"/>
      <c r="C242" s="86"/>
      <c r="D242" s="243">
        <v>721.05800799999997</v>
      </c>
      <c r="E242" s="144">
        <v>0</v>
      </c>
      <c r="F242" s="195"/>
      <c r="G242" s="195"/>
      <c r="H242" s="195"/>
      <c r="I242" s="195"/>
      <c r="J242" s="144">
        <v>886.54629999999997</v>
      </c>
      <c r="K242" s="197">
        <f t="shared" si="9"/>
        <v>1830.861308</v>
      </c>
      <c r="L242" s="88" t="s">
        <v>68</v>
      </c>
      <c r="M242" s="87"/>
      <c r="N242" s="353"/>
    </row>
    <row r="243" spans="1:14" s="65" customFormat="1" ht="11.25" hidden="1" x14ac:dyDescent="0.2">
      <c r="A243" s="214">
        <v>121.574</v>
      </c>
      <c r="B243" s="145"/>
      <c r="C243" s="86"/>
      <c r="D243" s="243">
        <v>652.10842000000002</v>
      </c>
      <c r="E243" s="144">
        <v>0</v>
      </c>
      <c r="F243" s="195"/>
      <c r="G243" s="195"/>
      <c r="H243" s="195"/>
      <c r="I243" s="195"/>
      <c r="J243" s="144">
        <v>871.2</v>
      </c>
      <c r="K243" s="197">
        <f t="shared" si="9"/>
        <v>1644.8824200000001</v>
      </c>
      <c r="L243" s="88" t="s">
        <v>82</v>
      </c>
      <c r="M243" s="87"/>
      <c r="N243" s="353"/>
    </row>
    <row r="244" spans="1:14" s="65" customFormat="1" ht="11.25" hidden="1" x14ac:dyDescent="0.2">
      <c r="A244" s="214">
        <v>215.709</v>
      </c>
      <c r="B244" s="145"/>
      <c r="C244" s="86"/>
      <c r="D244" s="243">
        <v>751.26667099999997</v>
      </c>
      <c r="E244" s="144">
        <v>0</v>
      </c>
      <c r="F244" s="195"/>
      <c r="G244" s="195"/>
      <c r="H244" s="195"/>
      <c r="I244" s="195"/>
      <c r="J244" s="144">
        <v>828.4357</v>
      </c>
      <c r="K244" s="197">
        <f t="shared" si="9"/>
        <v>1795.4113709999999</v>
      </c>
      <c r="L244" s="88" t="s">
        <v>83</v>
      </c>
      <c r="M244" s="87"/>
      <c r="N244" s="353"/>
    </row>
    <row r="245" spans="1:14" s="65" customFormat="1" ht="11.25" hidden="1" x14ac:dyDescent="0.2">
      <c r="A245" s="214">
        <f>SUM(A242:A244)</f>
        <v>560.54</v>
      </c>
      <c r="B245" s="145"/>
      <c r="C245" s="86"/>
      <c r="D245" s="243">
        <f>SUM(D242:D244)</f>
        <v>2124.4330989999999</v>
      </c>
      <c r="E245" s="144">
        <f>SUM(E242:E244)</f>
        <v>0</v>
      </c>
      <c r="F245" s="195"/>
      <c r="G245" s="195"/>
      <c r="H245" s="195"/>
      <c r="I245" s="195"/>
      <c r="J245" s="144">
        <f>SUM(J242:J244)</f>
        <v>2586.1819999999998</v>
      </c>
      <c r="K245" s="197">
        <f t="shared" si="9"/>
        <v>5271.1550989999996</v>
      </c>
      <c r="L245" s="88" t="s">
        <v>54</v>
      </c>
      <c r="M245" s="87"/>
      <c r="N245" s="353"/>
    </row>
    <row r="246" spans="1:14" s="65" customFormat="1" ht="11.25" hidden="1" x14ac:dyDescent="0.2">
      <c r="A246" s="214">
        <v>124.637</v>
      </c>
      <c r="B246" s="145"/>
      <c r="C246" s="86"/>
      <c r="D246" s="243">
        <v>702.63876400000004</v>
      </c>
      <c r="E246" s="144">
        <v>0</v>
      </c>
      <c r="F246" s="195"/>
      <c r="G246" s="195"/>
      <c r="H246" s="195"/>
      <c r="I246" s="195"/>
      <c r="J246" s="144">
        <v>843.0856</v>
      </c>
      <c r="K246" s="197">
        <f t="shared" si="9"/>
        <v>1670.3613640000001</v>
      </c>
      <c r="L246" s="88" t="s">
        <v>85</v>
      </c>
      <c r="M246" s="87"/>
      <c r="N246" s="353"/>
    </row>
    <row r="247" spans="1:14" s="65" customFormat="1" ht="11.25" hidden="1" x14ac:dyDescent="0.2">
      <c r="A247" s="214">
        <v>227.58199999999999</v>
      </c>
      <c r="B247" s="145"/>
      <c r="C247" s="86"/>
      <c r="D247" s="243">
        <v>710.71235200000001</v>
      </c>
      <c r="E247" s="144">
        <v>0</v>
      </c>
      <c r="F247" s="195"/>
      <c r="G247" s="195"/>
      <c r="H247" s="195"/>
      <c r="I247" s="195"/>
      <c r="J247" s="144">
        <v>721.94</v>
      </c>
      <c r="K247" s="197">
        <f t="shared" si="9"/>
        <v>1660.2343519999999</v>
      </c>
      <c r="L247" s="88" t="s">
        <v>86</v>
      </c>
      <c r="M247" s="87"/>
      <c r="N247" s="353"/>
    </row>
    <row r="248" spans="1:14" s="65" customFormat="1" ht="11.25" hidden="1" x14ac:dyDescent="0.2">
      <c r="A248" s="214">
        <v>69.565100000000001</v>
      </c>
      <c r="B248" s="145"/>
      <c r="C248" s="86"/>
      <c r="D248" s="243">
        <v>570.85416999999995</v>
      </c>
      <c r="E248" s="144">
        <v>0</v>
      </c>
      <c r="F248" s="195"/>
      <c r="G248" s="195"/>
      <c r="H248" s="195"/>
      <c r="I248" s="195"/>
      <c r="J248" s="144">
        <v>732.64419999999996</v>
      </c>
      <c r="K248" s="197">
        <f t="shared" si="9"/>
        <v>1373.0634699999998</v>
      </c>
      <c r="L248" s="88" t="s">
        <v>87</v>
      </c>
      <c r="M248" s="87"/>
      <c r="N248" s="353"/>
    </row>
    <row r="249" spans="1:14" s="65" customFormat="1" ht="11.25" hidden="1" x14ac:dyDescent="0.2">
      <c r="A249" s="214">
        <f>SUM(A246:A248)</f>
        <v>421.78409999999997</v>
      </c>
      <c r="B249" s="145"/>
      <c r="C249" s="86"/>
      <c r="D249" s="243">
        <f>SUM(D246:D248)</f>
        <v>1984.2052859999999</v>
      </c>
      <c r="E249" s="144">
        <f>SUM(E246:E248)</f>
        <v>0</v>
      </c>
      <c r="F249" s="195"/>
      <c r="G249" s="195"/>
      <c r="H249" s="195"/>
      <c r="I249" s="195"/>
      <c r="J249" s="144">
        <f>SUM(J246:J248)</f>
        <v>2297.6697999999997</v>
      </c>
      <c r="K249" s="197">
        <f t="shared" si="9"/>
        <v>4703.6591859999999</v>
      </c>
      <c r="L249" s="88" t="s">
        <v>55</v>
      </c>
      <c r="M249" s="87"/>
      <c r="N249" s="353"/>
    </row>
    <row r="250" spans="1:14" s="65" customFormat="1" ht="11.25" hidden="1" x14ac:dyDescent="0.2">
      <c r="A250" s="214">
        <v>58.051000000000002</v>
      </c>
      <c r="B250" s="145"/>
      <c r="C250" s="86"/>
      <c r="D250" s="243">
        <v>535.59020899999996</v>
      </c>
      <c r="E250" s="144">
        <v>0</v>
      </c>
      <c r="F250" s="195"/>
      <c r="G250" s="195"/>
      <c r="H250" s="195"/>
      <c r="I250" s="195"/>
      <c r="J250" s="144">
        <v>1063.7025000000001</v>
      </c>
      <c r="K250" s="197">
        <f t="shared" si="9"/>
        <v>1657.343709</v>
      </c>
      <c r="L250" s="88" t="s">
        <v>89</v>
      </c>
      <c r="M250" s="87"/>
      <c r="N250" s="353"/>
    </row>
    <row r="251" spans="1:14" s="65" customFormat="1" ht="11.25" hidden="1" x14ac:dyDescent="0.2">
      <c r="A251" s="214">
        <v>98.84</v>
      </c>
      <c r="B251" s="145"/>
      <c r="C251" s="86"/>
      <c r="D251" s="243">
        <v>583.08929899999998</v>
      </c>
      <c r="E251" s="144">
        <v>0</v>
      </c>
      <c r="F251" s="195"/>
      <c r="G251" s="195"/>
      <c r="H251" s="195"/>
      <c r="I251" s="195"/>
      <c r="J251" s="144">
        <v>676.40779999999995</v>
      </c>
      <c r="K251" s="197">
        <f t="shared" si="9"/>
        <v>1358.3370989999999</v>
      </c>
      <c r="L251" s="88" t="s">
        <v>90</v>
      </c>
      <c r="M251" s="87"/>
      <c r="N251" s="353"/>
    </row>
    <row r="252" spans="1:14" s="65" customFormat="1" ht="11.25" hidden="1" x14ac:dyDescent="0.2">
      <c r="A252" s="214">
        <v>139.70500000000001</v>
      </c>
      <c r="B252" s="145"/>
      <c r="C252" s="86"/>
      <c r="D252" s="243">
        <v>517.97652300000004</v>
      </c>
      <c r="E252" s="144">
        <v>0</v>
      </c>
      <c r="F252" s="195"/>
      <c r="G252" s="195"/>
      <c r="H252" s="195"/>
      <c r="I252" s="195"/>
      <c r="J252" s="144">
        <v>761.77350000000001</v>
      </c>
      <c r="K252" s="197">
        <f t="shared" si="9"/>
        <v>1419.455023</v>
      </c>
      <c r="L252" s="88" t="s">
        <v>91</v>
      </c>
      <c r="M252" s="87"/>
      <c r="N252" s="353"/>
    </row>
    <row r="253" spans="1:14" s="65" customFormat="1" ht="12.75" hidden="1" x14ac:dyDescent="0.2">
      <c r="A253" s="214">
        <f>SUM(A250:A252)</f>
        <v>296.596</v>
      </c>
      <c r="B253" s="145"/>
      <c r="C253" s="86"/>
      <c r="D253" s="243">
        <f>SUM(D250:D252)</f>
        <v>1636.656031</v>
      </c>
      <c r="E253" s="360">
        <f>SUBTOTAL(9,E238:E251)</f>
        <v>0</v>
      </c>
      <c r="F253" s="195"/>
      <c r="G253" s="195"/>
      <c r="H253" s="195"/>
      <c r="I253" s="195"/>
      <c r="J253" s="144">
        <f>SUM(J250:J252)</f>
        <v>2501.8838000000001</v>
      </c>
      <c r="K253" s="197">
        <f t="shared" si="9"/>
        <v>4435.1358309999996</v>
      </c>
      <c r="L253" s="88" t="s">
        <v>56</v>
      </c>
      <c r="M253" s="87"/>
      <c r="N253" s="353"/>
    </row>
    <row r="254" spans="1:14" s="65" customFormat="1" ht="11.25" hidden="1" x14ac:dyDescent="0.2">
      <c r="A254" s="213"/>
      <c r="B254" s="130"/>
      <c r="C254" s="86"/>
      <c r="D254" s="244"/>
      <c r="E254" s="127"/>
      <c r="F254" s="195"/>
      <c r="G254" s="195"/>
      <c r="H254" s="195"/>
      <c r="I254" s="195"/>
      <c r="J254" s="127"/>
      <c r="K254" s="197"/>
      <c r="L254" s="88"/>
      <c r="M254" s="87"/>
    </row>
    <row r="255" spans="1:14" s="65" customFormat="1" ht="11.25" hidden="1" x14ac:dyDescent="0.2">
      <c r="A255" s="213">
        <v>66.466999999999999</v>
      </c>
      <c r="B255" s="130"/>
      <c r="C255" s="86"/>
      <c r="D255" s="128">
        <v>554.04039999999998</v>
      </c>
      <c r="E255" s="127">
        <v>0</v>
      </c>
      <c r="F255" s="195"/>
      <c r="G255" s="195"/>
      <c r="H255" s="195"/>
      <c r="I255" s="195"/>
      <c r="J255" s="127">
        <v>826.42510000000004</v>
      </c>
      <c r="K255" s="197">
        <f t="shared" ref="K255:K270" si="10">J255+E255+D255+A255</f>
        <v>1446.9325000000001</v>
      </c>
      <c r="L255" s="88" t="s">
        <v>78</v>
      </c>
      <c r="M255" s="87">
        <v>2020</v>
      </c>
    </row>
    <row r="256" spans="1:14" s="65" customFormat="1" ht="11.25" hidden="1" x14ac:dyDescent="0.2">
      <c r="A256" s="213">
        <v>94.29</v>
      </c>
      <c r="B256" s="130"/>
      <c r="C256" s="86"/>
      <c r="D256" s="128">
        <v>702.89146400000004</v>
      </c>
      <c r="E256" s="127">
        <v>0</v>
      </c>
      <c r="F256" s="195"/>
      <c r="G256" s="195"/>
      <c r="H256" s="195"/>
      <c r="I256" s="195"/>
      <c r="J256" s="127">
        <v>859.48979999999995</v>
      </c>
      <c r="K256" s="197">
        <f t="shared" si="10"/>
        <v>1656.6712640000001</v>
      </c>
      <c r="L256" s="88" t="s">
        <v>79</v>
      </c>
      <c r="M256" s="87"/>
    </row>
    <row r="257" spans="1:14" s="65" customFormat="1" ht="11.25" hidden="1" x14ac:dyDescent="0.2">
      <c r="A257" s="213">
        <v>175.50399999999999</v>
      </c>
      <c r="B257" s="130"/>
      <c r="C257" s="86"/>
      <c r="D257" s="128">
        <v>674.980817</v>
      </c>
      <c r="E257" s="127">
        <v>0</v>
      </c>
      <c r="F257" s="195"/>
      <c r="G257" s="195"/>
      <c r="H257" s="195"/>
      <c r="I257" s="195"/>
      <c r="J257" s="127">
        <v>892.77459999999996</v>
      </c>
      <c r="K257" s="197">
        <f t="shared" si="10"/>
        <v>1743.2594169999998</v>
      </c>
      <c r="L257" s="88" t="s">
        <v>80</v>
      </c>
      <c r="M257" s="87"/>
    </row>
    <row r="258" spans="1:14" s="65" customFormat="1" ht="11.25" hidden="1" x14ac:dyDescent="0.2">
      <c r="A258" s="214">
        <f>SUM(A255:A257)</f>
        <v>336.26099999999997</v>
      </c>
      <c r="B258" s="145"/>
      <c r="C258" s="86"/>
      <c r="D258" s="152">
        <f>SUM(D255:D257)</f>
        <v>1931.9126810000002</v>
      </c>
      <c r="E258" s="144">
        <f>SUM(E255:E257)</f>
        <v>0</v>
      </c>
      <c r="F258" s="195"/>
      <c r="G258" s="195"/>
      <c r="H258" s="195"/>
      <c r="I258" s="195"/>
      <c r="J258" s="144">
        <f>SUM(J255:J257)</f>
        <v>2578.6895</v>
      </c>
      <c r="K258" s="197">
        <f t="shared" si="10"/>
        <v>4846.8631810000006</v>
      </c>
      <c r="L258" s="88" t="s">
        <v>53</v>
      </c>
      <c r="M258" s="87">
        <v>2020</v>
      </c>
      <c r="N258" s="353"/>
    </row>
    <row r="259" spans="1:14" s="65" customFormat="1" ht="11.25" hidden="1" x14ac:dyDescent="0.2">
      <c r="A259" s="214">
        <v>182.642</v>
      </c>
      <c r="B259" s="145"/>
      <c r="C259" s="86"/>
      <c r="D259" s="152">
        <v>526.8587</v>
      </c>
      <c r="E259" s="144">
        <v>0</v>
      </c>
      <c r="F259" s="195"/>
      <c r="G259" s="195"/>
      <c r="H259" s="195"/>
      <c r="I259" s="195"/>
      <c r="J259" s="144">
        <v>891.89509999999996</v>
      </c>
      <c r="K259" s="197">
        <f t="shared" si="10"/>
        <v>1601.3958</v>
      </c>
      <c r="L259" s="88" t="s">
        <v>68</v>
      </c>
      <c r="M259" s="87"/>
      <c r="N259" s="353"/>
    </row>
    <row r="260" spans="1:14" s="65" customFormat="1" ht="11.25" hidden="1" x14ac:dyDescent="0.2">
      <c r="A260" s="214">
        <v>162.58199999999999</v>
      </c>
      <c r="B260" s="145"/>
      <c r="C260" s="86"/>
      <c r="D260" s="152">
        <v>757.96191399999998</v>
      </c>
      <c r="E260" s="144">
        <v>0</v>
      </c>
      <c r="F260" s="195"/>
      <c r="G260" s="195"/>
      <c r="H260" s="195"/>
      <c r="I260" s="195"/>
      <c r="J260" s="144">
        <v>806.86689999999999</v>
      </c>
      <c r="K260" s="197">
        <f t="shared" si="10"/>
        <v>1727.4108139999998</v>
      </c>
      <c r="L260" s="88" t="s">
        <v>82</v>
      </c>
      <c r="M260" s="87"/>
      <c r="N260" s="353"/>
    </row>
    <row r="261" spans="1:14" s="65" customFormat="1" ht="11.25" hidden="1" x14ac:dyDescent="0.2">
      <c r="A261" s="214">
        <v>245.173</v>
      </c>
      <c r="B261" s="145"/>
      <c r="C261" s="86"/>
      <c r="D261" s="152">
        <v>666.58731599999999</v>
      </c>
      <c r="E261" s="144">
        <v>0</v>
      </c>
      <c r="F261" s="195"/>
      <c r="G261" s="195"/>
      <c r="H261" s="195"/>
      <c r="I261" s="195"/>
      <c r="J261" s="144">
        <v>602.12810000000002</v>
      </c>
      <c r="K261" s="197">
        <f t="shared" si="10"/>
        <v>1513.888416</v>
      </c>
      <c r="L261" s="88" t="s">
        <v>83</v>
      </c>
      <c r="M261" s="87"/>
      <c r="N261" s="353"/>
    </row>
    <row r="262" spans="1:14" s="65" customFormat="1" ht="11.25" hidden="1" x14ac:dyDescent="0.2">
      <c r="A262" s="214">
        <f>SUM(A259:A261)</f>
        <v>590.39699999999993</v>
      </c>
      <c r="B262" s="145"/>
      <c r="C262" s="86"/>
      <c r="D262" s="152">
        <f>SUM(D259:D261)</f>
        <v>1951.4079299999999</v>
      </c>
      <c r="E262" s="144">
        <f>SUM(E259:E261)</f>
        <v>0</v>
      </c>
      <c r="F262" s="195"/>
      <c r="G262" s="195"/>
      <c r="H262" s="195"/>
      <c r="I262" s="195"/>
      <c r="J262" s="144">
        <f>SUM(J259:J261)</f>
        <v>2300.8901000000001</v>
      </c>
      <c r="K262" s="197">
        <f t="shared" si="10"/>
        <v>4842.6950299999999</v>
      </c>
      <c r="L262" s="88" t="s">
        <v>54</v>
      </c>
      <c r="M262" s="87"/>
      <c r="N262" s="353"/>
    </row>
    <row r="263" spans="1:14" s="65" customFormat="1" ht="11.25" hidden="1" x14ac:dyDescent="0.2">
      <c r="A263" s="214">
        <v>154.92500000000001</v>
      </c>
      <c r="B263" s="145"/>
      <c r="C263" s="86"/>
      <c r="D263" s="152">
        <v>661.15812800000003</v>
      </c>
      <c r="E263" s="144">
        <v>0</v>
      </c>
      <c r="F263" s="195"/>
      <c r="G263" s="195"/>
      <c r="H263" s="195"/>
      <c r="I263" s="195"/>
      <c r="J263" s="144">
        <v>660.07590000000005</v>
      </c>
      <c r="K263" s="197">
        <f t="shared" si="10"/>
        <v>1476.159028</v>
      </c>
      <c r="L263" s="88" t="s">
        <v>85</v>
      </c>
      <c r="M263" s="87"/>
      <c r="N263" s="353"/>
    </row>
    <row r="264" spans="1:14" s="65" customFormat="1" ht="11.25" hidden="1" x14ac:dyDescent="0.2">
      <c r="A264" s="214">
        <v>215.16300000000001</v>
      </c>
      <c r="B264" s="145"/>
      <c r="C264" s="86"/>
      <c r="D264" s="152">
        <v>656.72209899999996</v>
      </c>
      <c r="E264" s="144">
        <v>0</v>
      </c>
      <c r="F264" s="195"/>
      <c r="G264" s="195"/>
      <c r="H264" s="195"/>
      <c r="I264" s="195"/>
      <c r="J264" s="144">
        <v>770.17330000000004</v>
      </c>
      <c r="K264" s="197">
        <f t="shared" si="10"/>
        <v>1642.058399</v>
      </c>
      <c r="L264" s="88" t="s">
        <v>86</v>
      </c>
      <c r="M264" s="87"/>
      <c r="N264" s="353"/>
    </row>
    <row r="265" spans="1:14" s="65" customFormat="1" ht="11.25" hidden="1" x14ac:dyDescent="0.2">
      <c r="A265" s="214">
        <v>163.816</v>
      </c>
      <c r="B265" s="145"/>
      <c r="C265" s="86"/>
      <c r="D265" s="152">
        <v>614.79989999999998</v>
      </c>
      <c r="E265" s="144">
        <v>0</v>
      </c>
      <c r="F265" s="195"/>
      <c r="G265" s="195"/>
      <c r="H265" s="195"/>
      <c r="I265" s="195"/>
      <c r="J265" s="144">
        <v>656.40769999999998</v>
      </c>
      <c r="K265" s="197">
        <f t="shared" si="10"/>
        <v>1435.0236</v>
      </c>
      <c r="L265" s="88" t="s">
        <v>87</v>
      </c>
      <c r="M265" s="87"/>
      <c r="N265" s="353"/>
    </row>
    <row r="266" spans="1:14" s="65" customFormat="1" ht="11.25" hidden="1" x14ac:dyDescent="0.2">
      <c r="A266" s="214">
        <f>SUM(A263:A265)</f>
        <v>533.904</v>
      </c>
      <c r="B266" s="145"/>
      <c r="C266" s="86"/>
      <c r="D266" s="152">
        <f>SUM(D263:D265)</f>
        <v>1932.6801270000001</v>
      </c>
      <c r="E266" s="144">
        <f>SUM(E263:E265)</f>
        <v>0</v>
      </c>
      <c r="F266" s="195"/>
      <c r="G266" s="195"/>
      <c r="H266" s="195"/>
      <c r="I266" s="195"/>
      <c r="J266" s="144">
        <f>SUM(J263:J265)</f>
        <v>2086.6569</v>
      </c>
      <c r="K266" s="197">
        <f t="shared" si="10"/>
        <v>4553.241027</v>
      </c>
      <c r="L266" s="88" t="s">
        <v>55</v>
      </c>
      <c r="M266" s="87"/>
      <c r="N266" s="353"/>
    </row>
    <row r="267" spans="1:14" s="65" customFormat="1" ht="11.25" hidden="1" x14ac:dyDescent="0.2">
      <c r="A267" s="214">
        <v>204.917</v>
      </c>
      <c r="B267" s="145"/>
      <c r="C267" s="86"/>
      <c r="D267" s="152">
        <v>688.82938899999999</v>
      </c>
      <c r="E267" s="144">
        <v>0</v>
      </c>
      <c r="F267" s="195"/>
      <c r="G267" s="195"/>
      <c r="H267" s="195"/>
      <c r="I267" s="195"/>
      <c r="J267" s="144">
        <v>774.98540000000003</v>
      </c>
      <c r="K267" s="197">
        <f t="shared" si="10"/>
        <v>1668.7317889999999</v>
      </c>
      <c r="L267" s="88" t="s">
        <v>89</v>
      </c>
      <c r="M267" s="87"/>
      <c r="N267" s="353"/>
    </row>
    <row r="268" spans="1:14" s="65" customFormat="1" ht="11.25" hidden="1" x14ac:dyDescent="0.2">
      <c r="A268" s="214">
        <v>185.29</v>
      </c>
      <c r="B268" s="145"/>
      <c r="C268" s="86"/>
      <c r="D268" s="152">
        <v>652.07000000000005</v>
      </c>
      <c r="E268" s="144">
        <v>0</v>
      </c>
      <c r="F268" s="195"/>
      <c r="G268" s="195"/>
      <c r="H268" s="195"/>
      <c r="I268" s="195"/>
      <c r="J268" s="144">
        <v>732.38469999999995</v>
      </c>
      <c r="K268" s="197">
        <f t="shared" si="10"/>
        <v>1569.7447</v>
      </c>
      <c r="L268" s="88" t="s">
        <v>90</v>
      </c>
      <c r="M268" s="87"/>
      <c r="N268" s="353"/>
    </row>
    <row r="269" spans="1:14" s="65" customFormat="1" ht="11.25" hidden="1" x14ac:dyDescent="0.2">
      <c r="A269" s="214">
        <v>224.63399999999999</v>
      </c>
      <c r="B269" s="145"/>
      <c r="C269" s="86"/>
      <c r="D269" s="152">
        <v>751.70993799999997</v>
      </c>
      <c r="E269" s="144">
        <v>0</v>
      </c>
      <c r="F269" s="195"/>
      <c r="G269" s="195"/>
      <c r="H269" s="195"/>
      <c r="I269" s="195"/>
      <c r="J269" s="144">
        <v>665.78610000000003</v>
      </c>
      <c r="K269" s="197">
        <f t="shared" si="10"/>
        <v>1642.130038</v>
      </c>
      <c r="L269" s="88" t="s">
        <v>91</v>
      </c>
      <c r="M269" s="87"/>
      <c r="N269" s="353"/>
    </row>
    <row r="270" spans="1:14" s="65" customFormat="1" ht="11.25" hidden="1" x14ac:dyDescent="0.2">
      <c r="A270" s="214">
        <f>SUM(A267:A269)</f>
        <v>614.84100000000001</v>
      </c>
      <c r="B270" s="145"/>
      <c r="C270" s="86"/>
      <c r="D270" s="152">
        <f>SUM(D267:D269)</f>
        <v>2092.6093270000001</v>
      </c>
      <c r="E270" s="144">
        <f>SUM(E267:E269)</f>
        <v>0</v>
      </c>
      <c r="F270" s="195"/>
      <c r="G270" s="195"/>
      <c r="H270" s="195"/>
      <c r="I270" s="195"/>
      <c r="J270" s="144">
        <f>SUM(J267:J269)</f>
        <v>2173.1562000000004</v>
      </c>
      <c r="K270" s="197">
        <f t="shared" si="10"/>
        <v>4880.6065270000008</v>
      </c>
      <c r="L270" s="88" t="s">
        <v>56</v>
      </c>
      <c r="M270" s="87"/>
      <c r="N270" s="353"/>
    </row>
    <row r="271" spans="1:14" s="65" customFormat="1" ht="11.25" hidden="1" x14ac:dyDescent="0.2">
      <c r="A271" s="213"/>
      <c r="B271" s="130"/>
      <c r="C271" s="86"/>
      <c r="D271" s="128"/>
      <c r="E271" s="127"/>
      <c r="F271" s="195"/>
      <c r="G271" s="195"/>
      <c r="H271" s="195"/>
      <c r="I271" s="195"/>
      <c r="J271" s="127"/>
      <c r="K271" s="197"/>
      <c r="L271" s="88"/>
      <c r="M271" s="87"/>
    </row>
    <row r="272" spans="1:14" s="65" customFormat="1" ht="11.25" hidden="1" x14ac:dyDescent="0.2">
      <c r="A272" s="214">
        <v>54.597999999999999</v>
      </c>
      <c r="B272" s="144">
        <v>27.190308999999999</v>
      </c>
      <c r="C272" s="146"/>
      <c r="D272" s="152">
        <v>642.40679999999998</v>
      </c>
      <c r="E272" s="144">
        <v>0</v>
      </c>
      <c r="F272" s="217"/>
      <c r="G272" s="217">
        <v>34.158000000000001</v>
      </c>
      <c r="H272" s="217">
        <v>291.46841799999999</v>
      </c>
      <c r="I272" s="217"/>
      <c r="J272" s="166">
        <v>530.6502999999999</v>
      </c>
      <c r="K272" s="197">
        <f>J272+I272+H272+G272+F272+E272+D272+C272+B272+A272</f>
        <v>1580.4718269999998</v>
      </c>
      <c r="L272" s="154" t="s">
        <v>78</v>
      </c>
      <c r="M272" s="135">
        <v>2021</v>
      </c>
    </row>
    <row r="273" spans="1:15" s="65" customFormat="1" ht="11.25" hidden="1" x14ac:dyDescent="0.2">
      <c r="A273" s="214">
        <v>132.971</v>
      </c>
      <c r="B273" s="144">
        <v>95.947000000000003</v>
      </c>
      <c r="C273" s="146"/>
      <c r="D273" s="152">
        <v>640.00959999999998</v>
      </c>
      <c r="E273" s="144">
        <v>0</v>
      </c>
      <c r="F273" s="217"/>
      <c r="G273" s="217">
        <v>51.11</v>
      </c>
      <c r="H273" s="217">
        <v>226.238834</v>
      </c>
      <c r="I273" s="217"/>
      <c r="J273" s="166">
        <v>471.38570000000004</v>
      </c>
      <c r="K273" s="197">
        <f t="shared" ref="K273:K287" si="11">J273+I273+H273+G273+F273+E273+D273+C273+B273+A273</f>
        <v>1617.6621340000002</v>
      </c>
      <c r="L273" s="154" t="s">
        <v>79</v>
      </c>
      <c r="M273" s="87"/>
    </row>
    <row r="274" spans="1:15" s="65" customFormat="1" ht="11.25" hidden="1" x14ac:dyDescent="0.2">
      <c r="A274" s="214">
        <v>185.43299999999999</v>
      </c>
      <c r="B274" s="144">
        <v>60.807031000000002</v>
      </c>
      <c r="C274" s="146"/>
      <c r="D274" s="152">
        <v>669.78340000000003</v>
      </c>
      <c r="E274" s="144">
        <v>0</v>
      </c>
      <c r="F274" s="217"/>
      <c r="G274" s="217">
        <v>26.977</v>
      </c>
      <c r="H274" s="217">
        <v>273.38138300000003</v>
      </c>
      <c r="I274" s="217"/>
      <c r="J274" s="166">
        <v>522.11149999999998</v>
      </c>
      <c r="K274" s="197">
        <f t="shared" si="11"/>
        <v>1738.4933140000001</v>
      </c>
      <c r="L274" s="154" t="s">
        <v>80</v>
      </c>
      <c r="M274" s="87"/>
    </row>
    <row r="275" spans="1:15" s="65" customFormat="1" ht="11.25" x14ac:dyDescent="0.2">
      <c r="A275" s="214">
        <f>SUM(A272:A274)</f>
        <v>373.00200000000001</v>
      </c>
      <c r="B275" s="145">
        <f>SUM(B272:B274)</f>
        <v>183.94434000000001</v>
      </c>
      <c r="C275" s="146"/>
      <c r="D275" s="152">
        <f>SUM(D272:D274)</f>
        <v>1952.1998000000001</v>
      </c>
      <c r="E275" s="144">
        <f>SUM(E272:E274)</f>
        <v>0</v>
      </c>
      <c r="F275" s="217"/>
      <c r="G275" s="217">
        <f>SUM(G272:G274)</f>
        <v>112.245</v>
      </c>
      <c r="H275" s="217">
        <f>SUM(H272:H274)</f>
        <v>791.08863499999995</v>
      </c>
      <c r="I275" s="217"/>
      <c r="J275" s="166">
        <f>SUM(J272:J274)</f>
        <v>1524.1475</v>
      </c>
      <c r="K275" s="352">
        <f t="shared" si="11"/>
        <v>4936.6272750000007</v>
      </c>
      <c r="L275" s="154" t="s">
        <v>53</v>
      </c>
      <c r="M275" s="151">
        <v>2021</v>
      </c>
      <c r="N275" s="353"/>
      <c r="O275" s="353"/>
    </row>
    <row r="276" spans="1:15" s="65" customFormat="1" ht="11.25" hidden="1" x14ac:dyDescent="0.2">
      <c r="A276" s="214">
        <v>62.481000000000002</v>
      </c>
      <c r="B276" s="144">
        <v>26.804252000000002</v>
      </c>
      <c r="C276" s="146"/>
      <c r="D276" s="152">
        <v>564.57749999999999</v>
      </c>
      <c r="E276" s="144">
        <v>0</v>
      </c>
      <c r="F276" s="217"/>
      <c r="G276" s="217">
        <v>38.929000000000002</v>
      </c>
      <c r="H276" s="217">
        <v>272.17671999999999</v>
      </c>
      <c r="I276" s="217"/>
      <c r="J276" s="166">
        <v>496.59739999999999</v>
      </c>
      <c r="K276" s="352">
        <f t="shared" si="11"/>
        <v>1461.5658719999999</v>
      </c>
      <c r="L276" s="154" t="s">
        <v>68</v>
      </c>
      <c r="M276" s="151"/>
      <c r="N276" s="353"/>
      <c r="O276" s="353"/>
    </row>
    <row r="277" spans="1:15" s="65" customFormat="1" ht="11.25" hidden="1" x14ac:dyDescent="0.2">
      <c r="A277" s="214">
        <v>197.08199999999999</v>
      </c>
      <c r="B277" s="144">
        <v>88.889641999999995</v>
      </c>
      <c r="C277" s="146"/>
      <c r="D277" s="152">
        <v>691.34490000000005</v>
      </c>
      <c r="E277" s="144">
        <v>0</v>
      </c>
      <c r="F277" s="217"/>
      <c r="G277" s="217">
        <v>17.942</v>
      </c>
      <c r="H277" s="217">
        <v>268.09973100000002</v>
      </c>
      <c r="I277" s="217"/>
      <c r="J277" s="166">
        <v>509.72120000000001</v>
      </c>
      <c r="K277" s="352">
        <f t="shared" si="11"/>
        <v>1773.0794730000002</v>
      </c>
      <c r="L277" s="154" t="s">
        <v>82</v>
      </c>
      <c r="M277" s="151"/>
      <c r="N277" s="353"/>
      <c r="O277" s="353"/>
    </row>
    <row r="278" spans="1:15" s="65" customFormat="1" ht="11.25" hidden="1" x14ac:dyDescent="0.2">
      <c r="A278" s="214">
        <v>193.89</v>
      </c>
      <c r="B278" s="145">
        <v>116.12467700000001</v>
      </c>
      <c r="C278" s="146"/>
      <c r="D278" s="152">
        <v>630.50450000000001</v>
      </c>
      <c r="E278" s="144">
        <v>0</v>
      </c>
      <c r="F278" s="217"/>
      <c r="G278" s="217">
        <v>15.401999999999999</v>
      </c>
      <c r="H278" s="217">
        <v>263.13045199999999</v>
      </c>
      <c r="I278" s="217"/>
      <c r="J278" s="166">
        <v>463.911</v>
      </c>
      <c r="K278" s="352">
        <f t="shared" si="11"/>
        <v>1682.9626290000001</v>
      </c>
      <c r="L278" s="154" t="s">
        <v>83</v>
      </c>
      <c r="M278" s="151"/>
      <c r="N278" s="353"/>
      <c r="O278" s="353"/>
    </row>
    <row r="279" spans="1:15" s="65" customFormat="1" ht="11.25" x14ac:dyDescent="0.2">
      <c r="A279" s="214">
        <f>SUM(A276:A278)</f>
        <v>453.45299999999997</v>
      </c>
      <c r="B279" s="145">
        <f>SUM(B276:B278)</f>
        <v>231.81857100000002</v>
      </c>
      <c r="C279" s="146"/>
      <c r="D279" s="152">
        <f>SUM(D276:D278)</f>
        <v>1886.4268999999999</v>
      </c>
      <c r="E279" s="144">
        <f>SUM(E276:E278)</f>
        <v>0</v>
      </c>
      <c r="F279" s="217"/>
      <c r="G279" s="217">
        <f>SUM(G276:G278)</f>
        <v>72.272999999999996</v>
      </c>
      <c r="H279" s="217">
        <f>SUM(H276:H278)</f>
        <v>803.40690299999994</v>
      </c>
      <c r="I279" s="217"/>
      <c r="J279" s="166">
        <f>SUM(J276:J278)</f>
        <v>1470.2296000000001</v>
      </c>
      <c r="K279" s="352">
        <f t="shared" si="11"/>
        <v>4917.6079740000005</v>
      </c>
      <c r="L279" s="154" t="s">
        <v>54</v>
      </c>
      <c r="M279" s="151"/>
      <c r="N279" s="353"/>
      <c r="O279" s="353"/>
    </row>
    <row r="280" spans="1:15" s="65" customFormat="1" ht="11.25" hidden="1" x14ac:dyDescent="0.2">
      <c r="A280" s="214">
        <v>81.933999999999997</v>
      </c>
      <c r="B280" s="144">
        <v>90.132783000000003</v>
      </c>
      <c r="C280" s="217"/>
      <c r="D280" s="152">
        <v>546.40290000000005</v>
      </c>
      <c r="E280" s="144">
        <v>0</v>
      </c>
      <c r="F280" s="217">
        <v>6.3697999999999997</v>
      </c>
      <c r="G280" s="217">
        <v>27.030999999999999</v>
      </c>
      <c r="H280" s="217">
        <v>273.763124</v>
      </c>
      <c r="I280" s="217"/>
      <c r="J280" s="166">
        <v>429.90599999999995</v>
      </c>
      <c r="K280" s="352">
        <f t="shared" si="11"/>
        <v>1455.5396069999999</v>
      </c>
      <c r="L280" s="154" t="s">
        <v>85</v>
      </c>
      <c r="M280" s="151"/>
      <c r="N280" s="353"/>
      <c r="O280" s="353"/>
    </row>
    <row r="281" spans="1:15" s="65" customFormat="1" ht="11.25" hidden="1" x14ac:dyDescent="0.2">
      <c r="A281" s="214">
        <v>145.29300000000001</v>
      </c>
      <c r="B281" s="144">
        <v>28.862465</v>
      </c>
      <c r="C281" s="217">
        <v>9.6382000000000012</v>
      </c>
      <c r="D281" s="152">
        <v>705.76300000000003</v>
      </c>
      <c r="E281" s="144">
        <v>0</v>
      </c>
      <c r="F281" s="217">
        <v>7.1</v>
      </c>
      <c r="G281" s="217">
        <v>46.848999999999997</v>
      </c>
      <c r="H281" s="217">
        <v>296.42478799999998</v>
      </c>
      <c r="I281" s="217"/>
      <c r="J281" s="166">
        <v>418.4067</v>
      </c>
      <c r="K281" s="352">
        <f t="shared" si="11"/>
        <v>1658.3371530000004</v>
      </c>
      <c r="L281" s="348" t="s">
        <v>86</v>
      </c>
      <c r="M281" s="151"/>
      <c r="N281" s="353"/>
      <c r="O281" s="353"/>
    </row>
    <row r="282" spans="1:15" s="65" customFormat="1" ht="11.25" hidden="1" x14ac:dyDescent="0.2">
      <c r="A282" s="214">
        <v>129</v>
      </c>
      <c r="B282" s="144">
        <v>61.757866</v>
      </c>
      <c r="C282" s="217">
        <v>8.0307999999999993</v>
      </c>
      <c r="D282" s="152">
        <v>471.4742</v>
      </c>
      <c r="E282" s="144">
        <v>0</v>
      </c>
      <c r="F282" s="217">
        <v>1.7303999999999999</v>
      </c>
      <c r="G282" s="217">
        <v>17.292999999999999</v>
      </c>
      <c r="H282" s="217">
        <v>313.10133999999999</v>
      </c>
      <c r="I282" s="217"/>
      <c r="J282" s="166">
        <v>384.66500000000002</v>
      </c>
      <c r="K282" s="352">
        <f t="shared" si="11"/>
        <v>1387.052606</v>
      </c>
      <c r="L282" s="348" t="s">
        <v>87</v>
      </c>
      <c r="M282" s="151"/>
      <c r="N282" s="353"/>
      <c r="O282" s="353"/>
    </row>
    <row r="283" spans="1:15" s="65" customFormat="1" ht="11.25" x14ac:dyDescent="0.2">
      <c r="A283" s="214">
        <f t="shared" ref="A283:F283" si="12">SUM(A280:A282)</f>
        <v>356.22699999999998</v>
      </c>
      <c r="B283" s="145">
        <f t="shared" si="12"/>
        <v>180.75311400000001</v>
      </c>
      <c r="C283" s="217">
        <f t="shared" si="12"/>
        <v>17.669</v>
      </c>
      <c r="D283" s="152">
        <f t="shared" si="12"/>
        <v>1723.6401000000001</v>
      </c>
      <c r="E283" s="144">
        <f t="shared" si="12"/>
        <v>0</v>
      </c>
      <c r="F283" s="217">
        <f t="shared" si="12"/>
        <v>15.200199999999999</v>
      </c>
      <c r="G283" s="217">
        <f>SUM(G280:G282)</f>
        <v>91.173000000000002</v>
      </c>
      <c r="H283" s="217">
        <f>SUM(H280:H282)</f>
        <v>883.28925200000003</v>
      </c>
      <c r="I283" s="217"/>
      <c r="J283" s="166">
        <f>SUM(J280:J282)</f>
        <v>1232.9776999999999</v>
      </c>
      <c r="K283" s="352">
        <f t="shared" si="11"/>
        <v>4500.9293659999994</v>
      </c>
      <c r="L283" s="348" t="s">
        <v>55</v>
      </c>
      <c r="M283" s="151"/>
      <c r="N283" s="353"/>
      <c r="O283" s="353"/>
    </row>
    <row r="284" spans="1:15" s="65" customFormat="1" ht="11.25" hidden="1" x14ac:dyDescent="0.2">
      <c r="A284" s="214">
        <v>72.168000000000006</v>
      </c>
      <c r="B284" s="144">
        <v>92.262352000000007</v>
      </c>
      <c r="C284" s="217">
        <v>9.8049999999999997</v>
      </c>
      <c r="D284" s="152">
        <v>551.60839999999996</v>
      </c>
      <c r="E284" s="144">
        <v>0</v>
      </c>
      <c r="F284" s="217">
        <v>18.082799999999999</v>
      </c>
      <c r="G284" s="217">
        <v>41.58</v>
      </c>
      <c r="H284" s="217">
        <v>312.682411</v>
      </c>
      <c r="I284" s="217"/>
      <c r="J284" s="166">
        <v>456.48250000000002</v>
      </c>
      <c r="K284" s="352">
        <f t="shared" si="11"/>
        <v>1554.6714630000001</v>
      </c>
      <c r="L284" s="348" t="s">
        <v>89</v>
      </c>
      <c r="M284" s="151"/>
      <c r="N284" s="353"/>
      <c r="O284" s="353"/>
    </row>
    <row r="285" spans="1:15" s="65" customFormat="1" ht="11.25" hidden="1" x14ac:dyDescent="0.2">
      <c r="A285" s="214">
        <v>111.617</v>
      </c>
      <c r="B285" s="144">
        <v>65.760247000000007</v>
      </c>
      <c r="C285" s="217">
        <v>8.8452000000000002</v>
      </c>
      <c r="D285" s="152">
        <v>653.44079999999997</v>
      </c>
      <c r="E285" s="144">
        <v>0</v>
      </c>
      <c r="F285" s="217">
        <v>19.484000000000002</v>
      </c>
      <c r="G285" s="217">
        <v>33.590000000000003</v>
      </c>
      <c r="H285" s="217">
        <v>184.76268200000001</v>
      </c>
      <c r="I285" s="217"/>
      <c r="J285" s="166">
        <v>418.36979999999994</v>
      </c>
      <c r="K285" s="352">
        <f t="shared" si="11"/>
        <v>1495.8697289999998</v>
      </c>
      <c r="L285" s="348" t="s">
        <v>90</v>
      </c>
      <c r="M285" s="151"/>
      <c r="N285" s="353"/>
      <c r="O285" s="353"/>
    </row>
    <row r="286" spans="1:15" s="65" customFormat="1" ht="11.25" hidden="1" x14ac:dyDescent="0.2">
      <c r="A286" s="214">
        <v>265.928</v>
      </c>
      <c r="B286" s="145">
        <v>56.994785999999998</v>
      </c>
      <c r="C286" s="217">
        <v>12.4964</v>
      </c>
      <c r="D286" s="152">
        <v>600.09069999999997</v>
      </c>
      <c r="E286" s="144">
        <v>0</v>
      </c>
      <c r="F286" s="217">
        <v>17.968</v>
      </c>
      <c r="G286" s="217">
        <v>22.792999999999999</v>
      </c>
      <c r="H286" s="217">
        <v>337.44599099999999</v>
      </c>
      <c r="I286" s="217"/>
      <c r="J286" s="166">
        <v>420.87270000000001</v>
      </c>
      <c r="K286" s="352">
        <f t="shared" si="11"/>
        <v>1734.5895769999997</v>
      </c>
      <c r="L286" s="348" t="s">
        <v>91</v>
      </c>
      <c r="M286" s="151"/>
      <c r="N286" s="353"/>
      <c r="O286" s="353"/>
    </row>
    <row r="287" spans="1:15" s="65" customFormat="1" ht="11.25" x14ac:dyDescent="0.2">
      <c r="A287" s="214">
        <f t="shared" ref="A287:J287" si="13">SUM(A284:A286)</f>
        <v>449.71300000000002</v>
      </c>
      <c r="B287" s="145">
        <f t="shared" si="13"/>
        <v>215.01738500000002</v>
      </c>
      <c r="C287" s="217">
        <f t="shared" si="13"/>
        <v>31.146599999999999</v>
      </c>
      <c r="D287" s="152">
        <f t="shared" si="13"/>
        <v>1805.1398999999999</v>
      </c>
      <c r="E287" s="144">
        <f t="shared" si="13"/>
        <v>0</v>
      </c>
      <c r="F287" s="217">
        <f t="shared" si="13"/>
        <v>55.534800000000004</v>
      </c>
      <c r="G287" s="217">
        <f t="shared" si="13"/>
        <v>97.962999999999994</v>
      </c>
      <c r="H287" s="217">
        <f t="shared" si="13"/>
        <v>834.89108400000009</v>
      </c>
      <c r="I287" s="217">
        <f t="shared" si="13"/>
        <v>0</v>
      </c>
      <c r="J287" s="166">
        <f t="shared" si="13"/>
        <v>1295.7249999999999</v>
      </c>
      <c r="K287" s="352">
        <f t="shared" si="11"/>
        <v>4785.1307690000003</v>
      </c>
      <c r="L287" s="348" t="s">
        <v>56</v>
      </c>
      <c r="M287" s="151"/>
      <c r="N287" s="353"/>
      <c r="O287" s="353"/>
    </row>
    <row r="288" spans="1:15" s="65" customFormat="1" ht="11.25" x14ac:dyDescent="0.2">
      <c r="A288" s="213"/>
      <c r="B288" s="130"/>
      <c r="C288" s="216"/>
      <c r="D288" s="128"/>
      <c r="E288" s="127"/>
      <c r="F288" s="216"/>
      <c r="G288" s="216"/>
      <c r="H288" s="216"/>
      <c r="I288" s="216"/>
      <c r="J288" s="158"/>
      <c r="K288" s="259"/>
      <c r="L288" s="269"/>
      <c r="M288" s="87"/>
    </row>
    <row r="289" spans="1:14" s="65" customFormat="1" ht="11.25" hidden="1" x14ac:dyDescent="0.2">
      <c r="A289" s="213">
        <v>80.141000000000005</v>
      </c>
      <c r="B289" s="130">
        <v>121.277</v>
      </c>
      <c r="C289" s="276">
        <v>12.51018</v>
      </c>
      <c r="D289" s="128">
        <v>481.39679999999998</v>
      </c>
      <c r="E289" s="127">
        <v>0</v>
      </c>
      <c r="F289" s="216">
        <v>33.098393999999999</v>
      </c>
      <c r="G289" s="216">
        <v>43.207999999999998</v>
      </c>
      <c r="H289" s="216">
        <v>275.74167</v>
      </c>
      <c r="I289" s="217">
        <f>SUM(I286:I288)</f>
        <v>0</v>
      </c>
      <c r="J289" s="158">
        <v>475.8048</v>
      </c>
      <c r="K289" s="259">
        <f>J289+I289+H289+G289+F289+E289+D289+C289+B289+A289</f>
        <v>1523.1778440000001</v>
      </c>
      <c r="L289" s="269" t="s">
        <v>78</v>
      </c>
      <c r="M289" s="135">
        <v>2022</v>
      </c>
    </row>
    <row r="290" spans="1:14" s="65" customFormat="1" ht="10.9" hidden="1" customHeight="1" x14ac:dyDescent="0.2">
      <c r="A290" s="213">
        <v>93.623000000000005</v>
      </c>
      <c r="B290" s="130">
        <v>27.161770000000001</v>
      </c>
      <c r="C290" s="216">
        <v>16.418399999999998</v>
      </c>
      <c r="D290" s="128">
        <v>633.53110000000004</v>
      </c>
      <c r="E290" s="127">
        <v>0</v>
      </c>
      <c r="F290" s="216">
        <v>45.226387000000003</v>
      </c>
      <c r="G290" s="216">
        <v>36.972999999999999</v>
      </c>
      <c r="H290" s="216">
        <v>308.46610299999998</v>
      </c>
      <c r="I290" s="217"/>
      <c r="J290" s="158">
        <v>438.73079999999999</v>
      </c>
      <c r="K290" s="259">
        <f>J290+I290+H290+G290+F290+E290+D290+C290+B290+A290</f>
        <v>1600.1305600000001</v>
      </c>
      <c r="L290" s="269" t="s">
        <v>79</v>
      </c>
      <c r="M290" s="135"/>
    </row>
    <row r="291" spans="1:14" s="65" customFormat="1" ht="11.25" hidden="1" x14ac:dyDescent="0.2">
      <c r="A291" s="213">
        <v>217.899</v>
      </c>
      <c r="B291" s="130">
        <v>146.8869</v>
      </c>
      <c r="C291" s="216">
        <v>13.744400000000001</v>
      </c>
      <c r="D291" s="128">
        <v>661.64589999999998</v>
      </c>
      <c r="E291" s="127">
        <v>0</v>
      </c>
      <c r="F291" s="216">
        <v>45.405017999999998</v>
      </c>
      <c r="G291" s="216">
        <v>37.002000000000002</v>
      </c>
      <c r="H291" s="216">
        <v>311.26586500000002</v>
      </c>
      <c r="I291" s="217"/>
      <c r="J291" s="158">
        <v>489.83569999999997</v>
      </c>
      <c r="K291" s="259">
        <f>J291+I291+H291+G291+F291+E291+D291+C291+B291+A291</f>
        <v>1923.6847829999997</v>
      </c>
      <c r="L291" s="269" t="s">
        <v>80</v>
      </c>
      <c r="M291" s="135"/>
    </row>
    <row r="292" spans="1:14" s="65" customFormat="1" ht="11.25" x14ac:dyDescent="0.2">
      <c r="A292" s="214">
        <f t="shared" ref="A292:K292" si="14">SUM(A289:A291)</f>
        <v>391.66300000000001</v>
      </c>
      <c r="B292" s="145">
        <f t="shared" si="14"/>
        <v>295.32567</v>
      </c>
      <c r="C292" s="217">
        <f t="shared" si="14"/>
        <v>42.672979999999995</v>
      </c>
      <c r="D292" s="152">
        <f t="shared" si="14"/>
        <v>1776.5738000000001</v>
      </c>
      <c r="E292" s="144">
        <f t="shared" si="14"/>
        <v>0</v>
      </c>
      <c r="F292" s="217">
        <f t="shared" si="14"/>
        <v>123.729799</v>
      </c>
      <c r="G292" s="217">
        <f t="shared" si="14"/>
        <v>117.18299999999999</v>
      </c>
      <c r="H292" s="217">
        <f t="shared" si="14"/>
        <v>895.47363799999994</v>
      </c>
      <c r="I292" s="217">
        <f t="shared" si="14"/>
        <v>0</v>
      </c>
      <c r="J292" s="166">
        <f t="shared" si="14"/>
        <v>1404.3712999999998</v>
      </c>
      <c r="K292" s="352">
        <f t="shared" si="14"/>
        <v>5046.993187</v>
      </c>
      <c r="L292" s="348" t="s">
        <v>53</v>
      </c>
      <c r="M292" s="151">
        <v>2022</v>
      </c>
      <c r="N292" s="353"/>
    </row>
    <row r="293" spans="1:14" s="65" customFormat="1" ht="11.25" hidden="1" x14ac:dyDescent="0.2">
      <c r="A293" s="214">
        <v>63.164999999999999</v>
      </c>
      <c r="B293" s="145">
        <v>92.631551000000002</v>
      </c>
      <c r="C293" s="217">
        <v>14.8538</v>
      </c>
      <c r="D293" s="152">
        <v>621.57410000000004</v>
      </c>
      <c r="E293" s="144" t="s">
        <v>207</v>
      </c>
      <c r="F293" s="217">
        <v>68.527694999999994</v>
      </c>
      <c r="G293" s="217">
        <v>18.440000000000001</v>
      </c>
      <c r="H293" s="217">
        <v>252.110556</v>
      </c>
      <c r="I293" s="217">
        <f>SUM(I290:I292)</f>
        <v>0</v>
      </c>
      <c r="J293" s="166">
        <v>478.21170000000001</v>
      </c>
      <c r="K293" s="352">
        <f>SUM(A293:J293)</f>
        <v>1609.5144020000002</v>
      </c>
      <c r="L293" s="348" t="s">
        <v>68</v>
      </c>
      <c r="M293" s="151"/>
      <c r="N293" s="353"/>
    </row>
    <row r="294" spans="1:14" s="65" customFormat="1" ht="11.25" hidden="1" x14ac:dyDescent="0.2">
      <c r="A294" s="214">
        <v>163.10400000000001</v>
      </c>
      <c r="B294" s="145">
        <v>74.986948999999996</v>
      </c>
      <c r="C294" s="217">
        <v>15.345000000000001</v>
      </c>
      <c r="D294" s="152">
        <v>729.69010000000003</v>
      </c>
      <c r="E294" s="144" t="s">
        <v>207</v>
      </c>
      <c r="F294" s="217">
        <v>72.149238999999994</v>
      </c>
      <c r="G294" s="217">
        <v>39.179000000000002</v>
      </c>
      <c r="H294" s="217">
        <v>235.52242699999999</v>
      </c>
      <c r="I294" s="217">
        <f>SUM(I291:I293)</f>
        <v>0</v>
      </c>
      <c r="J294" s="166">
        <v>462.69659999999999</v>
      </c>
      <c r="K294" s="352">
        <f>SUM(A294:J294)</f>
        <v>1792.6733150000002</v>
      </c>
      <c r="L294" s="348" t="s">
        <v>82</v>
      </c>
      <c r="M294" s="151"/>
      <c r="N294" s="353"/>
    </row>
    <row r="295" spans="1:14" s="65" customFormat="1" ht="11.25" hidden="1" x14ac:dyDescent="0.2">
      <c r="A295" s="214">
        <v>107.01600000000001</v>
      </c>
      <c r="B295" s="145">
        <v>60.136437999999998</v>
      </c>
      <c r="C295" s="217">
        <v>11.6074</v>
      </c>
      <c r="D295" s="152">
        <v>581.79830000000004</v>
      </c>
      <c r="E295" s="144" t="s">
        <v>207</v>
      </c>
      <c r="F295" s="217">
        <v>67.301766000000001</v>
      </c>
      <c r="G295" s="217">
        <v>36.956000000000003</v>
      </c>
      <c r="H295" s="217">
        <v>281.804483</v>
      </c>
      <c r="I295" s="217">
        <f>SUM(I292:I294)</f>
        <v>0</v>
      </c>
      <c r="J295" s="166">
        <v>382.197</v>
      </c>
      <c r="K295" s="352">
        <f>SUM(A295:J295)</f>
        <v>1528.8173870000001</v>
      </c>
      <c r="L295" s="348" t="s">
        <v>83</v>
      </c>
      <c r="M295" s="151"/>
      <c r="N295" s="353"/>
    </row>
    <row r="296" spans="1:14" s="65" customFormat="1" ht="11.25" x14ac:dyDescent="0.2">
      <c r="A296" s="214">
        <f t="shared" ref="A296:K297" si="15">SUM(A293:A295)</f>
        <v>333.28500000000003</v>
      </c>
      <c r="B296" s="145">
        <f t="shared" si="15"/>
        <v>227.75493799999998</v>
      </c>
      <c r="C296" s="217">
        <f t="shared" si="15"/>
        <v>41.806199999999997</v>
      </c>
      <c r="D296" s="152">
        <f t="shared" si="15"/>
        <v>1933.0625</v>
      </c>
      <c r="E296" s="144">
        <f t="shared" si="15"/>
        <v>0</v>
      </c>
      <c r="F296" s="217">
        <f t="shared" si="15"/>
        <v>207.9787</v>
      </c>
      <c r="G296" s="217">
        <f t="shared" si="15"/>
        <v>94.575000000000003</v>
      </c>
      <c r="H296" s="217">
        <f t="shared" si="15"/>
        <v>769.43746599999997</v>
      </c>
      <c r="I296" s="217">
        <f t="shared" si="15"/>
        <v>0</v>
      </c>
      <c r="J296" s="166">
        <f t="shared" si="15"/>
        <v>1323.1053000000002</v>
      </c>
      <c r="K296" s="352">
        <f t="shared" si="15"/>
        <v>4931.0051040000008</v>
      </c>
      <c r="L296" s="348" t="s">
        <v>54</v>
      </c>
      <c r="M296" s="151"/>
      <c r="N296" s="353"/>
    </row>
    <row r="297" spans="1:14" s="65" customFormat="1" ht="11.25" hidden="1" x14ac:dyDescent="0.2">
      <c r="A297" s="214">
        <v>121.13500000000001</v>
      </c>
      <c r="B297" s="145">
        <v>33.947350999999998</v>
      </c>
      <c r="C297" s="217">
        <v>26.14818</v>
      </c>
      <c r="D297" s="152">
        <v>567.28200000000004</v>
      </c>
      <c r="E297" s="144" t="s">
        <v>207</v>
      </c>
      <c r="F297" s="217">
        <v>102.91051899999999</v>
      </c>
      <c r="G297" s="217">
        <v>36.353000000000002</v>
      </c>
      <c r="H297" s="217">
        <v>300.09751399999999</v>
      </c>
      <c r="I297" s="217">
        <f t="shared" si="15"/>
        <v>0</v>
      </c>
      <c r="J297" s="166">
        <v>312.0752</v>
      </c>
      <c r="K297" s="352">
        <f>SUM(A297:J297)</f>
        <v>1499.948764</v>
      </c>
      <c r="L297" s="348" t="s">
        <v>85</v>
      </c>
      <c r="M297" s="151"/>
      <c r="N297" s="353"/>
    </row>
    <row r="298" spans="1:14" s="65" customFormat="1" ht="11.25" hidden="1" x14ac:dyDescent="0.2">
      <c r="A298" s="214">
        <v>142.04</v>
      </c>
      <c r="B298" s="145">
        <v>57.589542999999999</v>
      </c>
      <c r="C298" s="217">
        <v>32.130200000000002</v>
      </c>
      <c r="D298" s="152">
        <v>624.50019999999995</v>
      </c>
      <c r="E298" s="144" t="s">
        <v>207</v>
      </c>
      <c r="F298" s="217">
        <v>138.75527600000001</v>
      </c>
      <c r="G298" s="217">
        <v>46.944000000000003</v>
      </c>
      <c r="H298" s="217">
        <v>289.401093</v>
      </c>
      <c r="I298" s="217">
        <v>0</v>
      </c>
      <c r="J298" s="166">
        <v>349.30860000000001</v>
      </c>
      <c r="K298" s="352">
        <f>SUM(A298:J298)</f>
        <v>1680.6689119999999</v>
      </c>
      <c r="L298" s="348" t="s">
        <v>86</v>
      </c>
      <c r="M298" s="151"/>
      <c r="N298" s="353"/>
    </row>
    <row r="299" spans="1:14" s="65" customFormat="1" ht="11.25" hidden="1" x14ac:dyDescent="0.2">
      <c r="A299" s="214">
        <v>165.42500000000001</v>
      </c>
      <c r="B299" s="145">
        <v>27.227243999999999</v>
      </c>
      <c r="C299" s="217">
        <v>29.5046</v>
      </c>
      <c r="D299" s="152">
        <v>501.30860000000001</v>
      </c>
      <c r="E299" s="144" t="s">
        <v>207</v>
      </c>
      <c r="F299" s="217">
        <v>157.42899399999999</v>
      </c>
      <c r="G299" s="217">
        <v>43.215000000000003</v>
      </c>
      <c r="H299" s="217">
        <v>335.94713899999999</v>
      </c>
      <c r="I299" s="217">
        <v>0</v>
      </c>
      <c r="J299" s="166">
        <v>283.06139999999999</v>
      </c>
      <c r="K299" s="352">
        <f>SUM(A299:J299)</f>
        <v>1543.1179770000001</v>
      </c>
      <c r="L299" s="348" t="s">
        <v>87</v>
      </c>
      <c r="M299" s="151"/>
      <c r="N299" s="353"/>
    </row>
    <row r="300" spans="1:14" s="65" customFormat="1" ht="11.25" x14ac:dyDescent="0.2">
      <c r="A300" s="214">
        <f t="shared" ref="A300:K300" si="16">SUM(A297:A299)</f>
        <v>428.6</v>
      </c>
      <c r="B300" s="145">
        <f t="shared" si="16"/>
        <v>118.76413799999999</v>
      </c>
      <c r="C300" s="217">
        <f t="shared" si="16"/>
        <v>87.782979999999995</v>
      </c>
      <c r="D300" s="152">
        <f t="shared" si="16"/>
        <v>1693.0908000000002</v>
      </c>
      <c r="E300" s="144">
        <f t="shared" si="16"/>
        <v>0</v>
      </c>
      <c r="F300" s="217">
        <f t="shared" si="16"/>
        <v>399.09478899999999</v>
      </c>
      <c r="G300" s="217">
        <f t="shared" si="16"/>
        <v>126.512</v>
      </c>
      <c r="H300" s="217">
        <f t="shared" si="16"/>
        <v>925.44574599999999</v>
      </c>
      <c r="I300" s="217">
        <f t="shared" si="16"/>
        <v>0</v>
      </c>
      <c r="J300" s="166">
        <f t="shared" si="16"/>
        <v>944.44520000000011</v>
      </c>
      <c r="K300" s="352">
        <f t="shared" si="16"/>
        <v>4723.7356529999997</v>
      </c>
      <c r="L300" s="348" t="s">
        <v>55</v>
      </c>
      <c r="M300" s="151"/>
      <c r="N300" s="353"/>
    </row>
    <row r="301" spans="1:14" s="65" customFormat="1" ht="11.25" hidden="1" x14ac:dyDescent="0.2">
      <c r="A301" s="214">
        <v>34.954000000000001</v>
      </c>
      <c r="B301" s="145">
        <v>93.084795</v>
      </c>
      <c r="C301" s="217">
        <v>23.271599999999999</v>
      </c>
      <c r="D301" s="152">
        <v>457.38979999999998</v>
      </c>
      <c r="E301" s="144">
        <v>0</v>
      </c>
      <c r="F301" s="217">
        <v>175.949029</v>
      </c>
      <c r="G301" s="217">
        <v>24.968</v>
      </c>
      <c r="H301" s="217">
        <v>272.871284</v>
      </c>
      <c r="I301" s="217">
        <f>SUM(I298:I300)</f>
        <v>0</v>
      </c>
      <c r="J301" s="166">
        <v>250.5651</v>
      </c>
      <c r="K301" s="352">
        <f>SUM(A301:J301)</f>
        <v>1333.0536079999999</v>
      </c>
      <c r="L301" s="348" t="s">
        <v>89</v>
      </c>
      <c r="M301" s="151"/>
      <c r="N301" s="353"/>
    </row>
    <row r="302" spans="1:14" s="65" customFormat="1" ht="11.25" hidden="1" x14ac:dyDescent="0.2">
      <c r="A302" s="214">
        <v>218.01300000000001</v>
      </c>
      <c r="B302" s="145">
        <v>92.513926999999995</v>
      </c>
      <c r="C302" s="217">
        <v>31.7226</v>
      </c>
      <c r="D302" s="152">
        <v>484.6422</v>
      </c>
      <c r="E302" s="144">
        <v>0</v>
      </c>
      <c r="F302" s="217">
        <v>263.08612099999999</v>
      </c>
      <c r="G302" s="217">
        <v>44.795999999999999</v>
      </c>
      <c r="H302" s="217">
        <v>331.125855</v>
      </c>
      <c r="I302" s="217">
        <f>SUM(I299:I301)</f>
        <v>0</v>
      </c>
      <c r="J302" s="166">
        <v>168.613</v>
      </c>
      <c r="K302" s="352">
        <f>SUM(A302:J302)</f>
        <v>1634.5127030000001</v>
      </c>
      <c r="L302" s="348" t="s">
        <v>90</v>
      </c>
      <c r="M302" s="151"/>
      <c r="N302" s="353"/>
    </row>
    <row r="303" spans="1:14" s="65" customFormat="1" ht="11.25" hidden="1" x14ac:dyDescent="0.2">
      <c r="A303" s="214">
        <v>140.43199999999999</v>
      </c>
      <c r="B303" s="145">
        <v>29.948986999999999</v>
      </c>
      <c r="C303" s="217">
        <v>39.964799999999997</v>
      </c>
      <c r="D303" s="152">
        <v>623.62059999999997</v>
      </c>
      <c r="E303" s="144">
        <v>0</v>
      </c>
      <c r="F303" s="217">
        <v>284.12980700000003</v>
      </c>
      <c r="G303" s="217">
        <v>35.442999999999998</v>
      </c>
      <c r="H303" s="217">
        <v>222.12763200000001</v>
      </c>
      <c r="I303" s="217">
        <f>SUM(I300:I302)</f>
        <v>0</v>
      </c>
      <c r="J303" s="166">
        <v>201.68809999999999</v>
      </c>
      <c r="K303" s="352">
        <f>SUM(A303:J303)</f>
        <v>1577.354926</v>
      </c>
      <c r="L303" s="348" t="s">
        <v>91</v>
      </c>
      <c r="M303" s="151"/>
      <c r="N303" s="353"/>
    </row>
    <row r="304" spans="1:14" s="65" customFormat="1" ht="11.25" x14ac:dyDescent="0.2">
      <c r="A304" s="214">
        <f t="shared" ref="A304:J304" si="17">SUM(A301:A303)</f>
        <v>393.399</v>
      </c>
      <c r="B304" s="145">
        <f t="shared" si="17"/>
        <v>215.547709</v>
      </c>
      <c r="C304" s="217">
        <f t="shared" si="17"/>
        <v>94.959000000000003</v>
      </c>
      <c r="D304" s="152">
        <f t="shared" si="17"/>
        <v>1565.6525999999999</v>
      </c>
      <c r="E304" s="144">
        <f t="shared" si="17"/>
        <v>0</v>
      </c>
      <c r="F304" s="217">
        <f t="shared" si="17"/>
        <v>723.16495699999996</v>
      </c>
      <c r="G304" s="217">
        <f t="shared" si="17"/>
        <v>105.20699999999999</v>
      </c>
      <c r="H304" s="217">
        <f t="shared" si="17"/>
        <v>826.12477100000001</v>
      </c>
      <c r="I304" s="217">
        <f t="shared" si="17"/>
        <v>0</v>
      </c>
      <c r="J304" s="166">
        <f t="shared" si="17"/>
        <v>620.86619999999994</v>
      </c>
      <c r="K304" s="352">
        <f>SUM(K301:K303)</f>
        <v>4544.9212370000005</v>
      </c>
      <c r="L304" s="348" t="s">
        <v>56</v>
      </c>
      <c r="M304" s="151"/>
      <c r="N304" s="353"/>
    </row>
    <row r="305" spans="1:14" s="65" customFormat="1" ht="11.25" x14ac:dyDescent="0.2">
      <c r="A305" s="213"/>
      <c r="B305" s="130"/>
      <c r="C305" s="216"/>
      <c r="D305" s="128"/>
      <c r="E305" s="127"/>
      <c r="F305" s="216"/>
      <c r="G305" s="216"/>
      <c r="H305" s="216"/>
      <c r="I305" s="217"/>
      <c r="J305" s="158"/>
      <c r="K305" s="259"/>
      <c r="L305" s="269"/>
      <c r="M305" s="135"/>
      <c r="N305" s="353"/>
    </row>
    <row r="306" spans="1:14" s="65" customFormat="1" ht="11.25" hidden="1" x14ac:dyDescent="0.2">
      <c r="A306" s="213">
        <v>25.038</v>
      </c>
      <c r="B306" s="130">
        <v>93.282381000000001</v>
      </c>
      <c r="C306" s="216">
        <v>32.912016000000001</v>
      </c>
      <c r="D306" s="128">
        <v>552.68020000000001</v>
      </c>
      <c r="E306" s="127">
        <v>0.39100000000000001</v>
      </c>
      <c r="F306" s="216">
        <v>365.13070199999999</v>
      </c>
      <c r="G306" s="216">
        <v>32.139000000000003</v>
      </c>
      <c r="H306" s="216">
        <v>329.7672</v>
      </c>
      <c r="I306" s="217">
        <v>0</v>
      </c>
      <c r="J306" s="158">
        <v>240.30029999999999</v>
      </c>
      <c r="K306" s="261">
        <f>SUM(A306:J306)</f>
        <v>1671.6407989999998</v>
      </c>
      <c r="L306" s="269" t="s">
        <v>78</v>
      </c>
      <c r="M306" s="135">
        <v>2023</v>
      </c>
      <c r="N306" s="353"/>
    </row>
    <row r="307" spans="1:14" s="65" customFormat="1" ht="11.25" hidden="1" x14ac:dyDescent="0.2">
      <c r="A307" s="213">
        <v>112.057</v>
      </c>
      <c r="B307" s="130">
        <v>124.27965399999999</v>
      </c>
      <c r="C307" s="216">
        <v>31.967796</v>
      </c>
      <c r="D307" s="128">
        <v>528.55160000000001</v>
      </c>
      <c r="E307" s="127">
        <v>0</v>
      </c>
      <c r="F307" s="216">
        <v>318.98338200000001</v>
      </c>
      <c r="G307" s="216">
        <v>45.170999999999999</v>
      </c>
      <c r="H307" s="216">
        <v>211.31097</v>
      </c>
      <c r="I307" s="217">
        <v>0</v>
      </c>
      <c r="J307" s="158">
        <v>203.0582</v>
      </c>
      <c r="K307" s="261">
        <f>SUM(A307:J307)</f>
        <v>1575.3796020000002</v>
      </c>
      <c r="L307" s="269" t="s">
        <v>79</v>
      </c>
      <c r="M307" s="135"/>
      <c r="N307" s="353"/>
    </row>
    <row r="308" spans="1:14" s="65" customFormat="1" ht="11.25" hidden="1" x14ac:dyDescent="0.2">
      <c r="A308" s="213">
        <v>85.402000000000001</v>
      </c>
      <c r="B308" s="130">
        <v>87.213864000000001</v>
      </c>
      <c r="C308" s="216">
        <v>46.006113999999997</v>
      </c>
      <c r="D308" s="128">
        <v>590.00250000000005</v>
      </c>
      <c r="E308" s="127">
        <v>0</v>
      </c>
      <c r="F308" s="216">
        <v>393.73889100000002</v>
      </c>
      <c r="G308" s="216">
        <v>37.383000000000003</v>
      </c>
      <c r="H308" s="216">
        <v>254.57986700000001</v>
      </c>
      <c r="I308" s="217">
        <v>0</v>
      </c>
      <c r="J308" s="158">
        <v>246.22329999999999</v>
      </c>
      <c r="K308" s="261">
        <f>SUM(A308:J308)</f>
        <v>1740.549536</v>
      </c>
      <c r="L308" s="269" t="s">
        <v>80</v>
      </c>
      <c r="M308" s="135"/>
      <c r="N308" s="353"/>
    </row>
    <row r="309" spans="1:14" s="65" customFormat="1" ht="11.25" x14ac:dyDescent="0.2">
      <c r="A309" s="214">
        <f t="shared" ref="A309:K309" si="18">SUM(A306:A308)</f>
        <v>222.49700000000001</v>
      </c>
      <c r="B309" s="145">
        <f t="shared" si="18"/>
        <v>304.77589899999998</v>
      </c>
      <c r="C309" s="217">
        <f t="shared" si="18"/>
        <v>110.885926</v>
      </c>
      <c r="D309" s="152">
        <f t="shared" si="18"/>
        <v>1671.2343000000001</v>
      </c>
      <c r="E309" s="144">
        <f t="shared" si="18"/>
        <v>0.39100000000000001</v>
      </c>
      <c r="F309" s="217">
        <f>SUM(F306:F308)</f>
        <v>1077.852975</v>
      </c>
      <c r="G309" s="217">
        <f t="shared" si="18"/>
        <v>114.69300000000001</v>
      </c>
      <c r="H309" s="217">
        <f t="shared" si="18"/>
        <v>795.65803700000004</v>
      </c>
      <c r="I309" s="217">
        <f t="shared" si="18"/>
        <v>0</v>
      </c>
      <c r="J309" s="166">
        <f t="shared" si="18"/>
        <v>689.58179999999993</v>
      </c>
      <c r="K309" s="278">
        <f t="shared" si="18"/>
        <v>4987.5699370000002</v>
      </c>
      <c r="L309" s="348" t="s">
        <v>53</v>
      </c>
      <c r="M309" s="151">
        <v>2023</v>
      </c>
      <c r="N309" s="353"/>
    </row>
    <row r="310" spans="1:14" s="65" customFormat="1" ht="11.25" hidden="1" x14ac:dyDescent="0.2">
      <c r="A310" s="214">
        <v>130.376</v>
      </c>
      <c r="B310" s="145">
        <v>32.884999999999998</v>
      </c>
      <c r="C310" s="217">
        <v>59.398319379999997</v>
      </c>
      <c r="D310" s="152">
        <v>440.6782</v>
      </c>
      <c r="E310" s="144">
        <v>0</v>
      </c>
      <c r="F310" s="217">
        <v>397.73410100000001</v>
      </c>
      <c r="G310" s="217">
        <v>33.378999999999998</v>
      </c>
      <c r="H310" s="217">
        <v>298.50171</v>
      </c>
      <c r="I310" s="217">
        <v>0</v>
      </c>
      <c r="J310" s="166">
        <v>254.2655</v>
      </c>
      <c r="K310" s="278">
        <f>SUM(A310:J310)</f>
        <v>1647.2178303799999</v>
      </c>
      <c r="L310" s="348" t="s">
        <v>68</v>
      </c>
      <c r="M310" s="135"/>
      <c r="N310" s="353"/>
    </row>
    <row r="311" spans="1:14" s="65" customFormat="1" ht="11.25" hidden="1" x14ac:dyDescent="0.2">
      <c r="A311" s="214">
        <v>227.59399999999999</v>
      </c>
      <c r="B311" s="145">
        <v>68.775859999999994</v>
      </c>
      <c r="C311" s="217">
        <v>105.25068245</v>
      </c>
      <c r="D311" s="152">
        <v>564.99720000000002</v>
      </c>
      <c r="E311" s="144">
        <v>0</v>
      </c>
      <c r="F311" s="217">
        <v>368.25005199999998</v>
      </c>
      <c r="G311" s="217">
        <v>31.100999999999999</v>
      </c>
      <c r="H311" s="217">
        <v>211.41553999999999</v>
      </c>
      <c r="I311" s="217">
        <v>0</v>
      </c>
      <c r="J311" s="166">
        <v>250.89080000000001</v>
      </c>
      <c r="K311" s="278">
        <f>SUM(A311:J311)</f>
        <v>1828.2751344500002</v>
      </c>
      <c r="L311" s="348" t="s">
        <v>82</v>
      </c>
      <c r="M311" s="135"/>
      <c r="N311" s="353"/>
    </row>
    <row r="312" spans="1:14" s="65" customFormat="1" ht="11.25" hidden="1" x14ac:dyDescent="0.2">
      <c r="A312" s="214">
        <v>137.684</v>
      </c>
      <c r="B312" s="145">
        <v>124.831439</v>
      </c>
      <c r="C312" s="217">
        <v>145.23191029</v>
      </c>
      <c r="D312" s="152">
        <v>681.65959999999995</v>
      </c>
      <c r="E312" s="144">
        <v>0</v>
      </c>
      <c r="F312" s="217">
        <v>356.33626500000003</v>
      </c>
      <c r="G312" s="217">
        <v>56.685000000000002</v>
      </c>
      <c r="H312" s="217">
        <v>133.06285199999999</v>
      </c>
      <c r="I312" s="217">
        <v>0</v>
      </c>
      <c r="J312" s="166">
        <v>225.95570000000001</v>
      </c>
      <c r="K312" s="278">
        <f>SUM(A312:J312)</f>
        <v>1861.4467662899997</v>
      </c>
      <c r="L312" s="348" t="s">
        <v>83</v>
      </c>
      <c r="M312" s="135"/>
      <c r="N312" s="353"/>
    </row>
    <row r="313" spans="1:14" s="65" customFormat="1" ht="11.25" x14ac:dyDescent="0.2">
      <c r="A313" s="214">
        <f t="shared" ref="A313:K316" si="19">SUM(A310:A312)</f>
        <v>495.654</v>
      </c>
      <c r="B313" s="145">
        <f t="shared" si="19"/>
        <v>226.492299</v>
      </c>
      <c r="C313" s="217">
        <f t="shared" si="19"/>
        <v>309.88091212</v>
      </c>
      <c r="D313" s="152">
        <f t="shared" si="19"/>
        <v>1687.335</v>
      </c>
      <c r="E313" s="144">
        <f t="shared" si="19"/>
        <v>0</v>
      </c>
      <c r="F313" s="217">
        <f t="shared" si="19"/>
        <v>1122.320418</v>
      </c>
      <c r="G313" s="217">
        <f t="shared" si="19"/>
        <v>121.16499999999999</v>
      </c>
      <c r="H313" s="217">
        <f t="shared" si="19"/>
        <v>642.98010199999999</v>
      </c>
      <c r="I313" s="217">
        <f t="shared" si="19"/>
        <v>0</v>
      </c>
      <c r="J313" s="166">
        <f t="shared" si="19"/>
        <v>731.11199999999997</v>
      </c>
      <c r="K313" s="278">
        <f t="shared" si="19"/>
        <v>5336.93973112</v>
      </c>
      <c r="L313" s="348" t="s">
        <v>54</v>
      </c>
      <c r="M313" s="135"/>
      <c r="N313" s="353"/>
    </row>
    <row r="314" spans="1:14" s="65" customFormat="1" ht="11.25" hidden="1" x14ac:dyDescent="0.2">
      <c r="A314" s="214">
        <v>167.185</v>
      </c>
      <c r="B314" s="145">
        <v>98.665521999999996</v>
      </c>
      <c r="C314" s="217">
        <v>126.391436</v>
      </c>
      <c r="D314" s="152">
        <v>521.03449999999998</v>
      </c>
      <c r="E314" s="144">
        <v>0</v>
      </c>
      <c r="F314" s="217">
        <v>357.06701399999997</v>
      </c>
      <c r="G314" s="217">
        <v>35.719000000000001</v>
      </c>
      <c r="H314" s="217">
        <v>235.06301999999999</v>
      </c>
      <c r="I314" s="217">
        <f t="shared" si="19"/>
        <v>0</v>
      </c>
      <c r="J314" s="166">
        <v>214.32040000000001</v>
      </c>
      <c r="K314" s="278">
        <f>SUM(A314:J314)</f>
        <v>1755.4458920000002</v>
      </c>
      <c r="L314" s="348" t="s">
        <v>85</v>
      </c>
      <c r="M314" s="135"/>
      <c r="N314" s="353"/>
    </row>
    <row r="315" spans="1:14" s="65" customFormat="1" ht="11.25" hidden="1" x14ac:dyDescent="0.2">
      <c r="A315" s="214">
        <v>156.39500000000001</v>
      </c>
      <c r="B315" s="145">
        <v>111.13752599999999</v>
      </c>
      <c r="C315" s="217">
        <v>56.264958</v>
      </c>
      <c r="D315" s="152">
        <v>533.91420000000005</v>
      </c>
      <c r="E315" s="144">
        <v>0</v>
      </c>
      <c r="F315" s="217">
        <v>248.95611</v>
      </c>
      <c r="G315" s="217">
        <v>33.356000000000002</v>
      </c>
      <c r="H315" s="217">
        <v>259.36273399999999</v>
      </c>
      <c r="I315" s="217">
        <f t="shared" si="19"/>
        <v>0</v>
      </c>
      <c r="J315" s="166">
        <v>236.26070000000001</v>
      </c>
      <c r="K315" s="278">
        <f>SUM(A315:J315)</f>
        <v>1635.6472280000003</v>
      </c>
      <c r="L315" s="348" t="s">
        <v>86</v>
      </c>
      <c r="M315" s="135"/>
      <c r="N315" s="353"/>
    </row>
    <row r="316" spans="1:14" s="65" customFormat="1" ht="11.25" hidden="1" x14ac:dyDescent="0.2">
      <c r="A316" s="214">
        <v>146.303</v>
      </c>
      <c r="B316" s="145">
        <v>125.139346</v>
      </c>
      <c r="C316" s="217">
        <v>124.49140020999999</v>
      </c>
      <c r="D316" s="152">
        <v>547.36009999999999</v>
      </c>
      <c r="E316" s="144">
        <v>0</v>
      </c>
      <c r="F316" s="217">
        <v>371.59</v>
      </c>
      <c r="G316" s="217">
        <v>28.349</v>
      </c>
      <c r="H316" s="217">
        <v>189.32560899999999</v>
      </c>
      <c r="I316" s="217">
        <f t="shared" si="19"/>
        <v>0</v>
      </c>
      <c r="J316" s="166">
        <v>198.07939999999999</v>
      </c>
      <c r="K316" s="278">
        <f>SUM(A316:J316)</f>
        <v>1730.63785521</v>
      </c>
      <c r="L316" s="348" t="s">
        <v>87</v>
      </c>
      <c r="M316" s="135"/>
      <c r="N316" s="353"/>
    </row>
    <row r="317" spans="1:14" s="65" customFormat="1" ht="11.25" x14ac:dyDescent="0.2">
      <c r="A317" s="214">
        <f t="shared" ref="A317:J317" si="20">SUM(A314:A316)</f>
        <v>469.88300000000004</v>
      </c>
      <c r="B317" s="145">
        <f t="shared" si="20"/>
        <v>334.94239399999998</v>
      </c>
      <c r="C317" s="217">
        <f t="shared" si="20"/>
        <v>307.14779421000003</v>
      </c>
      <c r="D317" s="152">
        <f t="shared" si="20"/>
        <v>1602.3087999999998</v>
      </c>
      <c r="E317" s="144">
        <f t="shared" si="20"/>
        <v>0</v>
      </c>
      <c r="F317" s="217">
        <f t="shared" si="20"/>
        <v>977.61312399999997</v>
      </c>
      <c r="G317" s="217">
        <f t="shared" si="20"/>
        <v>97.424000000000007</v>
      </c>
      <c r="H317" s="217">
        <f t="shared" si="20"/>
        <v>683.75136299999997</v>
      </c>
      <c r="I317" s="217">
        <f t="shared" si="20"/>
        <v>0</v>
      </c>
      <c r="J317" s="166">
        <f t="shared" si="20"/>
        <v>648.66049999999996</v>
      </c>
      <c r="K317" s="278">
        <f>SUM(K314:K316)</f>
        <v>5121.7309752100009</v>
      </c>
      <c r="L317" s="348" t="s">
        <v>55</v>
      </c>
      <c r="M317" s="135"/>
      <c r="N317" s="353"/>
    </row>
    <row r="318" spans="1:14" s="65" customFormat="1" ht="11.25" hidden="1" x14ac:dyDescent="0.2">
      <c r="A318" s="214">
        <v>127.193</v>
      </c>
      <c r="B318" s="145">
        <v>0</v>
      </c>
      <c r="C318" s="217">
        <v>82.043235379999999</v>
      </c>
      <c r="D318" s="152">
        <v>438.57299999999998</v>
      </c>
      <c r="E318" s="144">
        <v>0</v>
      </c>
      <c r="F318" s="217">
        <v>235.503455</v>
      </c>
      <c r="G318" s="217">
        <v>36.345999999999997</v>
      </c>
      <c r="H318" s="217">
        <v>149.35990799999999</v>
      </c>
      <c r="I318" s="217">
        <v>0</v>
      </c>
      <c r="J318" s="166">
        <v>267.07350000000002</v>
      </c>
      <c r="K318" s="278">
        <f>SUM(A318:J318)</f>
        <v>1336.0920983799999</v>
      </c>
      <c r="L318" s="348" t="s">
        <v>89</v>
      </c>
      <c r="M318" s="135"/>
      <c r="N318" s="353"/>
    </row>
    <row r="319" spans="1:14" s="65" customFormat="1" ht="11.25" hidden="1" x14ac:dyDescent="0.2">
      <c r="A319" s="214">
        <v>106.53100000000001</v>
      </c>
      <c r="B319" s="145">
        <v>59.052764000000003</v>
      </c>
      <c r="C319" s="217">
        <v>70.908176999999995</v>
      </c>
      <c r="D319" s="152">
        <v>490.98160000000001</v>
      </c>
      <c r="E319" s="144">
        <v>0</v>
      </c>
      <c r="F319" s="217">
        <v>211.59601499999999</v>
      </c>
      <c r="G319" s="217">
        <v>28.331</v>
      </c>
      <c r="H319" s="217">
        <v>207.794871</v>
      </c>
      <c r="I319" s="217">
        <v>0</v>
      </c>
      <c r="J319" s="166">
        <v>225.05070000000001</v>
      </c>
      <c r="K319" s="278">
        <f>SUM(A319:J319)</f>
        <v>1400.2461270000001</v>
      </c>
      <c r="L319" s="348" t="s">
        <v>90</v>
      </c>
      <c r="M319" s="135"/>
      <c r="N319" s="353"/>
    </row>
    <row r="320" spans="1:14" s="65" customFormat="1" ht="11.25" hidden="1" x14ac:dyDescent="0.2">
      <c r="A320" s="214">
        <v>160.86199999999999</v>
      </c>
      <c r="B320" s="145">
        <v>125.51209799999999</v>
      </c>
      <c r="C320" s="217">
        <v>47.145947999999997</v>
      </c>
      <c r="D320" s="152">
        <v>468.23320000000001</v>
      </c>
      <c r="E320" s="144">
        <v>0</v>
      </c>
      <c r="F320" s="217">
        <v>157.40717000000001</v>
      </c>
      <c r="G320" s="217">
        <v>32.113999999999997</v>
      </c>
      <c r="H320" s="217">
        <v>294.66378200000003</v>
      </c>
      <c r="I320" s="217">
        <v>0</v>
      </c>
      <c r="J320" s="166">
        <v>209.32919999999999</v>
      </c>
      <c r="K320" s="278">
        <f>SUM(A320:J320)</f>
        <v>1495.267398</v>
      </c>
      <c r="L320" s="348" t="s">
        <v>91</v>
      </c>
      <c r="M320" s="135"/>
      <c r="N320" s="353"/>
    </row>
    <row r="321" spans="1:14" s="65" customFormat="1" ht="11.25" x14ac:dyDescent="0.2">
      <c r="A321" s="214">
        <f t="shared" ref="A321:K325" si="21">SUM(A318:A320)</f>
        <v>394.58600000000001</v>
      </c>
      <c r="B321" s="145">
        <f t="shared" si="21"/>
        <v>184.56486200000001</v>
      </c>
      <c r="C321" s="217">
        <f t="shared" si="21"/>
        <v>200.09736038</v>
      </c>
      <c r="D321" s="152">
        <f t="shared" si="21"/>
        <v>1397.7878000000001</v>
      </c>
      <c r="E321" s="144">
        <f t="shared" si="21"/>
        <v>0</v>
      </c>
      <c r="F321" s="217">
        <f t="shared" si="21"/>
        <v>604.50664000000006</v>
      </c>
      <c r="G321" s="217">
        <f t="shared" si="21"/>
        <v>96.790999999999997</v>
      </c>
      <c r="H321" s="217">
        <f t="shared" si="21"/>
        <v>651.81856100000005</v>
      </c>
      <c r="I321" s="217">
        <f t="shared" si="21"/>
        <v>0</v>
      </c>
      <c r="J321" s="166">
        <f t="shared" si="21"/>
        <v>701.45339999999999</v>
      </c>
      <c r="K321" s="278">
        <f t="shared" si="21"/>
        <v>4231.60562338</v>
      </c>
      <c r="L321" s="348" t="s">
        <v>56</v>
      </c>
      <c r="M321" s="135"/>
      <c r="N321" s="353"/>
    </row>
    <row r="322" spans="1:14" s="65" customFormat="1" ht="11.25" x14ac:dyDescent="0.2">
      <c r="A322" s="213"/>
      <c r="B322" s="130"/>
      <c r="C322" s="216"/>
      <c r="D322" s="128"/>
      <c r="E322" s="127"/>
      <c r="F322" s="216"/>
      <c r="G322" s="216"/>
      <c r="H322" s="216"/>
      <c r="I322" s="217"/>
      <c r="J322" s="158"/>
      <c r="K322" s="261"/>
      <c r="L322" s="269"/>
      <c r="M322" s="135"/>
      <c r="N322" s="353"/>
    </row>
    <row r="323" spans="1:14" s="65" customFormat="1" ht="11.25" hidden="1" x14ac:dyDescent="0.2">
      <c r="A323" s="213">
        <v>77</v>
      </c>
      <c r="B323" s="130">
        <v>32.910178000000002</v>
      </c>
      <c r="C323" s="216">
        <v>43.278182000000001</v>
      </c>
      <c r="D323" s="128">
        <v>493.5591</v>
      </c>
      <c r="E323" s="127">
        <v>0</v>
      </c>
      <c r="F323" s="216">
        <v>179.446957</v>
      </c>
      <c r="G323" s="216">
        <v>48.655999999999999</v>
      </c>
      <c r="H323" s="216">
        <v>264.54525000000001</v>
      </c>
      <c r="I323" s="217">
        <f t="shared" si="21"/>
        <v>0</v>
      </c>
      <c r="J323" s="158">
        <v>209.74379999999999</v>
      </c>
      <c r="K323" s="261">
        <f>SUM(A323:J323)</f>
        <v>1349.139467</v>
      </c>
      <c r="L323" s="269" t="s">
        <v>78</v>
      </c>
      <c r="M323" s="135">
        <v>2024</v>
      </c>
      <c r="N323" s="349"/>
    </row>
    <row r="324" spans="1:14" s="65" customFormat="1" ht="11.25" hidden="1" x14ac:dyDescent="0.2">
      <c r="A324" s="213">
        <v>76.167000000000002</v>
      </c>
      <c r="B324" s="130">
        <v>67.581637999999998</v>
      </c>
      <c r="C324" s="216">
        <v>63.095752999999995</v>
      </c>
      <c r="D324" s="128">
        <v>549.18320000000006</v>
      </c>
      <c r="E324" s="127">
        <v>0</v>
      </c>
      <c r="F324" s="216">
        <v>192.17526500000002</v>
      </c>
      <c r="G324" s="216">
        <v>16.963999999999999</v>
      </c>
      <c r="H324" s="216">
        <v>223.58519200000001</v>
      </c>
      <c r="I324" s="217">
        <f t="shared" si="21"/>
        <v>0</v>
      </c>
      <c r="J324" s="158">
        <v>210.25360000000001</v>
      </c>
      <c r="K324" s="261">
        <f>SUM(A324:J324)</f>
        <v>1399.0056480000001</v>
      </c>
      <c r="L324" s="269" t="s">
        <v>79</v>
      </c>
      <c r="M324" s="135"/>
      <c r="N324" s="349"/>
    </row>
    <row r="325" spans="1:14" s="65" customFormat="1" ht="11.25" hidden="1" x14ac:dyDescent="0.2">
      <c r="A325" s="213">
        <v>47.832000000000001</v>
      </c>
      <c r="B325" s="130">
        <v>92.348939000000001</v>
      </c>
      <c r="C325" s="216">
        <v>107.14332800000001</v>
      </c>
      <c r="D325" s="128">
        <v>663.60580000000004</v>
      </c>
      <c r="E325" s="127">
        <v>0</v>
      </c>
      <c r="F325" s="216">
        <v>239.809425</v>
      </c>
      <c r="G325" s="216">
        <v>35.485999999999997</v>
      </c>
      <c r="H325" s="216">
        <v>267.35464300000001</v>
      </c>
      <c r="I325" s="217">
        <f t="shared" si="21"/>
        <v>0</v>
      </c>
      <c r="J325" s="158">
        <v>246.23150000000001</v>
      </c>
      <c r="K325" s="261">
        <f>SUM(A325:J325)</f>
        <v>1699.8116350000003</v>
      </c>
      <c r="L325" s="269" t="s">
        <v>80</v>
      </c>
      <c r="M325" s="135"/>
      <c r="N325" s="349"/>
    </row>
    <row r="326" spans="1:14" s="65" customFormat="1" ht="11.25" x14ac:dyDescent="0.2">
      <c r="A326" s="214">
        <f t="shared" ref="A326:J326" si="22">SUM(A323:A325)</f>
        <v>200.999</v>
      </c>
      <c r="B326" s="145">
        <f t="shared" si="22"/>
        <v>192.840755</v>
      </c>
      <c r="C326" s="217">
        <f t="shared" si="22"/>
        <v>213.51726300000001</v>
      </c>
      <c r="D326" s="152">
        <f t="shared" si="22"/>
        <v>1706.3481000000002</v>
      </c>
      <c r="E326" s="144">
        <f t="shared" si="22"/>
        <v>0</v>
      </c>
      <c r="F326" s="217">
        <f t="shared" si="22"/>
        <v>611.431647</v>
      </c>
      <c r="G326" s="217">
        <f t="shared" si="22"/>
        <v>101.10599999999999</v>
      </c>
      <c r="H326" s="217">
        <f t="shared" si="22"/>
        <v>755.48508500000003</v>
      </c>
      <c r="I326" s="217">
        <f t="shared" si="22"/>
        <v>0</v>
      </c>
      <c r="J326" s="166">
        <f t="shared" si="22"/>
        <v>666.22889999999995</v>
      </c>
      <c r="K326" s="278">
        <f>SUM(K323:K325)</f>
        <v>4447.9567500000003</v>
      </c>
      <c r="L326" s="348" t="s">
        <v>53</v>
      </c>
      <c r="M326" s="151">
        <v>2024</v>
      </c>
      <c r="N326" s="353"/>
    </row>
    <row r="327" spans="1:14" s="65" customFormat="1" ht="11.25" hidden="1" x14ac:dyDescent="0.2">
      <c r="A327" s="214">
        <v>51.3</v>
      </c>
      <c r="B327" s="145">
        <v>72.699337999999997</v>
      </c>
      <c r="C327" s="217">
        <v>162.65936199999999</v>
      </c>
      <c r="D327" s="152">
        <v>572.85969999999998</v>
      </c>
      <c r="E327" s="144">
        <v>0</v>
      </c>
      <c r="F327" s="217">
        <v>137.51354200000003</v>
      </c>
      <c r="G327" s="217">
        <v>49</v>
      </c>
      <c r="H327" s="217">
        <v>223.956515</v>
      </c>
      <c r="I327" s="217">
        <v>0</v>
      </c>
      <c r="J327" s="166">
        <v>212.101</v>
      </c>
      <c r="K327" s="278">
        <f>SUM(A327:J327)</f>
        <v>1482.089457</v>
      </c>
      <c r="L327" s="348" t="s">
        <v>68</v>
      </c>
      <c r="M327" s="151"/>
      <c r="N327" s="353"/>
    </row>
    <row r="328" spans="1:14" s="65" customFormat="1" ht="11.25" hidden="1" x14ac:dyDescent="0.2">
      <c r="A328" s="214">
        <v>27.94</v>
      </c>
      <c r="B328" s="145">
        <v>29.212696999999999</v>
      </c>
      <c r="C328" s="217">
        <v>179.60381000000001</v>
      </c>
      <c r="D328" s="152">
        <v>623.97760000000005</v>
      </c>
      <c r="E328" s="144">
        <v>0</v>
      </c>
      <c r="F328" s="217">
        <v>270.23542999999995</v>
      </c>
      <c r="G328" s="217">
        <v>24.327999999999999</v>
      </c>
      <c r="H328" s="217">
        <v>179.39434399999999</v>
      </c>
      <c r="I328" s="217">
        <v>0</v>
      </c>
      <c r="J328" s="166">
        <v>233.75880000000001</v>
      </c>
      <c r="K328" s="278">
        <f>SUM(A328:J328)</f>
        <v>1568.450681</v>
      </c>
      <c r="L328" s="348" t="s">
        <v>82</v>
      </c>
      <c r="M328" s="151"/>
      <c r="N328" s="353"/>
    </row>
    <row r="329" spans="1:14" s="65" customFormat="1" ht="11.25" hidden="1" x14ac:dyDescent="0.2">
      <c r="A329" s="214">
        <v>47.905000000000001</v>
      </c>
      <c r="B329" s="145">
        <v>32.961877000000001</v>
      </c>
      <c r="C329" s="217">
        <v>197.29616300000001</v>
      </c>
      <c r="D329" s="152">
        <v>595.55259999999998</v>
      </c>
      <c r="E329" s="144">
        <v>0</v>
      </c>
      <c r="F329" s="217">
        <v>142.02272000000002</v>
      </c>
      <c r="G329" s="217">
        <v>38.18</v>
      </c>
      <c r="H329" s="217">
        <v>84.634338999999997</v>
      </c>
      <c r="I329" s="217">
        <v>0</v>
      </c>
      <c r="J329" s="166">
        <v>194.6412</v>
      </c>
      <c r="K329" s="278">
        <f>SUM(A329:J329)</f>
        <v>1333.1938990000001</v>
      </c>
      <c r="L329" s="348" t="s">
        <v>83</v>
      </c>
      <c r="M329" s="151"/>
      <c r="N329" s="353"/>
    </row>
    <row r="330" spans="1:14" s="65" customFormat="1" ht="11.25" x14ac:dyDescent="0.2">
      <c r="A330" s="214">
        <f t="shared" ref="A330:K333" si="23">SUM(A327:A329)</f>
        <v>127.145</v>
      </c>
      <c r="B330" s="145">
        <f t="shared" si="23"/>
        <v>134.87391200000002</v>
      </c>
      <c r="C330" s="217">
        <f t="shared" si="23"/>
        <v>539.55933500000003</v>
      </c>
      <c r="D330" s="152">
        <f t="shared" si="23"/>
        <v>1792.3899000000001</v>
      </c>
      <c r="E330" s="144">
        <f t="shared" si="23"/>
        <v>0</v>
      </c>
      <c r="F330" s="217">
        <f t="shared" si="23"/>
        <v>549.77169200000003</v>
      </c>
      <c r="G330" s="217">
        <f t="shared" si="23"/>
        <v>111.50800000000001</v>
      </c>
      <c r="H330" s="217">
        <f t="shared" si="23"/>
        <v>487.98519800000003</v>
      </c>
      <c r="I330" s="217">
        <f t="shared" si="23"/>
        <v>0</v>
      </c>
      <c r="J330" s="166">
        <f t="shared" si="23"/>
        <v>640.50099999999998</v>
      </c>
      <c r="K330" s="278">
        <f t="shared" si="23"/>
        <v>4383.7340370000002</v>
      </c>
      <c r="L330" s="348" t="s">
        <v>54</v>
      </c>
      <c r="M330" s="151"/>
      <c r="N330" s="353"/>
    </row>
    <row r="331" spans="1:14" s="65" customFormat="1" ht="11.25" hidden="1" x14ac:dyDescent="0.2">
      <c r="A331" s="214">
        <v>0</v>
      </c>
      <c r="B331" s="145">
        <v>61.208528000000008</v>
      </c>
      <c r="C331" s="217">
        <v>148.95489333000003</v>
      </c>
      <c r="D331" s="152">
        <v>522.61540000000002</v>
      </c>
      <c r="E331" s="144">
        <v>0.43281599999999998</v>
      </c>
      <c r="F331" s="217">
        <v>135.14638200000002</v>
      </c>
      <c r="G331" s="217">
        <v>32.33</v>
      </c>
      <c r="H331" s="217">
        <v>124.97684700000001</v>
      </c>
      <c r="I331" s="217">
        <f t="shared" si="23"/>
        <v>0</v>
      </c>
      <c r="J331" s="166">
        <v>203.59139999999999</v>
      </c>
      <c r="K331" s="278">
        <f>SUM(A331:J331)</f>
        <v>1229.25626633</v>
      </c>
      <c r="L331" s="348" t="s">
        <v>85</v>
      </c>
      <c r="M331" s="151"/>
      <c r="N331" s="353"/>
    </row>
    <row r="332" spans="1:14" s="65" customFormat="1" ht="11.25" hidden="1" x14ac:dyDescent="0.2">
      <c r="A332" s="214">
        <v>47.97</v>
      </c>
      <c r="B332" s="145">
        <v>77.040539999999993</v>
      </c>
      <c r="C332" s="217">
        <v>217.74434952999999</v>
      </c>
      <c r="D332" s="152">
        <v>645.42660000000001</v>
      </c>
      <c r="E332" s="144">
        <v>0</v>
      </c>
      <c r="F332" s="217">
        <v>148.42037300000001</v>
      </c>
      <c r="G332" s="217">
        <v>15.404</v>
      </c>
      <c r="H332" s="217">
        <v>156.523799</v>
      </c>
      <c r="I332" s="217">
        <f t="shared" si="23"/>
        <v>0</v>
      </c>
      <c r="J332" s="166">
        <v>194.17680000000001</v>
      </c>
      <c r="K332" s="278">
        <f>SUM(A332:J332)</f>
        <v>1502.7064615300001</v>
      </c>
      <c r="L332" s="348" t="s">
        <v>86</v>
      </c>
      <c r="M332" s="151"/>
      <c r="N332" s="353"/>
    </row>
    <row r="333" spans="1:14" s="65" customFormat="1" ht="11.25" hidden="1" x14ac:dyDescent="0.2">
      <c r="A333" s="214">
        <v>46.728000000000002</v>
      </c>
      <c r="B333" s="145">
        <v>30.952373999999999</v>
      </c>
      <c r="C333" s="217">
        <v>135.25711530000001</v>
      </c>
      <c r="D333" s="152">
        <v>626.70269999999994</v>
      </c>
      <c r="E333" s="144">
        <v>0</v>
      </c>
      <c r="F333" s="217">
        <v>155.64503100000002</v>
      </c>
      <c r="G333" s="217">
        <v>25.587</v>
      </c>
      <c r="H333" s="217">
        <v>178.467715</v>
      </c>
      <c r="I333" s="217">
        <f t="shared" si="23"/>
        <v>0</v>
      </c>
      <c r="J333" s="166">
        <v>189.42</v>
      </c>
      <c r="K333" s="278">
        <f>SUM(A333:J333)</f>
        <v>1388.7599353000001</v>
      </c>
      <c r="L333" s="348" t="s">
        <v>87</v>
      </c>
      <c r="M333" s="151"/>
      <c r="N333" s="353"/>
    </row>
    <row r="334" spans="1:14" s="65" customFormat="1" ht="11.25" x14ac:dyDescent="0.2">
      <c r="A334" s="214">
        <f t="shared" ref="A334:K334" si="24">SUM(A331:A333)</f>
        <v>94.698000000000008</v>
      </c>
      <c r="B334" s="145">
        <f t="shared" si="24"/>
        <v>169.20144199999999</v>
      </c>
      <c r="C334" s="217">
        <f t="shared" si="24"/>
        <v>501.95635816000004</v>
      </c>
      <c r="D334" s="152">
        <f t="shared" si="24"/>
        <v>1794.7446999999997</v>
      </c>
      <c r="E334" s="144">
        <f t="shared" si="24"/>
        <v>0.43281599999999998</v>
      </c>
      <c r="F334" s="217">
        <f t="shared" si="24"/>
        <v>439.21178600000007</v>
      </c>
      <c r="G334" s="217">
        <f t="shared" si="24"/>
        <v>73.320999999999998</v>
      </c>
      <c r="H334" s="217">
        <f t="shared" si="24"/>
        <v>459.96836100000002</v>
      </c>
      <c r="I334" s="217">
        <f t="shared" si="24"/>
        <v>0</v>
      </c>
      <c r="J334" s="166">
        <f t="shared" si="24"/>
        <v>587.18819999999994</v>
      </c>
      <c r="K334" s="278">
        <f t="shared" si="24"/>
        <v>4120.7226631600006</v>
      </c>
      <c r="L334" s="348" t="s">
        <v>55</v>
      </c>
      <c r="M334" s="151"/>
      <c r="N334" s="353"/>
    </row>
    <row r="335" spans="1:14" s="65" customFormat="1" ht="11.25" hidden="1" x14ac:dyDescent="0.2">
      <c r="A335" s="214">
        <v>64.625</v>
      </c>
      <c r="B335" s="145">
        <v>63.795543000000002</v>
      </c>
      <c r="C335" s="217">
        <v>143.75329600000001</v>
      </c>
      <c r="D335" s="152">
        <v>469.60149999999999</v>
      </c>
      <c r="E335" s="144">
        <v>0</v>
      </c>
      <c r="F335" s="217">
        <v>167.90312499999999</v>
      </c>
      <c r="G335" s="217">
        <v>19.920999999999999</v>
      </c>
      <c r="H335" s="217">
        <v>207.19547399999999</v>
      </c>
      <c r="I335" s="217">
        <v>0</v>
      </c>
      <c r="J335" s="166">
        <v>184.87220000000002</v>
      </c>
      <c r="K335" s="278">
        <f>SUM(A335:J335)</f>
        <v>1321.667138</v>
      </c>
      <c r="L335" s="348" t="s">
        <v>89</v>
      </c>
      <c r="M335" s="151"/>
      <c r="N335" s="353"/>
    </row>
    <row r="336" spans="1:14" s="65" customFormat="1" ht="11.25" hidden="1" x14ac:dyDescent="0.2">
      <c r="A336" s="214">
        <v>72.05</v>
      </c>
      <c r="B336" s="145">
        <v>66.205352000000005</v>
      </c>
      <c r="C336" s="217">
        <v>161.45988172000008</v>
      </c>
      <c r="D336" s="152">
        <v>534.8972</v>
      </c>
      <c r="E336" s="144">
        <v>0</v>
      </c>
      <c r="F336" s="217">
        <v>195.43257</v>
      </c>
      <c r="G336" s="217">
        <v>41.372</v>
      </c>
      <c r="H336" s="217">
        <v>204.17371900000001</v>
      </c>
      <c r="I336" s="217">
        <v>0</v>
      </c>
      <c r="J336" s="166">
        <v>212.87909999999999</v>
      </c>
      <c r="K336" s="278">
        <f>SUM(A336:J336)</f>
        <v>1488.4698227200001</v>
      </c>
      <c r="L336" s="348" t="s">
        <v>90</v>
      </c>
      <c r="M336" s="151"/>
      <c r="N336" s="353"/>
    </row>
    <row r="337" spans="1:14" s="65" customFormat="1" ht="11.25" hidden="1" x14ac:dyDescent="0.2">
      <c r="A337" s="214">
        <v>83.863</v>
      </c>
      <c r="B337" s="145">
        <v>65.119291000000004</v>
      </c>
      <c r="C337" s="217">
        <v>120.353554</v>
      </c>
      <c r="D337" s="152">
        <v>659.44919999999991</v>
      </c>
      <c r="E337" s="144">
        <v>0</v>
      </c>
      <c r="F337" s="217">
        <v>167.955074</v>
      </c>
      <c r="G337" s="217">
        <v>15.577</v>
      </c>
      <c r="H337" s="217">
        <v>320.56524300000001</v>
      </c>
      <c r="I337" s="217">
        <v>0</v>
      </c>
      <c r="J337" s="166">
        <v>185.0181</v>
      </c>
      <c r="K337" s="278">
        <f>SUM(A337:J337)</f>
        <v>1617.9004619999998</v>
      </c>
      <c r="L337" s="348" t="s">
        <v>91</v>
      </c>
      <c r="M337" s="151"/>
      <c r="N337" s="353"/>
    </row>
    <row r="338" spans="1:14" s="65" customFormat="1" ht="11.25" x14ac:dyDescent="0.2">
      <c r="A338" s="214">
        <f t="shared" ref="A338:K338" si="25">SUM(A335:A337)</f>
        <v>220.53800000000001</v>
      </c>
      <c r="B338" s="145">
        <f t="shared" si="25"/>
        <v>195.12018600000002</v>
      </c>
      <c r="C338" s="217">
        <f t="shared" si="25"/>
        <v>425.56673172000012</v>
      </c>
      <c r="D338" s="152">
        <f t="shared" si="25"/>
        <v>1663.9478999999999</v>
      </c>
      <c r="E338" s="144">
        <f t="shared" si="25"/>
        <v>0</v>
      </c>
      <c r="F338" s="217">
        <f t="shared" si="25"/>
        <v>531.29076899999995</v>
      </c>
      <c r="G338" s="217">
        <f t="shared" si="25"/>
        <v>76.87</v>
      </c>
      <c r="H338" s="217">
        <f t="shared" si="25"/>
        <v>731.93443600000001</v>
      </c>
      <c r="I338" s="217">
        <f t="shared" si="25"/>
        <v>0</v>
      </c>
      <c r="J338" s="166">
        <f t="shared" si="25"/>
        <v>582.76940000000002</v>
      </c>
      <c r="K338" s="278">
        <f t="shared" si="25"/>
        <v>4428.03742272</v>
      </c>
      <c r="L338" s="348" t="s">
        <v>56</v>
      </c>
      <c r="M338" s="151"/>
      <c r="N338" s="353"/>
    </row>
    <row r="339" spans="1:14" s="65" customFormat="1" ht="11.25" x14ac:dyDescent="0.2">
      <c r="A339" s="213"/>
      <c r="B339" s="130"/>
      <c r="C339" s="216"/>
      <c r="D339" s="128"/>
      <c r="E339" s="127"/>
      <c r="F339" s="216"/>
      <c r="G339" s="216"/>
      <c r="H339" s="216"/>
      <c r="I339" s="217"/>
      <c r="J339" s="158"/>
      <c r="K339" s="261"/>
      <c r="L339" s="269"/>
      <c r="M339" s="135"/>
      <c r="N339" s="353"/>
    </row>
    <row r="340" spans="1:14" s="65" customFormat="1" ht="11.25" hidden="1" x14ac:dyDescent="0.2">
      <c r="A340" s="213">
        <v>54.372999999999998</v>
      </c>
      <c r="B340" s="130">
        <v>63.243935</v>
      </c>
      <c r="C340" s="216">
        <v>114.234472</v>
      </c>
      <c r="D340" s="128">
        <v>567.35239999999999</v>
      </c>
      <c r="E340" s="127">
        <v>0</v>
      </c>
      <c r="F340" s="216">
        <v>196.96372099999999</v>
      </c>
      <c r="G340" s="216">
        <v>29.542000000000002</v>
      </c>
      <c r="H340" s="216">
        <v>128.32827499999999</v>
      </c>
      <c r="I340" s="217">
        <v>0</v>
      </c>
      <c r="J340" s="158">
        <v>201.41640000000001</v>
      </c>
      <c r="K340" s="261">
        <f>SUM(A340:J340)</f>
        <v>1355.454203</v>
      </c>
      <c r="L340" s="269" t="s">
        <v>78</v>
      </c>
      <c r="M340" s="135">
        <v>2025</v>
      </c>
      <c r="N340" s="353"/>
    </row>
    <row r="341" spans="1:14" s="65" customFormat="1" ht="11.25" hidden="1" x14ac:dyDescent="0.2">
      <c r="A341" s="213">
        <v>22.741</v>
      </c>
      <c r="B341" s="130">
        <v>100.408203</v>
      </c>
      <c r="C341" s="216">
        <v>104.77135899999999</v>
      </c>
      <c r="D341" s="128">
        <v>531.04140000000007</v>
      </c>
      <c r="E341" s="127">
        <v>0</v>
      </c>
      <c r="F341" s="216">
        <v>211.42380800000001</v>
      </c>
      <c r="G341" s="216">
        <v>35.585999999999999</v>
      </c>
      <c r="H341" s="216">
        <v>122.574631</v>
      </c>
      <c r="I341" s="217">
        <v>0</v>
      </c>
      <c r="J341" s="158">
        <v>217.48140000000001</v>
      </c>
      <c r="K341" s="261">
        <f>SUM(A341:J341)</f>
        <v>1346.0278010000002</v>
      </c>
      <c r="L341" s="269" t="s">
        <v>79</v>
      </c>
      <c r="M341" s="135"/>
      <c r="N341" s="353"/>
    </row>
    <row r="342" spans="1:14" s="65" customFormat="1" ht="11.25" hidden="1" x14ac:dyDescent="0.2">
      <c r="A342" s="213">
        <v>74.36</v>
      </c>
      <c r="B342" s="130">
        <v>67.544735000000003</v>
      </c>
      <c r="C342" s="216">
        <v>126.56443500000002</v>
      </c>
      <c r="D342" s="128">
        <v>662.89519999999993</v>
      </c>
      <c r="E342" s="127">
        <v>0</v>
      </c>
      <c r="F342" s="216">
        <v>182.909831</v>
      </c>
      <c r="G342" s="216">
        <v>29.61</v>
      </c>
      <c r="H342" s="216">
        <v>147.16846200000001</v>
      </c>
      <c r="I342" s="217">
        <v>0</v>
      </c>
      <c r="J342" s="158">
        <v>271.60079999999999</v>
      </c>
      <c r="K342" s="261">
        <f>SUM(A342:J342)</f>
        <v>1562.6534629999999</v>
      </c>
      <c r="L342" s="269" t="s">
        <v>80</v>
      </c>
      <c r="M342" s="135"/>
      <c r="N342" s="353"/>
    </row>
    <row r="343" spans="1:14" s="65" customFormat="1" ht="11.25" x14ac:dyDescent="0.2">
      <c r="A343" s="213">
        <f t="shared" ref="A343:K346" si="26">SUM(A340:A342)</f>
        <v>151.47399999999999</v>
      </c>
      <c r="B343" s="130">
        <f t="shared" si="26"/>
        <v>231.19687300000001</v>
      </c>
      <c r="C343" s="216">
        <f t="shared" si="26"/>
        <v>345.570266</v>
      </c>
      <c r="D343" s="128">
        <f t="shared" si="26"/>
        <v>1761.289</v>
      </c>
      <c r="E343" s="127">
        <f t="shared" si="26"/>
        <v>0</v>
      </c>
      <c r="F343" s="216">
        <f t="shared" si="26"/>
        <v>591.29736000000003</v>
      </c>
      <c r="G343" s="216">
        <f t="shared" si="26"/>
        <v>94.738</v>
      </c>
      <c r="H343" s="216">
        <f t="shared" si="26"/>
        <v>398.07136800000001</v>
      </c>
      <c r="I343" s="217">
        <f t="shared" si="26"/>
        <v>0</v>
      </c>
      <c r="J343" s="158">
        <f t="shared" si="26"/>
        <v>690.49860000000001</v>
      </c>
      <c r="K343" s="261">
        <f t="shared" si="26"/>
        <v>4264.1354670000001</v>
      </c>
      <c r="L343" s="269" t="s">
        <v>53</v>
      </c>
      <c r="M343" s="135">
        <v>2025</v>
      </c>
      <c r="N343" s="353"/>
    </row>
    <row r="344" spans="1:14" s="65" customFormat="1" ht="11.25" hidden="1" x14ac:dyDescent="0.2">
      <c r="A344" s="213">
        <v>7.6079999999999997</v>
      </c>
      <c r="B344" s="130">
        <v>68.230064999999996</v>
      </c>
      <c r="C344" s="216">
        <v>186.04388200000002</v>
      </c>
      <c r="D344" s="128">
        <v>542.94380000000001</v>
      </c>
      <c r="E344" s="127">
        <v>0</v>
      </c>
      <c r="F344" s="216">
        <v>172.064446</v>
      </c>
      <c r="G344" s="216">
        <v>41.081000000000003</v>
      </c>
      <c r="H344" s="216">
        <v>126.364722</v>
      </c>
      <c r="I344" s="217">
        <f t="shared" si="26"/>
        <v>0</v>
      </c>
      <c r="J344" s="158">
        <v>259.98160000000001</v>
      </c>
      <c r="K344" s="261">
        <f>SUM(A344:J344)</f>
        <v>1404.3175150000002</v>
      </c>
      <c r="L344" s="269" t="s">
        <v>68</v>
      </c>
      <c r="M344" s="135"/>
      <c r="N344" s="353"/>
    </row>
    <row r="345" spans="1:14" s="65" customFormat="1" ht="11.25" hidden="1" x14ac:dyDescent="0.2">
      <c r="A345" s="213">
        <v>27.428000000000001</v>
      </c>
      <c r="B345" s="130">
        <v>30.812462</v>
      </c>
      <c r="C345" s="216">
        <v>161.51395000000002</v>
      </c>
      <c r="D345" s="128">
        <v>522.00819999999999</v>
      </c>
      <c r="E345" s="127">
        <v>0</v>
      </c>
      <c r="F345" s="216">
        <v>184.53865199999998</v>
      </c>
      <c r="G345" s="216">
        <v>34.564999999999998</v>
      </c>
      <c r="H345" s="216">
        <v>281.38746099999997</v>
      </c>
      <c r="I345" s="217">
        <f t="shared" si="26"/>
        <v>0</v>
      </c>
      <c r="J345" s="158">
        <v>250.21089999999998</v>
      </c>
      <c r="K345" s="261">
        <f>SUM(A345:J345)</f>
        <v>1492.4646250000001</v>
      </c>
      <c r="L345" s="269" t="s">
        <v>82</v>
      </c>
      <c r="M345" s="135"/>
      <c r="N345" s="353"/>
    </row>
    <row r="346" spans="1:14" s="65" customFormat="1" ht="11.25" hidden="1" x14ac:dyDescent="0.2">
      <c r="A346" s="213">
        <v>53.941000000000003</v>
      </c>
      <c r="B346" s="130">
        <v>65.979910000000004</v>
      </c>
      <c r="C346" s="216">
        <v>130.15001799999999</v>
      </c>
      <c r="D346" s="128">
        <v>628.33289999999988</v>
      </c>
      <c r="E346" s="127">
        <v>0</v>
      </c>
      <c r="F346" s="216">
        <v>141.31524200000004</v>
      </c>
      <c r="G346" s="216">
        <v>27.527000000000001</v>
      </c>
      <c r="H346" s="216">
        <v>66.250174999999999</v>
      </c>
      <c r="I346" s="217">
        <f t="shared" si="26"/>
        <v>0</v>
      </c>
      <c r="J346" s="158">
        <v>168.94370000000001</v>
      </c>
      <c r="K346" s="261">
        <f>SUM(A346:J346)</f>
        <v>1282.4399449999999</v>
      </c>
      <c r="L346" s="269" t="s">
        <v>83</v>
      </c>
      <c r="M346" s="135"/>
      <c r="N346" s="353"/>
    </row>
    <row r="347" spans="1:14" s="65" customFormat="1" ht="11.25" x14ac:dyDescent="0.2">
      <c r="A347" s="213">
        <f t="shared" ref="A347:K347" si="27">SUM(A344:A346)</f>
        <v>88.977000000000004</v>
      </c>
      <c r="B347" s="130">
        <f t="shared" si="27"/>
        <v>165.022437</v>
      </c>
      <c r="C347" s="216">
        <f t="shared" si="27"/>
        <v>477.70785000000006</v>
      </c>
      <c r="D347" s="128">
        <f t="shared" si="27"/>
        <v>1693.2848999999999</v>
      </c>
      <c r="E347" s="127">
        <f t="shared" si="27"/>
        <v>0</v>
      </c>
      <c r="F347" s="216">
        <f t="shared" si="27"/>
        <v>497.91834000000006</v>
      </c>
      <c r="G347" s="216">
        <f t="shared" si="27"/>
        <v>103.173</v>
      </c>
      <c r="H347" s="216">
        <f t="shared" si="27"/>
        <v>474.00235799999996</v>
      </c>
      <c r="I347" s="217">
        <f t="shared" si="27"/>
        <v>0</v>
      </c>
      <c r="J347" s="158">
        <f t="shared" si="27"/>
        <v>679.13620000000003</v>
      </c>
      <c r="K347" s="261">
        <f t="shared" si="27"/>
        <v>4179.2220850000003</v>
      </c>
      <c r="L347" s="269" t="s">
        <v>54</v>
      </c>
      <c r="M347" s="135"/>
      <c r="N347" s="353"/>
    </row>
    <row r="348" spans="1:14" s="65" customFormat="1" ht="11.25" x14ac:dyDescent="0.2">
      <c r="A348" s="213">
        <v>51.555</v>
      </c>
      <c r="B348" s="130">
        <v>67.308008999999998</v>
      </c>
      <c r="C348" s="216">
        <v>225.94872399999997</v>
      </c>
      <c r="D348" s="128">
        <v>574.73159999999996</v>
      </c>
      <c r="E348" s="127">
        <v>0</v>
      </c>
      <c r="F348" s="216">
        <v>152.60597000000001</v>
      </c>
      <c r="G348" s="216">
        <v>2.3140000000000001</v>
      </c>
      <c r="H348" s="216">
        <v>61.225195999999997</v>
      </c>
      <c r="I348" s="217">
        <v>0</v>
      </c>
      <c r="J348" s="158">
        <v>200.93789999999998</v>
      </c>
      <c r="K348" s="261">
        <f>SUM(A348:J348)</f>
        <v>1336.626399</v>
      </c>
      <c r="L348" s="269" t="s">
        <v>85</v>
      </c>
      <c r="M348" s="135"/>
      <c r="N348" s="353"/>
    </row>
    <row r="349" spans="1:14" s="65" customFormat="1" ht="11.25" x14ac:dyDescent="0.2">
      <c r="A349" s="213">
        <v>28.213000000000001</v>
      </c>
      <c r="B349" s="130">
        <v>62.892083</v>
      </c>
      <c r="C349" s="216">
        <v>167.22889800000002</v>
      </c>
      <c r="D349" s="128">
        <v>604.66640000000007</v>
      </c>
      <c r="E349" s="127">
        <v>0</v>
      </c>
      <c r="F349" s="216">
        <v>205.65991200000002</v>
      </c>
      <c r="G349" s="216">
        <v>3.8</v>
      </c>
      <c r="H349" s="216">
        <v>7.4839419999999999</v>
      </c>
      <c r="I349" s="217">
        <v>0</v>
      </c>
      <c r="J349" s="158">
        <v>145.0378</v>
      </c>
      <c r="K349" s="261">
        <f>SUM(A349:J349)</f>
        <v>1224.9820350000002</v>
      </c>
      <c r="L349" s="269" t="s">
        <v>86</v>
      </c>
      <c r="M349" s="135"/>
      <c r="N349" s="353"/>
    </row>
    <row r="350" spans="1:14" s="65" customFormat="1" ht="11.25" x14ac:dyDescent="0.2">
      <c r="A350" s="215"/>
      <c r="B350" s="142"/>
      <c r="C350" s="196"/>
      <c r="D350" s="193"/>
      <c r="E350" s="141"/>
      <c r="F350" s="196"/>
      <c r="G350" s="196"/>
      <c r="H350" s="196"/>
      <c r="I350" s="196"/>
      <c r="J350" s="141"/>
      <c r="K350" s="198"/>
      <c r="L350" s="273"/>
      <c r="M350" s="110"/>
    </row>
    <row r="351" spans="1:14" x14ac:dyDescent="0.2">
      <c r="J351" s="144"/>
      <c r="K351" s="144"/>
      <c r="M351" s="258" t="s">
        <v>177</v>
      </c>
    </row>
    <row r="352" spans="1:14" ht="15.75" x14ac:dyDescent="0.25">
      <c r="C352" s="216"/>
      <c r="D352" s="216"/>
      <c r="E352" s="173"/>
      <c r="F352" s="216"/>
      <c r="G352" s="173"/>
      <c r="H352" s="173"/>
      <c r="I352" s="173"/>
      <c r="J352" s="144"/>
      <c r="K352" s="144"/>
      <c r="M352" s="274" t="s">
        <v>192</v>
      </c>
    </row>
    <row r="353" spans="1:12" x14ac:dyDescent="0.2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</row>
    <row r="354" spans="1:12" x14ac:dyDescent="0.2">
      <c r="J354" s="144"/>
      <c r="K354" s="144"/>
    </row>
    <row r="355" spans="1:12" x14ac:dyDescent="0.2">
      <c r="J355" s="144"/>
      <c r="K355" s="144"/>
    </row>
    <row r="356" spans="1:12" x14ac:dyDescent="0.2">
      <c r="J356" s="144"/>
      <c r="K356" s="144"/>
    </row>
    <row r="357" spans="1:12" x14ac:dyDescent="0.2">
      <c r="J357" s="144"/>
      <c r="K357" s="144"/>
    </row>
    <row r="358" spans="1:12" x14ac:dyDescent="0.2">
      <c r="J358" s="144"/>
      <c r="K358" s="144"/>
    </row>
  </sheetData>
  <printOptions horizontalCentered="1" gridLinesSet="0"/>
  <pageMargins left="0.6692913385826772" right="0.47244094488188981" top="0.17" bottom="0.11811023622047245" header="0.15748031496062992" footer="0.15748031496062992"/>
  <pageSetup paperSize="9" orientation="landscape" r:id="rId1"/>
  <headerFooter alignWithMargins="0"/>
  <ignoredErrors>
    <ignoredError sqref="L280 L272:L274 L276:L278 L281:L286 L289:L291 L293:L295 L297:L299 L301:L303 L306:L312 L314:L316 L318:L320 L323:L325 L327:L329 L331:L333 L335:L337 L340:L341 L342:M343 L344:L346 L348:L349" numberStoredAsText="1"/>
    <ignoredError sqref="K296 K300 K309 K313 K317 K326 K330 K334 K343 K34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rightToLeft="1" workbookViewId="0">
      <selection activeCell="J21" sqref="J2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גליונות עבודה</vt:lpstr>
      </vt:variant>
      <vt:variant>
        <vt:i4>7</vt:i4>
      </vt:variant>
      <vt:variant>
        <vt:lpstr>תרשימים</vt:lpstr>
      </vt:variant>
      <vt:variant>
        <vt:i4>4</vt:i4>
      </vt:variant>
      <vt:variant>
        <vt:lpstr>טווחים בעלי שם</vt:lpstr>
      </vt:variant>
      <vt:variant>
        <vt:i4>3</vt:i4>
      </vt:variant>
    </vt:vector>
  </HeadingPairs>
  <TitlesOfParts>
    <vt:vector size="14" baseType="lpstr">
      <vt:lpstr>סה"כ מטענים - טבלה </vt:lpstr>
      <vt:lpstr>לא להפצה</vt:lpstr>
      <vt:lpstr>גיליון3</vt:lpstr>
      <vt:lpstr>סה"כ תנועת מטענים - טבלה</vt:lpstr>
      <vt:lpstr>סה"כ פריקת מטענים - טבלה </vt:lpstr>
      <vt:lpstr>סה"כ טעינת מטענים - טבלה</vt:lpstr>
      <vt:lpstr>התפלגות תאגידים H1-2025 </vt:lpstr>
      <vt:lpstr>סה"כ מטענים - מגמה</vt:lpstr>
      <vt:lpstr>פילוח שנתי לפי חברות </vt:lpstr>
      <vt:lpstr> מטענים רבעוני- מגמה</vt:lpstr>
      <vt:lpstr> מטענים מצטבר- הסטוגרמה </vt:lpstr>
      <vt:lpstr>'סה"כ מטענים - טבלה '!Print_Area_MI</vt:lpstr>
      <vt:lpstr>'לא להפצה'!WPrint_Area_W</vt:lpstr>
      <vt:lpstr>'סה"כ מטענים - טבלה 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משה כהן</dc:creator>
  <cp:lastModifiedBy>משה כהן</cp:lastModifiedBy>
  <cp:lastPrinted>2024-08-14T08:29:12Z</cp:lastPrinted>
  <dcterms:created xsi:type="dcterms:W3CDTF">1996-10-14T23:33:28Z</dcterms:created>
  <dcterms:modified xsi:type="dcterms:W3CDTF">2025-09-11T08:54:26Z</dcterms:modified>
</cp:coreProperties>
</file>