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גיליון1" sheetId="1" r:id="rId5"/>
    <sheet name="גיליון2" sheetId="2" r:id="rId6"/>
    <sheet name="מכולות באלפי TEU- טבלה" sheetId="3" r:id="rId7"/>
    <sheet name="מכולות באלפי TEU -הסטוגרמה" sheetId="4" r:id="rId8"/>
    <sheet name="מכולות באלפי TEU- מגמה" sheetId="5" r:id="rId9"/>
    <sheet name="מכולות באלפי TEU- הסטוגר (2)" sheetId="6" r:id="rId10"/>
    <sheet name="גיליון3  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<sst xmlns="http://schemas.openxmlformats.org/spreadsheetml/2006/main" uniqueCount="132">
  <si>
    <t>אילת</t>
  </si>
  <si>
    <t>אשדוד</t>
  </si>
  <si>
    <t>חיפה</t>
  </si>
  <si>
    <t>כל הנמלים</t>
  </si>
  <si>
    <t>רבעון</t>
  </si>
  <si>
    <t>שנת 2003</t>
  </si>
  <si>
    <t>שנת 2004</t>
  </si>
  <si>
    <t>שנת 2005</t>
  </si>
  <si>
    <t>שינוי 03-04</t>
  </si>
  <si>
    <t>שינוי 04-05</t>
  </si>
  <si>
    <t>Q1</t>
  </si>
  <si>
    <t>Q2</t>
  </si>
  <si>
    <t>Q3</t>
  </si>
  <si>
    <t>Q4</t>
  </si>
  <si>
    <t xml:space="preserve">Ministry Of Transport - Administration of Shipping &amp; Ports </t>
  </si>
  <si>
    <t>משרד התחבורה - רשות הספנות והנמלים</t>
  </si>
  <si>
    <t>Economics and International Affairs Division</t>
  </si>
  <si>
    <t>אגף  כלכלה וקשרי חוץ</t>
  </si>
  <si>
    <r>
      <rPr>
        <b val="1"/>
        <sz val="12"/>
        <color indexed="8"/>
        <rFont val="Arial"/>
      </rPr>
      <t xml:space="preserve">TABLE 2.2: </t>
    </r>
    <r>
      <rPr>
        <b val="1"/>
        <sz val="11"/>
        <color indexed="11"/>
        <rFont val="Arial (Hebrew)"/>
      </rPr>
      <t>Containers(Thousand TEU)</t>
    </r>
    <r>
      <rPr>
        <b val="1"/>
        <sz val="11"/>
        <color indexed="8"/>
        <rFont val="Arial (Hebrew)"/>
      </rPr>
      <t xml:space="preserve"> in Israeli Ports</t>
    </r>
  </si>
  <si>
    <r>
      <rPr>
        <b val="1"/>
        <sz val="14"/>
        <color indexed="8"/>
        <rFont val="Arial (Hebrew)"/>
      </rPr>
      <t xml:space="preserve">לוח 2.2 : </t>
    </r>
    <r>
      <rPr>
        <b val="1"/>
        <sz val="12"/>
        <color indexed="11"/>
        <rFont val="Arial (Hebrew)"/>
      </rPr>
      <t>מכולות באלפי TEU</t>
    </r>
    <r>
      <rPr>
        <b val="1"/>
        <sz val="12"/>
        <color indexed="8"/>
        <rFont val="Arial (Hebrew)"/>
      </rPr>
      <t xml:space="preserve"> - </t>
    </r>
    <r>
      <rPr>
        <b val="1"/>
        <sz val="14"/>
        <color indexed="8"/>
        <rFont val="Arial (Hebrew)"/>
      </rPr>
      <t>סה"כ תנועות בנמלי ישראל</t>
    </r>
  </si>
  <si>
    <t>Thousand TEU</t>
  </si>
  <si>
    <t>אלפי TEU</t>
  </si>
  <si>
    <t>Loaded</t>
  </si>
  <si>
    <t>נטענו</t>
  </si>
  <si>
    <t>Unloaded</t>
  </si>
  <si>
    <t>נפרקו</t>
  </si>
  <si>
    <t>נפרקו ונטענו - סך הכל</t>
  </si>
  <si>
    <t xml:space="preserve"> </t>
  </si>
  <si>
    <t>Loaded and unloaded - total</t>
  </si>
  <si>
    <t>חודש</t>
  </si>
  <si>
    <t>שנה</t>
  </si>
  <si>
    <t>Eilat</t>
  </si>
  <si>
    <t>Ashdod</t>
  </si>
  <si>
    <t>Haifa</t>
  </si>
  <si>
    <t>All Ports</t>
  </si>
  <si>
    <t>Month</t>
  </si>
  <si>
    <t>Year</t>
  </si>
  <si>
    <t>01-03</t>
  </si>
  <si>
    <t>04-06</t>
  </si>
  <si>
    <t>07-09</t>
  </si>
  <si>
    <t>10-12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</si>
  <si>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</si>
  <si>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</si>
  <si>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</si>
  <si>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</si>
  <si>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</si>
  <si>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</si>
  <si>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</si>
  <si>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</si>
  <si>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</si>
  <si>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</si>
  <si>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</si>
  <si>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</si>
  <si>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מקור הנתונים: חברות נמל / חנ"י.</t>
  </si>
  <si>
    <t>נמל חיפה
Haifa port</t>
  </si>
  <si>
    <t>נמל אשדוד
Ashdos port</t>
  </si>
  <si>
    <t>נמל אילת
Eilat port</t>
  </si>
  <si>
    <t>כל הנמלים
Total ports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</si>
  <si>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</si>
  <si>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</si>
  <si>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</si>
  <si>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</si>
  <si>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</si>
  <si>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</si>
  <si>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</si>
  <si>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</si>
  <si>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</si>
  <si>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</si>
  <si>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</si>
  <si>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</si>
  <si>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</si>
  <si>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</si>
  <si>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</si>
  <si>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</si>
  <si>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</si>
  <si>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</si>
  <si>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</si>
  <si>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</si>
  <si>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</si>
  <si>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</si>
  <si>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</si>
  <si>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</si>
  <si>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</si>
  <si>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</si>
  <si>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</si>
  <si>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</si>
  <si>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</si>
  <si>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</si>
  <si>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</si>
  <si>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</si>
  <si>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</si>
  <si>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</si>
  <si>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</si>
  <si>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</si>
  <si>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</si>
  <si>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</si>
  <si>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</si>
  <si>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</si>
  <si>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</si>
  <si>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</si>
  <si>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</si>
  <si>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</si>
  <si>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</si>
  <si>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</si>
  <si>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</si>
  <si>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</si>
  <si>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</si>
  <si>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</si>
  <si>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</si>
  <si>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</si>
  <si>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</si>
  <si>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</si>
  <si>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</si>
  <si>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</si>
  <si>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</si>
  <si>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</si>
  <si>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</si>
  <si>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</si>
  <si>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</si>
  <si>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</si>
  <si>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</si>
  <si>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</si>
  <si>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</si>
  <si>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</si>
  <si>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</si>
  <si>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</si>
  <si>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</si>
  <si>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</si>
  <si>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</si>
  <si>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שנה
Year</t>
  </si>
  <si>
    <t>נמל אשדוד
Ashdod port</t>
  </si>
  <si>
    <t>Q(1-3)/2021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</si>
</sst>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#,##0&quot; &quot;;(#,##0)"/>
    <numFmt numFmtId="60" formatCode="0.0"/>
    <numFmt numFmtId="61" formatCode="#,##0.000&quot; &quot;;(#,##0.000)"/>
    <numFmt numFmtId="62" formatCode="0.000"/>
    <numFmt numFmtId="63" formatCode="0.0%"/>
    <numFmt numFmtId="64" formatCode="0&quot; &quot;;&quot;-&quot;0&quot; &quot;"/>
  </numFmts>
  <fonts count="32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 (Hebrew)"/>
    </font>
    <font>
      <b val="1"/>
      <sz val="10"/>
      <color indexed="8"/>
      <name val="Arial"/>
    </font>
    <font>
      <sz val="8"/>
      <color indexed="8"/>
      <name val="Arial (Hebrew)"/>
    </font>
    <font>
      <b val="1"/>
      <sz val="12"/>
      <color indexed="8"/>
      <name val="Arial"/>
    </font>
    <font>
      <sz val="12"/>
      <color indexed="8"/>
      <name val="Times New Roman"/>
    </font>
    <font>
      <sz val="11"/>
      <color indexed="8"/>
      <name val="Times New Roman"/>
    </font>
    <font>
      <sz val="11"/>
      <color indexed="8"/>
      <name val="Arial (Hebrew)"/>
    </font>
    <font>
      <b val="1"/>
      <sz val="14"/>
      <color indexed="8"/>
      <name val="Arial (Hebrew)"/>
    </font>
    <font>
      <b val="1"/>
      <sz val="11"/>
      <color indexed="11"/>
      <name val="Arial (Hebrew)"/>
    </font>
    <font>
      <b val="1"/>
      <sz val="11"/>
      <color indexed="8"/>
      <name val="Arial (Hebrew)"/>
    </font>
    <font>
      <b val="1"/>
      <sz val="12"/>
      <color indexed="8"/>
      <name val="Arial (Hebrew)"/>
    </font>
    <font>
      <b val="1"/>
      <sz val="12"/>
      <color indexed="11"/>
      <name val="Arial (Hebrew)"/>
    </font>
    <font>
      <b val="1"/>
      <sz val="10"/>
      <color indexed="8"/>
      <name val="Arial (Hebrew)"/>
    </font>
    <font>
      <sz val="10"/>
      <color indexed="8"/>
      <name val="Arial (Hebrew)"/>
    </font>
    <font>
      <b val="1"/>
      <sz val="9"/>
      <color indexed="8"/>
      <name val="Arial (Hebrew)"/>
    </font>
    <font>
      <b val="1"/>
      <sz val="8"/>
      <color indexed="8"/>
      <name val="Arial (Hebrew)"/>
    </font>
    <font>
      <b val="1"/>
      <sz val="11"/>
      <color indexed="8"/>
      <name val="Arial"/>
    </font>
    <font>
      <b val="1"/>
      <sz val="14"/>
      <color indexed="12"/>
      <name val="Arial"/>
    </font>
    <font>
      <b val="1"/>
      <u val="single"/>
      <sz val="16"/>
      <color indexed="12"/>
      <name val="David"/>
    </font>
    <font>
      <b val="1"/>
      <sz val="10"/>
      <color indexed="11"/>
      <name val="Arial"/>
    </font>
    <font>
      <b val="1"/>
      <sz val="15"/>
      <color indexed="12"/>
      <name val="Arial"/>
    </font>
    <font>
      <b val="1"/>
      <sz val="10"/>
      <color indexed="18"/>
      <name val="Arial"/>
    </font>
    <font>
      <b val="1"/>
      <sz val="10"/>
      <color indexed="16"/>
      <name val="Arial"/>
    </font>
    <font>
      <b val="1"/>
      <sz val="14"/>
      <color indexed="20"/>
      <name val="David"/>
    </font>
    <font>
      <b val="1"/>
      <sz val="14"/>
      <color indexed="21"/>
      <name val="David"/>
    </font>
    <font>
      <b val="1"/>
      <sz val="14"/>
      <color indexed="8"/>
      <name val="David"/>
    </font>
    <font>
      <b val="1"/>
      <sz val="14"/>
      <color indexed="25"/>
      <name val="David"/>
    </font>
    <font>
      <b val="1"/>
      <sz val="14"/>
      <color indexed="27"/>
      <name val="David"/>
    </font>
    <font>
      <b val="1"/>
      <sz val="18"/>
      <color indexed="8"/>
      <name val="David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right" vertical="bottom"/>
    </xf>
    <xf numFmtId="0" fontId="0" fillId="2" borderId="2" applyNumberFormat="0" applyFont="1" applyFill="1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horizontal="right" vertical="bottom"/>
    </xf>
    <xf numFmtId="49" fontId="3" fillId="2" borderId="4" applyNumberFormat="1" applyFont="1" applyFill="1" applyBorder="1" applyAlignment="1" applyProtection="0">
      <alignment horizontal="right" vertical="bottom" readingOrder="2"/>
    </xf>
    <xf numFmtId="3" fontId="0" fillId="2" borderId="4" applyNumberFormat="1" applyFont="1" applyFill="1" applyBorder="1" applyAlignment="1" applyProtection="0">
      <alignment horizontal="right" vertical="bottom"/>
    </xf>
    <xf numFmtId="0" fontId="0" fillId="2" borderId="5" applyNumberFormat="0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right" vertical="bottom"/>
    </xf>
    <xf numFmtId="49" fontId="4" borderId="1" applyNumberFormat="1" applyFont="1" applyFill="0" applyBorder="1" applyAlignment="1" applyProtection="0">
      <alignment horizontal="right" vertical="bottom" readingOrder="2"/>
    </xf>
    <xf numFmtId="0" fontId="0" borderId="2" applyNumberFormat="0" applyFont="1" applyFill="0" applyBorder="1" applyAlignment="1" applyProtection="0">
      <alignment horizontal="right" vertical="bottom"/>
    </xf>
    <xf numFmtId="0" fontId="0" borderId="3" applyNumberFormat="0" applyFont="1" applyFill="0" applyBorder="1" applyAlignment="1" applyProtection="0">
      <alignment horizontal="right" vertical="bottom"/>
    </xf>
    <xf numFmtId="49" fontId="4" borderId="4" applyNumberFormat="1" applyFont="1" applyFill="0" applyBorder="1" applyAlignment="1" applyProtection="0">
      <alignment horizontal="right" vertical="bottom" readingOrder="2"/>
    </xf>
    <xf numFmtId="49" fontId="4" borderId="4" applyNumberFormat="1" applyFont="1" applyFill="0" applyBorder="1" applyAlignment="1" applyProtection="0">
      <alignment horizontal="left" vertical="bottom" readingOrder="1"/>
    </xf>
    <xf numFmtId="59" fontId="5" borderId="4" applyNumberFormat="1" applyFont="1" applyFill="0" applyBorder="1" applyAlignment="1" applyProtection="0">
      <alignment horizontal="center" vertical="bottom"/>
    </xf>
    <xf numFmtId="60" fontId="0" borderId="4" applyNumberFormat="1" applyFont="1" applyFill="0" applyBorder="1" applyAlignment="1" applyProtection="0">
      <alignment horizontal="right" vertical="bottom"/>
    </xf>
    <xf numFmtId="0" fontId="0" borderId="5" applyNumberFormat="0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6" fillId="2" borderId="6" applyNumberFormat="1" applyFont="1" applyFill="1" applyBorder="1" applyAlignment="1" applyProtection="0">
      <alignment horizontal="left" vertical="bottom"/>
    </xf>
    <xf numFmtId="1" fontId="7" fillId="2" borderId="7" applyNumberFormat="1" applyFont="1" applyFill="1" applyBorder="1" applyAlignment="1" applyProtection="0">
      <alignment vertical="bottom"/>
    </xf>
    <xf numFmtId="1" fontId="8" fillId="2" borderId="7" applyNumberFormat="1" applyFont="1" applyFill="1" applyBorder="1" applyAlignment="1" applyProtection="0">
      <alignment vertical="bottom"/>
    </xf>
    <xf numFmtId="1" fontId="9" fillId="2" borderId="7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10" fillId="2" borderId="8" applyNumberFormat="1" applyFont="1" applyFill="1" applyBorder="1" applyAlignment="1" applyProtection="0">
      <alignment horizontal="right" vertical="bottom" readingOrder="2"/>
    </xf>
    <xf numFmtId="49" fontId="6" fillId="2" borderId="9" applyNumberFormat="1" applyFont="1" applyFill="1" applyBorder="1" applyAlignment="1" applyProtection="0">
      <alignment horizontal="left" vertical="bottom"/>
    </xf>
    <xf numFmtId="1" fontId="7" fillId="2" borderId="10" applyNumberFormat="1" applyFont="1" applyFill="1" applyBorder="1" applyAlignment="1" applyProtection="0">
      <alignment vertical="bottom"/>
    </xf>
    <xf numFmtId="1" fontId="8" fillId="2" borderId="10" applyNumberFormat="1" applyFont="1" applyFill="1" applyBorder="1" applyAlignment="1" applyProtection="0">
      <alignment vertical="bottom"/>
    </xf>
    <xf numFmtId="1" fontId="9" fillId="2" borderId="10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10" fillId="2" borderId="11" applyNumberFormat="1" applyFont="1" applyFill="1" applyBorder="1" applyAlignment="1" applyProtection="0">
      <alignment horizontal="right" vertical="bottom" readingOrder="2"/>
    </xf>
    <xf numFmtId="1" fontId="6" fillId="2" borderId="10" applyNumberFormat="1" applyFont="1" applyFill="1" applyBorder="1" applyAlignment="1" applyProtection="0">
      <alignment horizontal="left" vertical="bottom"/>
    </xf>
    <xf numFmtId="0" fontId="13" fillId="2" borderId="10" applyNumberFormat="0" applyFont="1" applyFill="1" applyBorder="1" applyAlignment="1" applyProtection="0">
      <alignment horizontal="right" vertical="bottom" readingOrder="2"/>
    </xf>
    <xf numFmtId="49" fontId="15" fillId="2" borderId="12" applyNumberFormat="1" applyFont="1" applyFill="1" applyBorder="1" applyAlignment="1" applyProtection="0">
      <alignment horizontal="left" vertical="bottom"/>
    </xf>
    <xf numFmtId="1" fontId="0" fillId="2" borderId="13" applyNumberFormat="1" applyFont="1" applyFill="1" applyBorder="1" applyAlignment="1" applyProtection="0">
      <alignment vertical="bottom"/>
    </xf>
    <xf numFmtId="49" fontId="15" fillId="2" borderId="14" applyNumberFormat="1" applyFont="1" applyFill="1" applyBorder="1" applyAlignment="1" applyProtection="0">
      <alignment horizontal="right" vertical="bottom" readingOrder="2"/>
    </xf>
    <xf numFmtId="49" fontId="3" fillId="2" borderId="15" applyNumberFormat="1" applyFont="1" applyFill="1" applyBorder="1" applyAlignment="1" applyProtection="0">
      <alignment horizontal="left" vertical="bottom"/>
    </xf>
    <xf numFmtId="1" fontId="0" fillId="2" borderId="16" applyNumberFormat="1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49" fontId="3" fillId="2" borderId="17" applyNumberFormat="1" applyFont="1" applyFill="1" applyBorder="1" applyAlignment="1" applyProtection="0">
      <alignment horizontal="left" vertical="bottom" readingOrder="2"/>
    </xf>
    <xf numFmtId="49" fontId="0" fillId="2" borderId="15" applyNumberFormat="1" applyFont="1" applyFill="1" applyBorder="1" applyAlignment="1" applyProtection="0">
      <alignment vertical="bottom"/>
    </xf>
    <xf numFmtId="49" fontId="16" fillId="2" borderId="17" applyNumberFormat="1" applyFont="1" applyFill="1" applyBorder="1" applyAlignment="1" applyProtection="0">
      <alignment horizontal="left" vertical="bottom" readingOrder="2"/>
    </xf>
    <xf numFmtId="49" fontId="3" fillId="2" borderId="15" applyNumberFormat="1" applyFont="1" applyFill="1" applyBorder="1" applyAlignment="1" applyProtection="0">
      <alignment horizontal="center" vertical="bottom" readingOrder="2"/>
    </xf>
    <xf numFmtId="1" fontId="3" fillId="2" borderId="16" applyNumberFormat="1" applyFont="1" applyFill="1" applyBorder="1" applyAlignment="1" applyProtection="0">
      <alignment horizontal="center" vertical="bottom"/>
    </xf>
    <xf numFmtId="1" fontId="3" fillId="2" borderId="17" applyNumberFormat="1" applyFont="1" applyFill="1" applyBorder="1" applyAlignment="1" applyProtection="0">
      <alignment horizontal="center" vertical="bottom"/>
    </xf>
    <xf numFmtId="49" fontId="3" fillId="2" borderId="15" applyNumberFormat="1" applyFont="1" applyFill="1" applyBorder="1" applyAlignment="1" applyProtection="0">
      <alignment horizontal="center" vertical="bottom"/>
    </xf>
    <xf numFmtId="1" fontId="0" fillId="2" borderId="17" applyNumberFormat="1" applyFont="1" applyFill="1" applyBorder="1" applyAlignment="1" applyProtection="0">
      <alignment vertical="bottom"/>
    </xf>
    <xf numFmtId="1" fontId="3" fillId="2" borderId="18" applyNumberFormat="1" applyFont="1" applyFill="1" applyBorder="1" applyAlignment="1" applyProtection="0">
      <alignment horizontal="left" vertical="bottom"/>
    </xf>
    <xf numFmtId="1" fontId="0" fillId="2" borderId="19" applyNumberFormat="1" applyFont="1" applyFill="1" applyBorder="1" applyAlignment="1" applyProtection="0">
      <alignment vertical="bottom"/>
    </xf>
    <xf numFmtId="1" fontId="0" fillId="2" borderId="18" applyNumberFormat="1" applyFont="1" applyFill="1" applyBorder="1" applyAlignment="1" applyProtection="0">
      <alignment vertical="bottom"/>
    </xf>
    <xf numFmtId="49" fontId="3" fillId="2" borderId="18" applyNumberFormat="1" applyFont="1" applyFill="1" applyBorder="1" applyAlignment="1" applyProtection="0">
      <alignment horizontal="center" vertical="bottom"/>
    </xf>
    <xf numFmtId="1" fontId="3" fillId="2" borderId="13" applyNumberFormat="1" applyFont="1" applyFill="1" applyBorder="1" applyAlignment="1" applyProtection="0">
      <alignment horizontal="center" vertical="bottom"/>
    </xf>
    <xf numFmtId="1" fontId="3" fillId="2" borderId="19" applyNumberFormat="1" applyFont="1" applyFill="1" applyBorder="1" applyAlignment="1" applyProtection="0">
      <alignment horizontal="center" vertical="bottom"/>
    </xf>
    <xf numFmtId="49" fontId="3" fillId="2" borderId="20" applyNumberFormat="1" applyFont="1" applyFill="1" applyBorder="1" applyAlignment="1" applyProtection="0">
      <alignment horizontal="center" vertical="bottom"/>
    </xf>
    <xf numFmtId="1" fontId="0" fillId="2" borderId="10" applyNumberFormat="1" applyFont="1" applyFill="1" applyBorder="1" applyAlignment="1" applyProtection="0">
      <alignment vertical="bottom"/>
    </xf>
    <xf numFmtId="1" fontId="0" fillId="2" borderId="21" applyNumberFormat="1" applyFont="1" applyFill="1" applyBorder="1" applyAlignment="1" applyProtection="0">
      <alignment vertical="bottom"/>
    </xf>
    <xf numFmtId="49" fontId="3" fillId="2" borderId="22" applyNumberFormat="1" applyFont="1" applyFill="1" applyBorder="1" applyAlignment="1" applyProtection="0">
      <alignment horizontal="center" vertical="bottom" readingOrder="2"/>
    </xf>
    <xf numFmtId="1" fontId="16" fillId="2" borderId="20" applyNumberFormat="1" applyFont="1" applyFill="1" applyBorder="1" applyAlignment="1" applyProtection="0">
      <alignment horizontal="center" vertical="bottom"/>
    </xf>
    <xf numFmtId="49" fontId="17" fillId="2" borderId="10" applyNumberFormat="1" applyFont="1" applyFill="1" applyBorder="1" applyAlignment="1" applyProtection="0">
      <alignment horizontal="center" vertical="bottom" readingOrder="2"/>
    </xf>
    <xf numFmtId="49" fontId="17" fillId="2" borderId="21" applyNumberFormat="1" applyFont="1" applyFill="1" applyBorder="1" applyAlignment="1" applyProtection="0">
      <alignment horizontal="center" vertical="bottom" readingOrder="2"/>
    </xf>
    <xf numFmtId="49" fontId="0" fillId="2" borderId="23" applyNumberFormat="1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vertical="bottom"/>
    </xf>
    <xf numFmtId="59" fontId="5" fillId="2" borderId="15" applyNumberFormat="1" applyFont="1" applyFill="1" applyBorder="1" applyAlignment="1" applyProtection="0">
      <alignment horizontal="center" vertical="bottom"/>
    </xf>
    <xf numFmtId="59" fontId="5" fillId="2" borderId="16" applyNumberFormat="1" applyFont="1" applyFill="1" applyBorder="1" applyAlignment="1" applyProtection="0">
      <alignment horizontal="center" vertical="bottom"/>
    </xf>
    <xf numFmtId="59" fontId="5" fillId="2" borderId="17" applyNumberFormat="1" applyFont="1" applyFill="1" applyBorder="1" applyAlignment="1" applyProtection="0">
      <alignment horizontal="center" vertical="bottom"/>
    </xf>
    <xf numFmtId="59" fontId="9" fillId="2" borderId="15" applyNumberFormat="1" applyFont="1" applyFill="1" applyBorder="1" applyAlignment="1" applyProtection="0">
      <alignment vertical="bottom"/>
    </xf>
    <xf numFmtId="1" fontId="5" fillId="2" borderId="17" applyNumberFormat="1" applyFont="1" applyFill="1" applyBorder="1" applyAlignment="1" applyProtection="0">
      <alignment horizontal="left" vertical="bottom"/>
    </xf>
    <xf numFmtId="59" fontId="5" fillId="2" borderId="20" applyNumberFormat="1" applyFont="1" applyFill="1" applyBorder="1" applyAlignment="1" applyProtection="0">
      <alignment horizontal="center" vertical="bottom"/>
    </xf>
    <xf numFmtId="59" fontId="5" fillId="2" borderId="10" applyNumberFormat="1" applyFont="1" applyFill="1" applyBorder="1" applyAlignment="1" applyProtection="0">
      <alignment horizontal="center" vertical="bottom"/>
    </xf>
    <xf numFmtId="59" fontId="5" fillId="2" borderId="21" applyNumberFormat="1" applyFont="1" applyFill="1" applyBorder="1" applyAlignment="1" applyProtection="0">
      <alignment horizontal="center" vertical="bottom"/>
    </xf>
    <xf numFmtId="59" fontId="9" fillId="2" borderId="20" applyNumberFormat="1" applyFont="1" applyFill="1" applyBorder="1" applyAlignment="1" applyProtection="0">
      <alignment vertical="bottom"/>
    </xf>
    <xf numFmtId="1" fontId="5" fillId="2" borderId="21" applyNumberFormat="1" applyFont="1" applyFill="1" applyBorder="1" applyAlignment="1" applyProtection="0">
      <alignment horizontal="left" vertical="bottom"/>
    </xf>
    <xf numFmtId="49" fontId="0" fillId="2" borderId="10" applyNumberFormat="1" applyFont="1" applyFill="1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horizontal="left" vertical="bottom"/>
    </xf>
    <xf numFmtId="59" fontId="18" fillId="2" borderId="20" applyNumberFormat="1" applyFont="1" applyFill="1" applyBorder="1" applyAlignment="1" applyProtection="0">
      <alignment horizontal="center" vertical="bottom"/>
    </xf>
    <xf numFmtId="59" fontId="18" fillId="2" borderId="10" applyNumberFormat="1" applyFont="1" applyFill="1" applyBorder="1" applyAlignment="1" applyProtection="0">
      <alignment horizontal="center" vertical="bottom"/>
    </xf>
    <xf numFmtId="59" fontId="18" fillId="2" borderId="21" applyNumberFormat="1" applyFont="1" applyFill="1" applyBorder="1" applyAlignment="1" applyProtection="0">
      <alignment horizontal="center" vertical="bottom"/>
    </xf>
    <xf numFmtId="59" fontId="12" fillId="2" borderId="20" applyNumberFormat="1" applyFont="1" applyFill="1" applyBorder="1" applyAlignment="1" applyProtection="0">
      <alignment vertical="bottom"/>
    </xf>
    <xf numFmtId="49" fontId="18" fillId="2" borderId="10" applyNumberFormat="1" applyFont="1" applyFill="1" applyBorder="1" applyAlignment="1" applyProtection="0">
      <alignment horizontal="left" vertical="bottom"/>
    </xf>
    <xf numFmtId="1" fontId="18" fillId="2" borderId="21" applyNumberFormat="1" applyFont="1" applyFill="1" applyBorder="1" applyAlignment="1" applyProtection="0">
      <alignment horizontal="left" vertical="bottom"/>
    </xf>
    <xf numFmtId="61" fontId="5" fillId="2" borderId="10" applyNumberFormat="1" applyFont="1" applyFill="1" applyBorder="1" applyAlignment="1" applyProtection="0">
      <alignment horizontal="center" vertical="bottom"/>
    </xf>
    <xf numFmtId="59" fontId="5" fillId="2" borderId="9" applyNumberFormat="1" applyFont="1" applyFill="1" applyBorder="1" applyAlignment="1" applyProtection="0">
      <alignment horizontal="center" vertical="bottom"/>
    </xf>
    <xf numFmtId="59" fontId="18" fillId="2" borderId="9" applyNumberFormat="1" applyFont="1" applyFill="1" applyBorder="1" applyAlignment="1" applyProtection="0">
      <alignment horizontal="center" vertical="bottom"/>
    </xf>
    <xf numFmtId="59" fontId="18" fillId="2" borderId="18" applyNumberFormat="1" applyFont="1" applyFill="1" applyBorder="1" applyAlignment="1" applyProtection="0">
      <alignment horizontal="center" vertical="bottom"/>
    </xf>
    <xf numFmtId="59" fontId="18" fillId="2" borderId="13" applyNumberFormat="1" applyFont="1" applyFill="1" applyBorder="1" applyAlignment="1" applyProtection="0">
      <alignment horizontal="center" vertical="bottom"/>
    </xf>
    <xf numFmtId="59" fontId="18" fillId="2" borderId="19" applyNumberFormat="1" applyFont="1" applyFill="1" applyBorder="1" applyAlignment="1" applyProtection="0">
      <alignment horizontal="center" vertical="bottom"/>
    </xf>
    <xf numFmtId="59" fontId="12" fillId="2" borderId="18" applyNumberFormat="1" applyFont="1" applyFill="1" applyBorder="1" applyAlignment="1" applyProtection="0">
      <alignment vertical="bottom"/>
    </xf>
    <xf numFmtId="49" fontId="18" fillId="2" borderId="13" applyNumberFormat="1" applyFont="1" applyFill="1" applyBorder="1" applyAlignment="1" applyProtection="0">
      <alignment horizontal="left" vertical="bottom"/>
    </xf>
    <xf numFmtId="1" fontId="18" fillId="2" borderId="19" applyNumberFormat="1" applyFont="1" applyFill="1" applyBorder="1" applyAlignment="1" applyProtection="0">
      <alignment horizontal="left" vertical="bottom"/>
    </xf>
    <xf numFmtId="61" fontId="18" fillId="2" borderId="15" applyNumberFormat="1" applyFont="1" applyFill="1" applyBorder="1" applyAlignment="1" applyProtection="0">
      <alignment horizontal="center" vertical="bottom"/>
    </xf>
    <xf numFmtId="59" fontId="18" fillId="2" borderId="16" applyNumberFormat="1" applyFont="1" applyFill="1" applyBorder="1" applyAlignment="1" applyProtection="0">
      <alignment horizontal="center" vertical="bottom"/>
    </xf>
    <xf numFmtId="61" fontId="18" fillId="2" borderId="16" applyNumberFormat="1" applyFont="1" applyFill="1" applyBorder="1" applyAlignment="1" applyProtection="0">
      <alignment horizontal="center" vertical="bottom"/>
    </xf>
    <xf numFmtId="49" fontId="16" fillId="2" borderId="24" applyNumberFormat="1" applyFont="1" applyFill="1" applyBorder="1" applyAlignment="1" applyProtection="0">
      <alignment horizontal="right" vertical="top" readingOrder="2"/>
    </xf>
    <xf numFmtId="62" fontId="18" fillId="2" borderId="9" applyNumberFormat="1" applyFont="1" applyFill="1" applyBorder="1" applyAlignment="1" applyProtection="0">
      <alignment horizontal="center" vertical="bottom"/>
    </xf>
    <xf numFmtId="62" fontId="18" fillId="2" borderId="10" applyNumberFormat="1" applyFont="1" applyFill="1" applyBorder="1" applyAlignment="1" applyProtection="0">
      <alignment horizontal="center" vertical="bottom"/>
    </xf>
    <xf numFmtId="61" fontId="18" fillId="2" borderId="10" applyNumberFormat="1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62" fontId="0" fillId="2" borderId="10" applyNumberFormat="1" applyFont="1" applyFill="1" applyBorder="1" applyAlignment="1" applyProtection="0">
      <alignment vertical="bottom"/>
    </xf>
    <xf numFmtId="0" fontId="16" fillId="2" borderId="11" applyNumberFormat="0" applyFont="1" applyFill="1" applyBorder="1" applyAlignment="1" applyProtection="0">
      <alignment horizontal="right" vertical="top" readingOrder="2"/>
    </xf>
    <xf numFmtId="63" fontId="0" fillId="2" borderId="10" applyNumberFormat="1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62" fontId="0" fillId="2" borderId="26" applyNumberFormat="1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8" applyNumberFormat="0" applyFont="1" applyFill="0" applyBorder="1" applyAlignment="1" applyProtection="0">
      <alignment horizontal="right" vertical="bottom"/>
    </xf>
    <xf numFmtId="49" fontId="17" fillId="2" borderId="4" applyNumberFormat="1" applyFont="1" applyFill="1" applyBorder="1" applyAlignment="1" applyProtection="0">
      <alignment horizontal="center" vertical="bottom" wrapText="1" readingOrder="2"/>
    </xf>
    <xf numFmtId="0" fontId="0" borderId="29" applyNumberFormat="0" applyFont="1" applyFill="0" applyBorder="1" applyAlignment="1" applyProtection="0">
      <alignment horizontal="right" vertical="bottom"/>
    </xf>
    <xf numFmtId="49" fontId="5" borderId="4" applyNumberFormat="1" applyFont="1" applyFill="0" applyBorder="1" applyAlignment="1" applyProtection="0">
      <alignment horizontal="center" vertical="bottom" readingOrder="1"/>
    </xf>
    <xf numFmtId="59" fontId="0" borderId="29" applyNumberFormat="1" applyFont="1" applyFill="0" applyBorder="1" applyAlignment="1" applyProtection="0">
      <alignment horizontal="right" vertical="bottom"/>
    </xf>
    <xf numFmtId="59" fontId="0" borderId="1" applyNumberFormat="1" applyFont="1" applyFill="0" applyBorder="1" applyAlignment="1" applyProtection="0">
      <alignment horizontal="right" vertical="bottom"/>
    </xf>
    <xf numFmtId="59" fontId="5" borderId="29" applyNumberFormat="1" applyFont="1" applyFill="0" applyBorder="1" applyAlignment="1" applyProtection="0">
      <alignment horizontal="center" vertical="bottom"/>
    </xf>
    <xf numFmtId="59" fontId="5" borderId="1" applyNumberFormat="1" applyFont="1" applyFill="0" applyBorder="1" applyAlignment="1" applyProtection="0">
      <alignment horizontal="center" vertical="bottom"/>
    </xf>
    <xf numFmtId="59" fontId="18" borderId="4" applyNumberFormat="1" applyFont="1" applyFill="0" applyBorder="1" applyAlignment="1" applyProtection="0">
      <alignment horizontal="center" vertical="bottom"/>
    </xf>
    <xf numFmtId="59" fontId="5" borderId="5" applyNumberFormat="1" applyFont="1" applyFill="0" applyBorder="1" applyAlignment="1" applyProtection="0">
      <alignment horizontal="center" vertical="bottom"/>
    </xf>
    <xf numFmtId="59" fontId="18" borderId="5" applyNumberFormat="1" applyFont="1" applyFill="0" applyBorder="1" applyAlignment="1" applyProtection="0">
      <alignment horizontal="center" vertical="bottom"/>
    </xf>
    <xf numFmtId="64" fontId="18" borderId="4" applyNumberFormat="1" applyFont="1" applyFill="0" applyBorder="1" applyAlignment="1" applyProtection="0">
      <alignment horizontal="center" vertical="bottom"/>
    </xf>
    <xf numFmtId="3" fontId="18" borderId="4" applyNumberFormat="1" applyFont="1" applyFill="0" applyBorder="1" applyAlignment="1" applyProtection="0">
      <alignment horizontal="center" vertical="bottom"/>
    </xf>
    <xf numFmtId="49" fontId="18" borderId="4" applyNumberFormat="1" applyFont="1" applyFill="0" applyBorder="1" applyAlignment="1" applyProtection="0">
      <alignment horizontal="center" vertical="bottom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000080"/>
      <rgbColor rgb="ffffcc99"/>
      <rgbColor rgb="ff00ff00"/>
      <rgbColor rgb="ff99cc00"/>
      <rgbColor rgb="ff0000ff"/>
      <rgbColor rgb="ff00ccff"/>
      <rgbColor rgb="ff339966"/>
      <rgbColor rgb="ffd8d8d8"/>
      <rgbColor rgb="ff4f81bd"/>
      <rgbColor rgb="ff595959"/>
      <rgbColor rgb="ff878787"/>
      <rgbColor rgb="ff4a7dbb"/>
      <rgbColor rgb="ffbe4b48"/>
      <rgbColor rgb="ffc0504d"/>
      <rgbColor rgb="ff98b954"/>
      <rgbColor rgb="ff9bbb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600" u="sng">
                <a:solidFill>
                  <a:srgbClr val="000080"/>
                </a:solidFill>
                <a:latin typeface="David"/>
              </a:defRPr>
            </a:pPr>
            <a:r>
              <a:rPr b="1" i="0" strike="noStrike" sz="1600" u="sng">
                <a:solidFill>
                  <a:srgbClr val="000080"/>
                </a:solidFill>
                <a:latin typeface="David"/>
              </a:rPr>
              <a:t>מכולות - סה"כ תנועות (אלפי (TEU בנמלי ישראל Q3/2021 - Q1/2016
 Containers(Thousand TEU) in Israeli Ports Q1/2016 - Q3/2021</a:t>
            </a:r>
          </a:p>
        </c:rich>
      </c:tx>
      <c:layout>
        <c:manualLayout>
          <c:xMode val="edge"/>
          <c:yMode val="edge"/>
          <c:x val="0"/>
          <c:y val="0"/>
          <c:w val="1"/>
          <c:h val="0.14310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17597"/>
          <c:y val="0.143104"/>
          <c:w val="0.909921"/>
          <c:h val="0.793653"/>
        </c:manualLayout>
      </c:layout>
      <c:barChart>
        <c:barDir val="col"/>
        <c:grouping val="clustered"/>
        <c:varyColors val="0"/>
        <c:ser>
          <c:idx val="0"/>
          <c:order val="0"/>
          <c:tx>
            <c:v>נמל חיפה
Haifa port</c:v>
          </c:tx>
          <c:spPr>
            <a:gradFill flip="none" rotWithShape="1">
              <a:gsLst>
                <a:gs pos="0">
                  <a:srgbClr val="FF0000"/>
                </a:gs>
                <a:gs pos="100000">
                  <a:srgbClr val="FFCC99"/>
                </a:gs>
              </a:gsLst>
              <a:lin ang="0" scaled="0"/>
            </a:gradFill>
            <a:ln w="12700" cap="flat">
              <a:solidFill>
                <a:srgbClr val="000000"/>
              </a:solidFill>
              <a:prstDash val="solid"/>
              <a:round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3"/>
              <c:pt idx="0">
                <c:v>Q1-2016</c:v>
              </c:pt>
              <c:pt idx="1">
                <c:v>Q2-2016</c:v>
              </c:pt>
              <c:pt idx="2">
                <c:v>Q3-2016</c:v>
              </c:pt>
              <c:pt idx="3">
                <c:v>Q4-2016</c:v>
              </c:pt>
              <c:pt idx="4">
                <c:v>Q1-2017</c:v>
              </c:pt>
              <c:pt idx="5">
                <c:v>Q2-2017</c:v>
              </c:pt>
              <c:pt idx="6">
                <c:v>Q3-2017</c:v>
              </c:pt>
              <c:pt idx="7">
                <c:v>Q4-2017</c:v>
              </c:pt>
              <c:pt idx="8">
                <c:v>Q1-2018</c:v>
              </c:pt>
              <c:pt idx="9">
                <c:v>Q2-2018</c:v>
              </c:pt>
              <c:pt idx="10">
                <c:v>Q3-2018</c:v>
              </c:pt>
              <c:pt idx="11">
                <c:v>Q4-2018</c:v>
              </c:pt>
              <c:pt idx="12">
                <c:v>Q1-2019</c:v>
              </c:pt>
              <c:pt idx="13">
                <c:v>Q2-2019</c:v>
              </c:pt>
              <c:pt idx="14">
                <c:v>Q3-2019</c:v>
              </c:pt>
              <c:pt idx="15">
                <c:v>Q4-2019</c:v>
              </c:pt>
              <c:pt idx="16">
                <c:v>Q1-2020</c:v>
              </c:pt>
              <c:pt idx="17">
                <c:v>Q2-2020</c:v>
              </c:pt>
              <c:pt idx="18">
                <c:v>Q3-2020</c:v>
              </c:pt>
              <c:pt idx="19">
                <c:v>Q4-2020</c:v>
              </c:pt>
              <c:pt idx="20">
                <c:v>Q1-2021</c:v>
              </c:pt>
              <c:pt idx="21">
                <c:v>Q2-2021</c:v>
              </c:pt>
              <c:pt idx="22">
                <c:v>Q3-2021</c:v>
              </c:pt>
            </c:strLit>
          </c:cat>
          <c:val>
            <c:numLit>
              <c:ptCount val="23"/>
              <c:pt idx="0">
                <c:v>337.655000</c:v>
              </c:pt>
              <c:pt idx="1">
                <c:v>318.686000</c:v>
              </c:pt>
              <c:pt idx="2">
                <c:v>313.607000</c:v>
              </c:pt>
              <c:pt idx="3">
                <c:v>297.990000</c:v>
              </c:pt>
              <c:pt idx="4">
                <c:v>350.186000</c:v>
              </c:pt>
              <c:pt idx="5">
                <c:v>363.739000</c:v>
              </c:pt>
              <c:pt idx="6">
                <c:v>318.417000</c:v>
              </c:pt>
              <c:pt idx="7">
                <c:v>310.963000</c:v>
              </c:pt>
              <c:pt idx="8">
                <c:v>351.840000</c:v>
              </c:pt>
              <c:pt idx="9">
                <c:v>390.116000</c:v>
              </c:pt>
              <c:pt idx="10">
                <c:v>374.667000</c:v>
              </c:pt>
              <c:pt idx="11">
                <c:v>352.523000</c:v>
              </c:pt>
              <c:pt idx="12">
                <c:v>355.083000</c:v>
              </c:pt>
              <c:pt idx="13">
                <c:v>357.474000</c:v>
              </c:pt>
              <c:pt idx="14">
                <c:v>322.719000</c:v>
              </c:pt>
              <c:pt idx="15">
                <c:v>343.760000</c:v>
              </c:pt>
              <c:pt idx="16">
                <c:v>373.748000</c:v>
              </c:pt>
              <c:pt idx="17">
                <c:v>365.658000</c:v>
              </c:pt>
              <c:pt idx="18">
                <c:v>351.676000</c:v>
              </c:pt>
              <c:pt idx="19">
                <c:v>373.352000</c:v>
              </c:pt>
              <c:pt idx="20">
                <c:v>376.334000</c:v>
              </c:pt>
              <c:pt idx="21">
                <c:v>386.023000</c:v>
              </c:pt>
              <c:pt idx="22">
                <c:v>349.364000</c:v>
              </c:pt>
            </c:numLit>
          </c:val>
        </c:ser>
        <c:ser>
          <c:idx val="1"/>
          <c:order val="1"/>
          <c:tx>
            <c:v>נמל אשדוד
Ashdos port</c:v>
          </c:tx>
          <c:spPr>
            <a:gradFill flip="none" rotWithShape="1">
              <a:gsLst>
                <a:gs pos="0">
                  <a:srgbClr val="00FF00"/>
                </a:gs>
                <a:gs pos="100000">
                  <a:srgbClr val="99CC00"/>
                </a:gs>
              </a:gsLst>
              <a:lin ang="0" scaled="0"/>
            </a:gradFill>
            <a:ln w="12700" cap="flat">
              <a:solidFill>
                <a:srgbClr val="000000"/>
              </a:solidFill>
              <a:prstDash val="solid"/>
              <a:round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3"/>
              <c:pt idx="0">
                <c:v>Q1-2016</c:v>
              </c:pt>
              <c:pt idx="1">
                <c:v>Q2-2016</c:v>
              </c:pt>
              <c:pt idx="2">
                <c:v>Q3-2016</c:v>
              </c:pt>
              <c:pt idx="3">
                <c:v>Q4-2016</c:v>
              </c:pt>
              <c:pt idx="4">
                <c:v>Q1-2017</c:v>
              </c:pt>
              <c:pt idx="5">
                <c:v>Q2-2017</c:v>
              </c:pt>
              <c:pt idx="6">
                <c:v>Q3-2017</c:v>
              </c:pt>
              <c:pt idx="7">
                <c:v>Q4-2017</c:v>
              </c:pt>
              <c:pt idx="8">
                <c:v>Q1-2018</c:v>
              </c:pt>
              <c:pt idx="9">
                <c:v>Q2-2018</c:v>
              </c:pt>
              <c:pt idx="10">
                <c:v>Q3-2018</c:v>
              </c:pt>
              <c:pt idx="11">
                <c:v>Q4-2018</c:v>
              </c:pt>
              <c:pt idx="12">
                <c:v>Q1-2019</c:v>
              </c:pt>
              <c:pt idx="13">
                <c:v>Q2-2019</c:v>
              </c:pt>
              <c:pt idx="14">
                <c:v>Q3-2019</c:v>
              </c:pt>
              <c:pt idx="15">
                <c:v>Q4-2019</c:v>
              </c:pt>
              <c:pt idx="16">
                <c:v>Q1-2020</c:v>
              </c:pt>
              <c:pt idx="17">
                <c:v>Q2-2020</c:v>
              </c:pt>
              <c:pt idx="18">
                <c:v>Q3-2020</c:v>
              </c:pt>
              <c:pt idx="19">
                <c:v>Q4-2020</c:v>
              </c:pt>
              <c:pt idx="20">
                <c:v>Q1-2021</c:v>
              </c:pt>
              <c:pt idx="21">
                <c:v>Q2-2021</c:v>
              </c:pt>
              <c:pt idx="22">
                <c:v>Q3-2021</c:v>
              </c:pt>
            </c:strLit>
          </c:cat>
          <c:val>
            <c:numLit>
              <c:ptCount val="23"/>
              <c:pt idx="0">
                <c:v>353.277000</c:v>
              </c:pt>
              <c:pt idx="1">
                <c:v>372.706000</c:v>
              </c:pt>
              <c:pt idx="2">
                <c:v>387.552000</c:v>
              </c:pt>
              <c:pt idx="3">
                <c:v>329.649000</c:v>
              </c:pt>
              <c:pt idx="4">
                <c:v>371.413000</c:v>
              </c:pt>
              <c:pt idx="5">
                <c:v>402.063000</c:v>
              </c:pt>
              <c:pt idx="6">
                <c:v>379.206000</c:v>
              </c:pt>
              <c:pt idx="7">
                <c:v>372.790000</c:v>
              </c:pt>
              <c:pt idx="8">
                <c:v>353.329000</c:v>
              </c:pt>
              <c:pt idx="9">
                <c:v>358.800000</c:v>
              </c:pt>
              <c:pt idx="10">
                <c:v>374.915000</c:v>
              </c:pt>
              <c:pt idx="11">
                <c:v>390.161000</c:v>
              </c:pt>
              <c:pt idx="12">
                <c:v>375.746000</c:v>
              </c:pt>
              <c:pt idx="13">
                <c:v>402.973000</c:v>
              </c:pt>
              <c:pt idx="14">
                <c:v>409.545000</c:v>
              </c:pt>
              <c:pt idx="15">
                <c:v>349.027000</c:v>
              </c:pt>
              <c:pt idx="16">
                <c:v>363.426000</c:v>
              </c:pt>
              <c:pt idx="17">
                <c:v>372.008000</c:v>
              </c:pt>
              <c:pt idx="18">
                <c:v>424.759000</c:v>
              </c:pt>
              <c:pt idx="19">
                <c:v>424.306000</c:v>
              </c:pt>
              <c:pt idx="20">
                <c:v>389.530000</c:v>
              </c:pt>
              <c:pt idx="21">
                <c:v>416.804000</c:v>
              </c:pt>
              <c:pt idx="22">
                <c:v>408.557000</c:v>
              </c:pt>
            </c:numLit>
          </c:val>
        </c:ser>
        <c:ser>
          <c:idx val="2"/>
          <c:order val="2"/>
          <c:tx>
            <c:v>נמל אילת
Eilat port</c:v>
          </c:tx>
          <c:spPr>
            <a:gradFill flip="none" rotWithShape="1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0" scaled="0"/>
            </a:gradFill>
            <a:ln w="12700" cap="flat">
              <a:solidFill>
                <a:srgbClr val="000000"/>
              </a:solidFill>
              <a:prstDash val="solid"/>
              <a:round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3"/>
              <c:pt idx="0">
                <c:v>Q1-2016</c:v>
              </c:pt>
              <c:pt idx="1">
                <c:v>Q2-2016</c:v>
              </c:pt>
              <c:pt idx="2">
                <c:v>Q3-2016</c:v>
              </c:pt>
              <c:pt idx="3">
                <c:v>Q4-2016</c:v>
              </c:pt>
              <c:pt idx="4">
                <c:v>Q1-2017</c:v>
              </c:pt>
              <c:pt idx="5">
                <c:v>Q2-2017</c:v>
              </c:pt>
              <c:pt idx="6">
                <c:v>Q3-2017</c:v>
              </c:pt>
              <c:pt idx="7">
                <c:v>Q4-2017</c:v>
              </c:pt>
              <c:pt idx="8">
                <c:v>Q1-2018</c:v>
              </c:pt>
              <c:pt idx="9">
                <c:v>Q2-2018</c:v>
              </c:pt>
              <c:pt idx="10">
                <c:v>Q3-2018</c:v>
              </c:pt>
              <c:pt idx="11">
                <c:v>Q4-2018</c:v>
              </c:pt>
              <c:pt idx="12">
                <c:v>Q1-2019</c:v>
              </c:pt>
              <c:pt idx="13">
                <c:v>Q2-2019</c:v>
              </c:pt>
              <c:pt idx="14">
                <c:v>Q3-2019</c:v>
              </c:pt>
              <c:pt idx="15">
                <c:v>Q4-2019</c:v>
              </c:pt>
              <c:pt idx="16">
                <c:v>Q1-2020</c:v>
              </c:pt>
              <c:pt idx="17">
                <c:v>Q2-2020</c:v>
              </c:pt>
              <c:pt idx="18">
                <c:v>Q3-2020</c:v>
              </c:pt>
              <c:pt idx="19">
                <c:v>Q4-2020</c:v>
              </c:pt>
              <c:pt idx="20">
                <c:v>Q1-2021</c:v>
              </c:pt>
              <c:pt idx="21">
                <c:v>Q2-2021</c:v>
              </c:pt>
              <c:pt idx="22">
                <c:v>Q3-2021</c:v>
              </c:pt>
            </c:strLit>
          </c:cat>
          <c:val>
            <c:numLit>
              <c:ptCount val="23"/>
              <c:pt idx="0">
                <c:v>0.024000</c:v>
              </c:pt>
              <c:pt idx="1">
                <c:v>0.101000</c:v>
              </c:pt>
              <c:pt idx="2">
                <c:v>0.033000</c:v>
              </c:pt>
              <c:pt idx="3">
                <c:v>0.136000</c:v>
              </c:pt>
              <c:pt idx="4">
                <c:v>0.061000</c:v>
              </c:pt>
              <c:pt idx="5">
                <c:v>0.012000</c:v>
              </c:pt>
              <c:pt idx="6">
                <c:v>0.012000</c:v>
              </c:pt>
              <c:pt idx="7">
                <c:v>0.124000</c:v>
              </c:pt>
              <c:pt idx="8">
                <c:v>0.015000</c:v>
              </c:pt>
              <c:pt idx="9">
                <c:v>0.002000</c:v>
              </c:pt>
              <c:pt idx="10">
                <c:v>0.146000</c:v>
              </c:pt>
              <c:pt idx="11">
                <c:v>0.057000</c:v>
              </c:pt>
              <c:pt idx="12">
                <c:v>0.026000</c:v>
              </c:pt>
              <c:pt idx="13">
                <c:v>0.005000</c:v>
              </c:pt>
              <c:pt idx="14">
                <c:v>0.053000</c:v>
              </c:pt>
              <c:pt idx="15">
                <c:v>0.084000</c:v>
              </c:pt>
              <c:pt idx="16">
                <c:v>0.113000</c:v>
              </c:pt>
              <c:pt idx="17">
                <c:v>0.111000</c:v>
              </c:pt>
              <c:pt idx="18">
                <c:v>0.081000</c:v>
              </c:pt>
              <c:pt idx="19">
                <c:v>0.000000</c:v>
              </c:pt>
              <c:pt idx="20">
                <c:v>0.060000</c:v>
              </c:pt>
              <c:pt idx="21">
                <c:v>0.021000</c:v>
              </c:pt>
              <c:pt idx="22">
                <c:v>0.043000</c:v>
              </c:pt>
            </c:numLit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000000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400" u="none">
                    <a:solidFill>
                      <a:srgbClr val="000080"/>
                    </a:solidFill>
                    <a:latin typeface="Arial"/>
                  </a:defRPr>
                </a:pPr>
                <a:r>
                  <a:rPr b="1" i="0" strike="noStrike" sz="1400" u="none">
                    <a:solidFill>
                      <a:srgbClr val="000080"/>
                    </a:solidFill>
                    <a:latin typeface="Arial"/>
                  </a:rPr>
                  <a:t>אלפי Thousands of TEU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12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25"/>
        <c:minorUnit val="62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638757"/>
          <c:y val="0.055751"/>
          <c:w val="0.340964"/>
          <c:h val="0.09524"/>
        </c:manualLayout>
      </c:layout>
      <c:overlay val="1"/>
      <c:spPr>
        <a:solidFill>
          <a:srgbClr val="FFFFFF"/>
        </a:solidFill>
        <a:ln w="3175" cap="flat">
          <a:solidFill>
            <a:srgbClr val="000000"/>
          </a:solidFill>
          <a:prstDash val="solid"/>
          <a:round/>
        </a:ln>
        <a:effectLst/>
      </c:spPr>
      <c:txPr>
        <a:bodyPr rot="0"/>
        <a:lstStyle/>
        <a:p>
          <a:pPr>
            <a:defRPr b="1" i="0" strike="noStrike" sz="11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600" u="sng">
                <a:solidFill>
                  <a:srgbClr val="000080"/>
                </a:solidFill>
                <a:latin typeface="David"/>
              </a:defRPr>
            </a:pPr>
            <a:r>
              <a:rPr b="1" i="0" strike="noStrike" sz="1600" u="sng">
                <a:solidFill>
                  <a:srgbClr val="000080"/>
                </a:solidFill>
                <a:latin typeface="David"/>
              </a:rPr>
              <a:t>מכולות - סה"כ תנועות (אלפי TEU) בנמלי ישראל Q3/2021 - Q1/2016
Containers(Thousand TEU) in Israeli Ports Q1/2016 - Q3/2021</a:t>
            </a:r>
          </a:p>
        </c:rich>
      </c:tx>
      <c:layout>
        <c:manualLayout>
          <c:xMode val="edge"/>
          <c:yMode val="edge"/>
          <c:x val="0"/>
          <c:y val="0"/>
          <c:w val="1"/>
          <c:h val="0.1453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08652"/>
          <c:y val="0.145382"/>
          <c:w val="0.879059"/>
          <c:h val="0.686046"/>
        </c:manualLayout>
      </c:layout>
      <c:lineChart>
        <c:grouping val="standard"/>
        <c:varyColors val="0"/>
        <c:ser>
          <c:idx val="0"/>
          <c:order val="0"/>
          <c:tx>
            <c:v>נמל חיפה
Haifa port</c:v>
          </c:tx>
          <c:spPr>
            <a:solidFill>
              <a:srgbClr val="FF0000"/>
            </a:solidFill>
            <a:ln w="38100" cap="flat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 cap="flat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3"/>
              <c:pt idx="0">
                <c:v>Q1-2016</c:v>
              </c:pt>
              <c:pt idx="1">
                <c:v>Q2-2016</c:v>
              </c:pt>
              <c:pt idx="2">
                <c:v>Q3-2016</c:v>
              </c:pt>
              <c:pt idx="3">
                <c:v>Q4-2016</c:v>
              </c:pt>
              <c:pt idx="4">
                <c:v>Q1-2017</c:v>
              </c:pt>
              <c:pt idx="5">
                <c:v>Q2-2017</c:v>
              </c:pt>
              <c:pt idx="6">
                <c:v>Q3-2017</c:v>
              </c:pt>
              <c:pt idx="7">
                <c:v>Q4-2017</c:v>
              </c:pt>
              <c:pt idx="8">
                <c:v>Q1-2018</c:v>
              </c:pt>
              <c:pt idx="9">
                <c:v>Q2-2018</c:v>
              </c:pt>
              <c:pt idx="10">
                <c:v>Q3-2018</c:v>
              </c:pt>
              <c:pt idx="11">
                <c:v>Q4-2018</c:v>
              </c:pt>
              <c:pt idx="12">
                <c:v>Q1-2019</c:v>
              </c:pt>
              <c:pt idx="13">
                <c:v>Q2-2019</c:v>
              </c:pt>
              <c:pt idx="14">
                <c:v>Q3-2019</c:v>
              </c:pt>
              <c:pt idx="15">
                <c:v>Q4-2019</c:v>
              </c:pt>
              <c:pt idx="16">
                <c:v>Q1-2020</c:v>
              </c:pt>
              <c:pt idx="17">
                <c:v>Q2-2020</c:v>
              </c:pt>
              <c:pt idx="18">
                <c:v>Q3-2020</c:v>
              </c:pt>
              <c:pt idx="19">
                <c:v>Q4-2020</c:v>
              </c:pt>
              <c:pt idx="20">
                <c:v>Q1-2021</c:v>
              </c:pt>
              <c:pt idx="21">
                <c:v>Q2-2021</c:v>
              </c:pt>
              <c:pt idx="22">
                <c:v>Q3-2021</c:v>
              </c:pt>
            </c:strLit>
          </c:cat>
          <c:val>
            <c:numLit>
              <c:ptCount val="23"/>
              <c:pt idx="0">
                <c:v>337.655000</c:v>
              </c:pt>
              <c:pt idx="1">
                <c:v>318.686000</c:v>
              </c:pt>
              <c:pt idx="2">
                <c:v>313.607000</c:v>
              </c:pt>
              <c:pt idx="3">
                <c:v>297.990000</c:v>
              </c:pt>
              <c:pt idx="4">
                <c:v>350.186000</c:v>
              </c:pt>
              <c:pt idx="5">
                <c:v>363.739000</c:v>
              </c:pt>
              <c:pt idx="6">
                <c:v>318.417000</c:v>
              </c:pt>
              <c:pt idx="7">
                <c:v>310.963000</c:v>
              </c:pt>
              <c:pt idx="8">
                <c:v>351.840000</c:v>
              </c:pt>
              <c:pt idx="9">
                <c:v>390.116000</c:v>
              </c:pt>
              <c:pt idx="10">
                <c:v>374.667000</c:v>
              </c:pt>
              <c:pt idx="11">
                <c:v>352.523000</c:v>
              </c:pt>
              <c:pt idx="12">
                <c:v>355.083000</c:v>
              </c:pt>
              <c:pt idx="13">
                <c:v>357.474000</c:v>
              </c:pt>
              <c:pt idx="14">
                <c:v>322.719000</c:v>
              </c:pt>
              <c:pt idx="15">
                <c:v>343.760000</c:v>
              </c:pt>
              <c:pt idx="16">
                <c:v>373.748000</c:v>
              </c:pt>
              <c:pt idx="17">
                <c:v>365.658000</c:v>
              </c:pt>
              <c:pt idx="18">
                <c:v>351.676000</c:v>
              </c:pt>
              <c:pt idx="19">
                <c:v>373.352000</c:v>
              </c:pt>
              <c:pt idx="20">
                <c:v>376.334000</c:v>
              </c:pt>
              <c:pt idx="21">
                <c:v>386.023000</c:v>
              </c:pt>
              <c:pt idx="22">
                <c:v>349.364000</c:v>
              </c:pt>
            </c:numLit>
          </c:val>
          <c:smooth val="1"/>
        </c:ser>
        <c:ser>
          <c:idx val="1"/>
          <c:order val="1"/>
          <c:tx>
            <c:v>נמל אשדוד
Ashdos port</c:v>
          </c:tx>
          <c:spPr>
            <a:solidFill>
              <a:srgbClr val="339966"/>
            </a:solidFill>
            <a:ln w="38100" cap="flat">
              <a:solidFill>
                <a:srgbClr val="339966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339966"/>
              </a:solidFill>
              <a:ln w="9525" cap="flat">
                <a:solidFill>
                  <a:srgbClr val="339966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339966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3"/>
              <c:pt idx="0">
                <c:v>Q1-2016</c:v>
              </c:pt>
              <c:pt idx="1">
                <c:v>Q2-2016</c:v>
              </c:pt>
              <c:pt idx="2">
                <c:v>Q3-2016</c:v>
              </c:pt>
              <c:pt idx="3">
                <c:v>Q4-2016</c:v>
              </c:pt>
              <c:pt idx="4">
                <c:v>Q1-2017</c:v>
              </c:pt>
              <c:pt idx="5">
                <c:v>Q2-2017</c:v>
              </c:pt>
              <c:pt idx="6">
                <c:v>Q3-2017</c:v>
              </c:pt>
              <c:pt idx="7">
                <c:v>Q4-2017</c:v>
              </c:pt>
              <c:pt idx="8">
                <c:v>Q1-2018</c:v>
              </c:pt>
              <c:pt idx="9">
                <c:v>Q2-2018</c:v>
              </c:pt>
              <c:pt idx="10">
                <c:v>Q3-2018</c:v>
              </c:pt>
              <c:pt idx="11">
                <c:v>Q4-2018</c:v>
              </c:pt>
              <c:pt idx="12">
                <c:v>Q1-2019</c:v>
              </c:pt>
              <c:pt idx="13">
                <c:v>Q2-2019</c:v>
              </c:pt>
              <c:pt idx="14">
                <c:v>Q3-2019</c:v>
              </c:pt>
              <c:pt idx="15">
                <c:v>Q4-2019</c:v>
              </c:pt>
              <c:pt idx="16">
                <c:v>Q1-2020</c:v>
              </c:pt>
              <c:pt idx="17">
                <c:v>Q2-2020</c:v>
              </c:pt>
              <c:pt idx="18">
                <c:v>Q3-2020</c:v>
              </c:pt>
              <c:pt idx="19">
                <c:v>Q4-2020</c:v>
              </c:pt>
              <c:pt idx="20">
                <c:v>Q1-2021</c:v>
              </c:pt>
              <c:pt idx="21">
                <c:v>Q2-2021</c:v>
              </c:pt>
              <c:pt idx="22">
                <c:v>Q3-2021</c:v>
              </c:pt>
            </c:strLit>
          </c:cat>
          <c:val>
            <c:numLit>
              <c:ptCount val="23"/>
              <c:pt idx="0">
                <c:v>353.277000</c:v>
              </c:pt>
              <c:pt idx="1">
                <c:v>372.706000</c:v>
              </c:pt>
              <c:pt idx="2">
                <c:v>387.552000</c:v>
              </c:pt>
              <c:pt idx="3">
                <c:v>329.649000</c:v>
              </c:pt>
              <c:pt idx="4">
                <c:v>371.413000</c:v>
              </c:pt>
              <c:pt idx="5">
                <c:v>402.063000</c:v>
              </c:pt>
              <c:pt idx="6">
                <c:v>379.206000</c:v>
              </c:pt>
              <c:pt idx="7">
                <c:v>372.790000</c:v>
              </c:pt>
              <c:pt idx="8">
                <c:v>353.329000</c:v>
              </c:pt>
              <c:pt idx="9">
                <c:v>358.800000</c:v>
              </c:pt>
              <c:pt idx="10">
                <c:v>374.915000</c:v>
              </c:pt>
              <c:pt idx="11">
                <c:v>390.161000</c:v>
              </c:pt>
              <c:pt idx="12">
                <c:v>375.746000</c:v>
              </c:pt>
              <c:pt idx="13">
                <c:v>402.973000</c:v>
              </c:pt>
              <c:pt idx="14">
                <c:v>409.545000</c:v>
              </c:pt>
              <c:pt idx="15">
                <c:v>349.027000</c:v>
              </c:pt>
              <c:pt idx="16">
                <c:v>363.426000</c:v>
              </c:pt>
              <c:pt idx="17">
                <c:v>372.008000</c:v>
              </c:pt>
              <c:pt idx="18">
                <c:v>424.759000</c:v>
              </c:pt>
              <c:pt idx="19">
                <c:v>424.306000</c:v>
              </c:pt>
              <c:pt idx="20">
                <c:v>389.530000</c:v>
              </c:pt>
              <c:pt idx="21">
                <c:v>416.804000</c:v>
              </c:pt>
              <c:pt idx="22">
                <c:v>408.557000</c:v>
              </c:pt>
            </c:numLit>
          </c:val>
          <c:smooth val="1"/>
        </c:ser>
        <c:ser>
          <c:idx val="2"/>
          <c:order val="2"/>
          <c:tx>
            <c:v>נמל אילת
Eilat port</c:v>
          </c:tx>
          <c:spPr>
            <a:solidFill>
              <a:srgbClr val="0000FF"/>
            </a:solidFill>
            <a:ln w="38100" cap="flat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0000FF"/>
              </a:solidFill>
              <a:ln w="9525" cap="flat">
                <a:solidFill>
                  <a:srgbClr val="0000FF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0000FF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3"/>
              <c:pt idx="0">
                <c:v>Q1-2016</c:v>
              </c:pt>
              <c:pt idx="1">
                <c:v>Q2-2016</c:v>
              </c:pt>
              <c:pt idx="2">
                <c:v>Q3-2016</c:v>
              </c:pt>
              <c:pt idx="3">
                <c:v>Q4-2016</c:v>
              </c:pt>
              <c:pt idx="4">
                <c:v>Q1-2017</c:v>
              </c:pt>
              <c:pt idx="5">
                <c:v>Q2-2017</c:v>
              </c:pt>
              <c:pt idx="6">
                <c:v>Q3-2017</c:v>
              </c:pt>
              <c:pt idx="7">
                <c:v>Q4-2017</c:v>
              </c:pt>
              <c:pt idx="8">
                <c:v>Q1-2018</c:v>
              </c:pt>
              <c:pt idx="9">
                <c:v>Q2-2018</c:v>
              </c:pt>
              <c:pt idx="10">
                <c:v>Q3-2018</c:v>
              </c:pt>
              <c:pt idx="11">
                <c:v>Q4-2018</c:v>
              </c:pt>
              <c:pt idx="12">
                <c:v>Q1-2019</c:v>
              </c:pt>
              <c:pt idx="13">
                <c:v>Q2-2019</c:v>
              </c:pt>
              <c:pt idx="14">
                <c:v>Q3-2019</c:v>
              </c:pt>
              <c:pt idx="15">
                <c:v>Q4-2019</c:v>
              </c:pt>
              <c:pt idx="16">
                <c:v>Q1-2020</c:v>
              </c:pt>
              <c:pt idx="17">
                <c:v>Q2-2020</c:v>
              </c:pt>
              <c:pt idx="18">
                <c:v>Q3-2020</c:v>
              </c:pt>
              <c:pt idx="19">
                <c:v>Q4-2020</c:v>
              </c:pt>
              <c:pt idx="20">
                <c:v>Q1-2021</c:v>
              </c:pt>
              <c:pt idx="21">
                <c:v>Q2-2021</c:v>
              </c:pt>
              <c:pt idx="22">
                <c:v>Q3-2021</c:v>
              </c:pt>
            </c:strLit>
          </c:cat>
          <c:val>
            <c:numLit>
              <c:ptCount val="23"/>
              <c:pt idx="0">
                <c:v>0.024000</c:v>
              </c:pt>
              <c:pt idx="1">
                <c:v>0.101000</c:v>
              </c:pt>
              <c:pt idx="2">
                <c:v>0.033000</c:v>
              </c:pt>
              <c:pt idx="3">
                <c:v>0.136000</c:v>
              </c:pt>
              <c:pt idx="4">
                <c:v>0.061000</c:v>
              </c:pt>
              <c:pt idx="5">
                <c:v>0.012000</c:v>
              </c:pt>
              <c:pt idx="6">
                <c:v>0.012000</c:v>
              </c:pt>
              <c:pt idx="7">
                <c:v>0.124000</c:v>
              </c:pt>
              <c:pt idx="8">
                <c:v>0.015000</c:v>
              </c:pt>
              <c:pt idx="9">
                <c:v>0.002000</c:v>
              </c:pt>
              <c:pt idx="10">
                <c:v>0.146000</c:v>
              </c:pt>
              <c:pt idx="11">
                <c:v>0.057000</c:v>
              </c:pt>
              <c:pt idx="12">
                <c:v>0.026000</c:v>
              </c:pt>
              <c:pt idx="13">
                <c:v>0.005000</c:v>
              </c:pt>
              <c:pt idx="14">
                <c:v>0.053000</c:v>
              </c:pt>
              <c:pt idx="15">
                <c:v>0.084000</c:v>
              </c:pt>
              <c:pt idx="16">
                <c:v>0.113000</c:v>
              </c:pt>
              <c:pt idx="17">
                <c:v>0.111000</c:v>
              </c:pt>
              <c:pt idx="18">
                <c:v>0.081000</c:v>
              </c:pt>
              <c:pt idx="19">
                <c:v>0.000000</c:v>
              </c:pt>
              <c:pt idx="20">
                <c:v>0.060000</c:v>
              </c:pt>
              <c:pt idx="21">
                <c:v>0.021000</c:v>
              </c:pt>
              <c:pt idx="22">
                <c:v>0.043000</c:v>
              </c:pt>
            </c:numLit>
          </c:val>
          <c:smooth val="1"/>
        </c:ser>
        <c:ser>
          <c:idx val="3"/>
          <c:order val="3"/>
          <c:tx>
            <c:v>כל הנמלים
Total ports</c:v>
          </c:tx>
          <c:spPr>
            <a:solidFill>
              <a:srgbClr val="000000"/>
            </a:solidFill>
            <a:ln w="38100" cap="flat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000000"/>
              </a:solidFill>
              <a:ln w="9525" cap="flat">
                <a:solidFill>
                  <a:srgbClr val="000000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3"/>
              <c:pt idx="0">
                <c:v>Q1-2016</c:v>
              </c:pt>
              <c:pt idx="1">
                <c:v>Q2-2016</c:v>
              </c:pt>
              <c:pt idx="2">
                <c:v>Q3-2016</c:v>
              </c:pt>
              <c:pt idx="3">
                <c:v>Q4-2016</c:v>
              </c:pt>
              <c:pt idx="4">
                <c:v>Q1-2017</c:v>
              </c:pt>
              <c:pt idx="5">
                <c:v>Q2-2017</c:v>
              </c:pt>
              <c:pt idx="6">
                <c:v>Q3-2017</c:v>
              </c:pt>
              <c:pt idx="7">
                <c:v>Q4-2017</c:v>
              </c:pt>
              <c:pt idx="8">
                <c:v>Q1-2018</c:v>
              </c:pt>
              <c:pt idx="9">
                <c:v>Q2-2018</c:v>
              </c:pt>
              <c:pt idx="10">
                <c:v>Q3-2018</c:v>
              </c:pt>
              <c:pt idx="11">
                <c:v>Q4-2018</c:v>
              </c:pt>
              <c:pt idx="12">
                <c:v>Q1-2019</c:v>
              </c:pt>
              <c:pt idx="13">
                <c:v>Q2-2019</c:v>
              </c:pt>
              <c:pt idx="14">
                <c:v>Q3-2019</c:v>
              </c:pt>
              <c:pt idx="15">
                <c:v>Q4-2019</c:v>
              </c:pt>
              <c:pt idx="16">
                <c:v>Q1-2020</c:v>
              </c:pt>
              <c:pt idx="17">
                <c:v>Q2-2020</c:v>
              </c:pt>
              <c:pt idx="18">
                <c:v>Q3-2020</c:v>
              </c:pt>
              <c:pt idx="19">
                <c:v>Q4-2020</c:v>
              </c:pt>
              <c:pt idx="20">
                <c:v>Q1-2021</c:v>
              </c:pt>
              <c:pt idx="21">
                <c:v>Q2-2021</c:v>
              </c:pt>
              <c:pt idx="22">
                <c:v>Q3-2021</c:v>
              </c:pt>
            </c:strLit>
          </c:cat>
          <c:val>
            <c:numLit>
              <c:ptCount val="23"/>
              <c:pt idx="0">
                <c:v>690.956000</c:v>
              </c:pt>
              <c:pt idx="1">
                <c:v>691.493000</c:v>
              </c:pt>
              <c:pt idx="2">
                <c:v>701.192000</c:v>
              </c:pt>
              <c:pt idx="3">
                <c:v>627.775000</c:v>
              </c:pt>
              <c:pt idx="4">
                <c:v>721.660000</c:v>
              </c:pt>
              <c:pt idx="5">
                <c:v>765.814000</c:v>
              </c:pt>
              <c:pt idx="6">
                <c:v>697.635000</c:v>
              </c:pt>
              <c:pt idx="7">
                <c:v>683.877000</c:v>
              </c:pt>
              <c:pt idx="8">
                <c:v>705.184000</c:v>
              </c:pt>
              <c:pt idx="9">
                <c:v>748.918000</c:v>
              </c:pt>
              <c:pt idx="10">
                <c:v>749.728000</c:v>
              </c:pt>
              <c:pt idx="11">
                <c:v>742.741000</c:v>
              </c:pt>
              <c:pt idx="12">
                <c:v>730.855000</c:v>
              </c:pt>
              <c:pt idx="13">
                <c:v>760.452000</c:v>
              </c:pt>
              <c:pt idx="14">
                <c:v>732.317000</c:v>
              </c:pt>
              <c:pt idx="15">
                <c:v>692.871000</c:v>
              </c:pt>
              <c:pt idx="16">
                <c:v>737.287000</c:v>
              </c:pt>
              <c:pt idx="17">
                <c:v>737.777000</c:v>
              </c:pt>
              <c:pt idx="18">
                <c:v>776.516000</c:v>
              </c:pt>
              <c:pt idx="19">
                <c:v>797.658000</c:v>
              </c:pt>
              <c:pt idx="20">
                <c:v>765.924000</c:v>
              </c:pt>
              <c:pt idx="21">
                <c:v>802.848000</c:v>
              </c:pt>
              <c:pt idx="22">
                <c:v>757.964000</c:v>
              </c:pt>
            </c:numLit>
          </c:val>
          <c:smooth val="1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000000"/>
            </a:solidFill>
            <a:prstDash val="solid"/>
            <a:round/>
          </a:ln>
        </c:spPr>
        <c:txPr>
          <a:bodyPr rot="-5400000"/>
          <a:lstStyle/>
          <a:p>
            <a:pPr>
              <a:defRPr b="1" i="0" strike="noStrike" sz="12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in val="0"/>
        </c:scaling>
        <c:delete val="0"/>
        <c:axPos val="l"/>
        <c:majorGridlines>
          <c:spPr>
            <a:ln w="12700" cap="flat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500" u="none">
                    <a:solidFill>
                      <a:srgbClr val="000080"/>
                    </a:solidFill>
                    <a:latin typeface="Arial"/>
                  </a:defRPr>
                </a:pPr>
                <a:r>
                  <a:rPr b="1" i="0" strike="noStrike" sz="1500" u="none">
                    <a:solidFill>
                      <a:srgbClr val="000080"/>
                    </a:solidFill>
                    <a:latin typeface="Arial"/>
                  </a:rPr>
                  <a:t>אלפי Thousands of TEU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12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225"/>
        <c:minorUnit val="112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473835"/>
          <c:y val="0.0680156"/>
          <c:w val="0.481643"/>
          <c:h val="0.0923001"/>
        </c:manualLayout>
      </c:layout>
      <c:overlay val="1"/>
      <c:spPr>
        <a:solidFill>
          <a:srgbClr val="FFFFFF"/>
        </a:solidFill>
        <a:ln w="3175" cap="flat">
          <a:solidFill>
            <a:srgbClr val="000000"/>
          </a:solidFill>
          <a:prstDash val="solid"/>
          <a:round/>
        </a:ln>
        <a:effectLst/>
      </c:spPr>
      <c:txPr>
        <a:bodyPr rot="0"/>
        <a:lstStyle/>
        <a:p>
          <a:pPr>
            <a:defRPr b="1" i="0" strike="noStrike" sz="11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David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David"/>
              </a:rPr>
              <a:t>מכולות- סה"כ תנועות (אלפי TEU) בנמלי ישראל Q(1-3)/2021- 2010</a:t>
            </a:r>
          </a:p>
        </c:rich>
      </c:tx>
      <c:layout>
        <c:manualLayout>
          <c:xMode val="edge"/>
          <c:yMode val="edge"/>
          <c:x val="0.0276295"/>
          <c:y val="0"/>
          <c:w val="0.944741"/>
          <c:h val="0.1010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573092"/>
          <c:y val="0.101012"/>
          <c:w val="0.937691"/>
          <c:h val="0.694479"/>
        </c:manualLayout>
      </c:layout>
      <c:lineChart>
        <c:grouping val="standard"/>
        <c:varyColors val="0"/>
        <c:ser>
          <c:idx val="0"/>
          <c:order val="0"/>
          <c:tx>
            <c:v>נמל חיפה
Haifa port</c:v>
          </c:tx>
          <c:spPr>
            <a:solidFill>
              <a:srgbClr val="FFFFFF"/>
            </a:solidFill>
            <a:ln w="19050" cap="rnd">
              <a:solidFill>
                <a:srgbClr val="4A7EBB"/>
              </a:solidFill>
              <a:prstDash val="solid"/>
              <a:round/>
            </a:ln>
            <a:effectLst/>
          </c:spPr>
          <c:marker>
            <c:symbol val="circle"/>
            <c:size val="16"/>
            <c:spPr>
              <a:solidFill>
                <a:srgbClr val="FFFFFF"/>
              </a:solidFill>
              <a:ln w="12700" cap="flat">
                <a:noFill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400" u="none">
                    <a:solidFill>
                      <a:srgbClr val="4F81BD"/>
                    </a:solidFill>
                    <a:latin typeface="David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2"/>
              <c:pt idx="0">
                <c:v>2010 </c:v>
              </c:pt>
              <c:pt idx="1">
                <c:v>2011 </c:v>
              </c:pt>
              <c:pt idx="2">
                <c:v>2012 </c:v>
              </c:pt>
              <c:pt idx="3">
                <c:v>2013 </c:v>
              </c:pt>
              <c:pt idx="4">
                <c:v>2014 </c:v>
              </c:pt>
              <c:pt idx="5">
                <c:v>2015 </c:v>
              </c:pt>
              <c:pt idx="6">
                <c:v>2016 </c:v>
              </c:pt>
              <c:pt idx="7">
                <c:v>2017 </c:v>
              </c:pt>
              <c:pt idx="8">
                <c:v>2018 </c:v>
              </c:pt>
              <c:pt idx="9">
                <c:v>2019 </c:v>
              </c:pt>
              <c:pt idx="10">
                <c:v>2020 </c:v>
              </c:pt>
              <c:pt idx="11">
                <c:v>Q(1-3)/2021</c:v>
              </c:pt>
            </c:strLit>
          </c:cat>
          <c:val>
            <c:numLit>
              <c:ptCount val="12"/>
              <c:pt idx="0">
                <c:v>1266.140000</c:v>
              </c:pt>
              <c:pt idx="1">
                <c:v>1235.590000</c:v>
              </c:pt>
              <c:pt idx="2">
                <c:v>1370.430000</c:v>
              </c:pt>
              <c:pt idx="3">
                <c:v>1356.990000</c:v>
              </c:pt>
              <c:pt idx="4">
                <c:v>1196.240000</c:v>
              </c:pt>
              <c:pt idx="5">
                <c:v>1214.580000</c:v>
              </c:pt>
              <c:pt idx="6">
                <c:v>1267.940000</c:v>
              </c:pt>
              <c:pt idx="7">
                <c:v>1343.310000</c:v>
              </c:pt>
              <c:pt idx="8">
                <c:v>1469.150000</c:v>
              </c:pt>
              <c:pt idx="9">
                <c:v>1379.040000</c:v>
              </c:pt>
              <c:pt idx="10">
                <c:v>1464.430000</c:v>
              </c:pt>
              <c:pt idx="11">
                <c:v>1111.720000</c:v>
              </c:pt>
            </c:numLit>
          </c:val>
          <c:smooth val="0"/>
        </c:ser>
        <c:ser>
          <c:idx val="1"/>
          <c:order val="1"/>
          <c:tx>
            <c:v>נמל אשדוד
Ashdod port</c:v>
          </c:tx>
          <c:spPr>
            <a:solidFill>
              <a:srgbClr val="FFFFFF"/>
            </a:solidFill>
            <a:ln w="19050" cap="rnd">
              <a:solidFill>
                <a:srgbClr val="BE4B48"/>
              </a:solidFill>
              <a:prstDash val="solid"/>
              <a:round/>
            </a:ln>
            <a:effectLst/>
          </c:spPr>
          <c:marker>
            <c:symbol val="circle"/>
            <c:size val="16"/>
            <c:spPr>
              <a:solidFill>
                <a:srgbClr val="FFFFFF"/>
              </a:solidFill>
              <a:ln w="12700" cap="flat">
                <a:noFill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400" u="none">
                    <a:solidFill>
                      <a:srgbClr val="C0504D"/>
                    </a:solidFill>
                    <a:latin typeface="David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2"/>
              <c:pt idx="0">
                <c:v>2010 </c:v>
              </c:pt>
              <c:pt idx="1">
                <c:v>2011 </c:v>
              </c:pt>
              <c:pt idx="2">
                <c:v>2012 </c:v>
              </c:pt>
              <c:pt idx="3">
                <c:v>2013 </c:v>
              </c:pt>
              <c:pt idx="4">
                <c:v>2014 </c:v>
              </c:pt>
              <c:pt idx="5">
                <c:v>2015 </c:v>
              </c:pt>
              <c:pt idx="6">
                <c:v>2016 </c:v>
              </c:pt>
              <c:pt idx="7">
                <c:v>2017 </c:v>
              </c:pt>
              <c:pt idx="8">
                <c:v>2018 </c:v>
              </c:pt>
              <c:pt idx="9">
                <c:v>2019 </c:v>
              </c:pt>
              <c:pt idx="10">
                <c:v>2020 </c:v>
              </c:pt>
              <c:pt idx="11">
                <c:v>Q(1-3)/2021</c:v>
              </c:pt>
            </c:strLit>
          </c:cat>
          <c:val>
            <c:numLit>
              <c:ptCount val="12"/>
              <c:pt idx="0">
                <c:v>1017.420000</c:v>
              </c:pt>
              <c:pt idx="1">
                <c:v>1160.100000</c:v>
              </c:pt>
              <c:pt idx="2">
                <c:v>1170.430000</c:v>
              </c:pt>
              <c:pt idx="3">
                <c:v>1181.650000</c:v>
              </c:pt>
              <c:pt idx="4">
                <c:v>1249.710000</c:v>
              </c:pt>
              <c:pt idx="5">
                <c:v>1306.770000</c:v>
              </c:pt>
              <c:pt idx="6">
                <c:v>1443.180000</c:v>
              </c:pt>
              <c:pt idx="7">
                <c:v>1525.470000</c:v>
              </c:pt>
              <c:pt idx="8">
                <c:v>1477.200000</c:v>
              </c:pt>
              <c:pt idx="9">
                <c:v>1537.290000</c:v>
              </c:pt>
              <c:pt idx="10">
                <c:v>1584.500000</c:v>
              </c:pt>
              <c:pt idx="11">
                <c:v>1214.890000</c:v>
              </c:pt>
            </c:numLit>
          </c:val>
          <c:smooth val="0"/>
        </c:ser>
        <c:ser>
          <c:idx val="2"/>
          <c:order val="2"/>
          <c:tx>
            <c:v>נמל אילת
Eilat port</c:v>
          </c:tx>
          <c:spPr>
            <a:solidFill>
              <a:srgbClr val="FFFFFF"/>
            </a:solidFill>
            <a:ln w="19050" cap="rnd">
              <a:solidFill>
                <a:srgbClr val="98B955"/>
              </a:solidFill>
              <a:prstDash val="solid"/>
              <a:round/>
            </a:ln>
            <a:effectLst/>
          </c:spPr>
          <c:marker>
            <c:symbol val="circle"/>
            <c:size val="16"/>
            <c:spPr>
              <a:solidFill>
                <a:srgbClr val="FFFFFF"/>
              </a:solidFill>
              <a:ln w="12700" cap="flat">
                <a:noFill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400" u="none">
                    <a:solidFill>
                      <a:srgbClr val="9BBB59"/>
                    </a:solidFill>
                    <a:latin typeface="David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2"/>
              <c:pt idx="0">
                <c:v>2010 </c:v>
              </c:pt>
              <c:pt idx="1">
                <c:v>2011 </c:v>
              </c:pt>
              <c:pt idx="2">
                <c:v>2012 </c:v>
              </c:pt>
              <c:pt idx="3">
                <c:v>2013 </c:v>
              </c:pt>
              <c:pt idx="4">
                <c:v>2014 </c:v>
              </c:pt>
              <c:pt idx="5">
                <c:v>2015 </c:v>
              </c:pt>
              <c:pt idx="6">
                <c:v>2016 </c:v>
              </c:pt>
              <c:pt idx="7">
                <c:v>2017 </c:v>
              </c:pt>
              <c:pt idx="8">
                <c:v>2018 </c:v>
              </c:pt>
              <c:pt idx="9">
                <c:v>2019 </c:v>
              </c:pt>
              <c:pt idx="10">
                <c:v>2020 </c:v>
              </c:pt>
              <c:pt idx="11">
                <c:v>Q(1-3)/2021</c:v>
              </c:pt>
            </c:strLit>
          </c:cat>
          <c:val>
            <c:numLit>
              <c:ptCount val="12"/>
              <c:pt idx="0">
                <c:v>0.000000</c:v>
              </c:pt>
              <c:pt idx="1">
                <c:v>0.000000</c:v>
              </c:pt>
              <c:pt idx="2">
                <c:v>0.000000</c:v>
              </c:pt>
              <c:pt idx="3">
                <c:v>0.228000</c:v>
              </c:pt>
              <c:pt idx="4">
                <c:v>0.180000</c:v>
              </c:pt>
              <c:pt idx="5">
                <c:v>0.383000</c:v>
              </c:pt>
              <c:pt idx="6">
                <c:v>0.294000</c:v>
              </c:pt>
              <c:pt idx="7">
                <c:v>0.209000</c:v>
              </c:pt>
              <c:pt idx="8">
                <c:v>0.220000</c:v>
              </c:pt>
              <c:pt idx="9">
                <c:v>0.168000</c:v>
              </c:pt>
              <c:pt idx="10">
                <c:v>0.305000</c:v>
              </c:pt>
              <c:pt idx="11">
                <c:v>0.124000</c:v>
              </c:pt>
            </c:numLit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-2700000"/>
          <a:lstStyle/>
          <a:p>
            <a:pPr>
              <a:defRPr b="1" i="0" strike="noStrike" sz="1400" u="none">
                <a:solidFill>
                  <a:srgbClr val="595959"/>
                </a:solidFill>
                <a:latin typeface="David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i="0" strike="noStrike" sz="1400" u="none">
                    <a:solidFill>
                      <a:srgbClr val="595959"/>
                    </a:solidFill>
                    <a:latin typeface="David"/>
                  </a:defRPr>
                </a:pPr>
                <a:r>
                  <a:rPr b="1" i="0" strike="noStrike" sz="1400" u="none">
                    <a:solidFill>
                      <a:srgbClr val="595959"/>
                    </a:solidFill>
                    <a:latin typeface="David"/>
                  </a:rPr>
                  <a:t>אלפי TEU </a:t>
                </a:r>
              </a:p>
            </c:rich>
          </c:tx>
          <c:layout/>
          <c:overlay val="1"/>
        </c:title>
        <c:numFmt formatCode="#,##0" sourceLinked="0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1400" u="none">
                <a:solidFill>
                  <a:srgbClr val="000000"/>
                </a:solidFill>
                <a:latin typeface="David"/>
              </a:defRPr>
            </a:pPr>
          </a:p>
        </c:txPr>
        <c:crossAx val="2094734552"/>
        <c:crosses val="autoZero"/>
        <c:crossBetween val="between"/>
        <c:majorUnit val="400"/>
        <c:minorUnit val="20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73545"/>
          <c:y val="0.898748"/>
          <c:w val="0.469724"/>
          <c:h val="0.10125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1400" u="none">
              <a:solidFill>
                <a:srgbClr val="595959"/>
              </a:solidFill>
              <a:latin typeface="David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24243</xdr:colOff>
      <xdr:row>3</xdr:row>
      <xdr:rowOff>132919</xdr:rowOff>
    </xdr:from>
    <xdr:to>
      <xdr:col>11</xdr:col>
      <xdr:colOff>662495</xdr:colOff>
      <xdr:row>29</xdr:row>
      <xdr:rowOff>159862</xdr:rowOff>
    </xdr:to>
    <xdr:graphicFrame>
      <xdr:nvGraphicFramePr>
        <xdr:cNvPr id="2" name="מכולות - סה&quot;כ תנועות (אלפי (TEU בנמלי ישראל Q4/2020 - Q1/2016תרשים 1"/>
        <xdr:cNvGraphicFramePr/>
      </xdr:nvGraphicFramePr>
      <xdr:xfrm>
        <a:off x="24243" y="628219"/>
        <a:ext cx="9020253" cy="431954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126220</xdr:colOff>
      <xdr:row>3</xdr:row>
      <xdr:rowOff>162250</xdr:rowOff>
    </xdr:from>
    <xdr:to>
      <xdr:col>12</xdr:col>
      <xdr:colOff>254167</xdr:colOff>
      <xdr:row>31</xdr:row>
      <xdr:rowOff>47687</xdr:rowOff>
    </xdr:to>
    <xdr:graphicFrame>
      <xdr:nvGraphicFramePr>
        <xdr:cNvPr id="4" name="מכולות - סה&quot;כ תנועות (אלפי TEU) בנמלי ישראל Q4/2020 - Q1/2016תרשים 1"/>
        <xdr:cNvGraphicFramePr/>
      </xdr:nvGraphicFramePr>
      <xdr:xfrm>
        <a:off x="126220" y="657550"/>
        <a:ext cx="9271948" cy="450823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348753</xdr:colOff>
      <xdr:row>4</xdr:row>
      <xdr:rowOff>71636</xdr:rowOff>
    </xdr:from>
    <xdr:to>
      <xdr:col>11</xdr:col>
      <xdr:colOff>336022</xdr:colOff>
      <xdr:row>34</xdr:row>
      <xdr:rowOff>22012</xdr:rowOff>
    </xdr:to>
    <xdr:graphicFrame>
      <xdr:nvGraphicFramePr>
        <xdr:cNvPr id="6" name="מכולות- סה&quot;כ תנועות (אלפי TEU) בנמלי ישראל 2020- 2010תרשים 1"/>
        <xdr:cNvGraphicFramePr/>
      </xdr:nvGraphicFramePr>
      <xdr:xfrm>
        <a:off x="348753" y="732036"/>
        <a:ext cx="8369270" cy="490337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rightToLeft="1" defaultGridColor="1"/>
  </sheetViews>
  <sheetFormatPr defaultColWidth="8.83333" defaultRowHeight="12.75" customHeight="1" outlineLevelRow="0" outlineLevelCol="0"/>
  <cols>
    <col min="1" max="6" width="9.17188" style="1" customWidth="1"/>
    <col min="7" max="16384" width="8.85156" style="1" customWidth="1"/>
  </cols>
  <sheetData>
    <row r="1" ht="13.65" customHeight="1">
      <c r="A1" s="2"/>
      <c r="B1" s="2"/>
      <c r="C1" s="2"/>
      <c r="D1" s="2"/>
      <c r="E1" s="2"/>
      <c r="F1" s="2"/>
    </row>
    <row r="2" ht="13.65" customHeight="1">
      <c r="A2" s="2"/>
      <c r="B2" s="2"/>
      <c r="C2" s="3"/>
      <c r="D2" s="3"/>
      <c r="E2" s="3"/>
      <c r="F2" s="3"/>
    </row>
    <row r="3" ht="14" customHeight="1">
      <c r="A3" s="2"/>
      <c r="B3" s="4"/>
      <c r="C3" t="s" s="5">
        <v>0</v>
      </c>
      <c r="D3" t="s" s="5">
        <v>1</v>
      </c>
      <c r="E3" t="s" s="5">
        <v>2</v>
      </c>
      <c r="F3" t="s" s="5">
        <v>3</v>
      </c>
    </row>
    <row r="4" ht="13.65" customHeight="1">
      <c r="A4" s="2"/>
      <c r="B4" s="4"/>
      <c r="C4" s="6">
        <v>20.573</v>
      </c>
      <c r="D4" s="6">
        <v>586.236</v>
      </c>
      <c r="E4" s="6">
        <v>1107.138</v>
      </c>
      <c r="F4" s="6">
        <v>1713.947</v>
      </c>
    </row>
    <row r="5" ht="13.65" customHeight="1">
      <c r="A5" s="2"/>
      <c r="B5" s="2"/>
      <c r="C5" s="7"/>
      <c r="D5" s="7"/>
      <c r="E5" s="7"/>
      <c r="F5" s="7"/>
    </row>
    <row r="6" ht="13.65" customHeight="1">
      <c r="A6" s="2"/>
      <c r="B6" s="2"/>
      <c r="C6" s="2"/>
      <c r="D6" s="2"/>
      <c r="E6" s="2"/>
      <c r="F6" s="2"/>
    </row>
    <row r="7" ht="13.65" customHeight="1">
      <c r="A7" s="2"/>
      <c r="B7" s="2"/>
      <c r="C7" s="2"/>
      <c r="D7" s="2"/>
      <c r="E7" s="2"/>
      <c r="F7" s="2"/>
    </row>
    <row r="8" ht="13.65" customHeight="1">
      <c r="A8" s="2"/>
      <c r="B8" s="2"/>
      <c r="C8" s="2"/>
      <c r="D8" s="2"/>
      <c r="E8" s="2"/>
      <c r="F8" s="2"/>
    </row>
    <row r="9" ht="13.65" customHeight="1">
      <c r="A9" s="2"/>
      <c r="B9" s="2"/>
      <c r="C9" s="2"/>
      <c r="D9" s="2"/>
      <c r="E9" s="2"/>
      <c r="F9" s="2"/>
    </row>
    <row r="10" ht="13.65" customHeight="1">
      <c r="A10" s="2"/>
      <c r="B10" s="2"/>
      <c r="C10" s="2"/>
      <c r="D10" s="2"/>
      <c r="E10" s="2"/>
      <c r="F10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32"/>
  <sheetViews>
    <sheetView workbookViewId="0" showGridLines="0" rightToLeft="1" defaultGridColor="1"/>
  </sheetViews>
  <sheetFormatPr defaultColWidth="8.83333" defaultRowHeight="12.75" customHeight="1" outlineLevelRow="0" outlineLevelCol="0"/>
  <cols>
    <col min="1" max="6" width="8.85156" style="8" customWidth="1"/>
    <col min="7" max="7" width="9" style="8" customWidth="1"/>
    <col min="8" max="9" width="10" style="8" customWidth="1"/>
    <col min="10" max="16384" width="8.85156" style="8" customWidth="1"/>
  </cols>
  <sheetData>
    <row r="1" ht="13.65" customHeight="1">
      <c r="A1" s="9"/>
      <c r="B1" s="9"/>
      <c r="C1" s="9"/>
      <c r="D1" s="9"/>
      <c r="E1" s="9"/>
      <c r="F1" s="9"/>
      <c r="G1" s="9"/>
      <c r="H1" s="9"/>
      <c r="I1" s="9"/>
    </row>
    <row r="2" ht="13.65" customHeight="1">
      <c r="A2" s="9"/>
      <c r="B2" s="9"/>
      <c r="C2" s="9"/>
      <c r="D2" s="9"/>
      <c r="E2" s="9"/>
      <c r="F2" s="9"/>
      <c r="G2" s="9"/>
      <c r="H2" s="9"/>
      <c r="I2" s="9"/>
    </row>
    <row r="3" ht="13.65" customHeight="1">
      <c r="A3" s="9"/>
      <c r="B3" s="9"/>
      <c r="C3" s="9"/>
      <c r="D3" s="9"/>
      <c r="E3" s="9"/>
      <c r="F3" s="9"/>
      <c r="G3" s="9"/>
      <c r="H3" s="9"/>
      <c r="I3" s="9"/>
    </row>
    <row r="4" ht="13.65" customHeight="1">
      <c r="A4" s="9"/>
      <c r="B4" s="9"/>
      <c r="C4" s="9"/>
      <c r="D4" s="9"/>
      <c r="E4" s="9"/>
      <c r="F4" s="9"/>
      <c r="G4" s="9"/>
      <c r="H4" s="9"/>
      <c r="I4" s="9"/>
    </row>
    <row r="5" ht="13.65" customHeight="1">
      <c r="A5" s="9"/>
      <c r="B5" s="9"/>
      <c r="C5" s="9"/>
      <c r="D5" s="9"/>
      <c r="E5" t="s" s="10">
        <v>2</v>
      </c>
      <c r="F5" s="9"/>
      <c r="G5" s="9"/>
      <c r="H5" s="9"/>
      <c r="I5" s="9"/>
    </row>
    <row r="6" ht="13.65" customHeight="1">
      <c r="A6" s="9"/>
      <c r="B6" s="9"/>
      <c r="C6" s="9"/>
      <c r="D6" s="11"/>
      <c r="E6" s="11"/>
      <c r="F6" s="11"/>
      <c r="G6" s="11"/>
      <c r="H6" s="11"/>
      <c r="I6" s="11"/>
    </row>
    <row r="7" ht="13.65" customHeight="1">
      <c r="A7" s="9"/>
      <c r="B7" s="9"/>
      <c r="C7" s="12"/>
      <c r="D7" t="s" s="13">
        <v>4</v>
      </c>
      <c r="E7" t="s" s="13">
        <v>5</v>
      </c>
      <c r="F7" t="s" s="13">
        <v>6</v>
      </c>
      <c r="G7" t="s" s="13">
        <v>7</v>
      </c>
      <c r="H7" t="s" s="13">
        <v>8</v>
      </c>
      <c r="I7" t="s" s="13">
        <v>9</v>
      </c>
    </row>
    <row r="8" ht="13.65" customHeight="1">
      <c r="A8" s="9"/>
      <c r="B8" s="9"/>
      <c r="C8" s="12"/>
      <c r="D8" t="s" s="14">
        <v>10</v>
      </c>
      <c r="E8" s="15">
        <v>236.123</v>
      </c>
      <c r="F8" s="15">
        <v>259.484</v>
      </c>
      <c r="G8" s="15">
        <v>252.258</v>
      </c>
      <c r="H8" s="16" cm="1">
        <f t="array" ref="H8">(F8/E8-1)*100</f>
        <v>9.89357241776532</v>
      </c>
      <c r="I8" s="16" cm="1">
        <f t="array" ref="I8">(G8/F8-1)*100</f>
        <v>-2.78475744169197</v>
      </c>
    </row>
    <row r="9" ht="13.65" customHeight="1">
      <c r="A9" s="9"/>
      <c r="B9" s="9"/>
      <c r="C9" s="12"/>
      <c r="D9" t="s" s="14">
        <v>11</v>
      </c>
      <c r="E9" s="15">
        <v>265.536</v>
      </c>
      <c r="F9" s="15">
        <v>285.339</v>
      </c>
      <c r="G9" s="15">
        <v>292.248</v>
      </c>
      <c r="H9" s="16" cm="1">
        <f t="array" ref="H9">(F9/E9-1)*100</f>
        <v>7.45774584237166</v>
      </c>
      <c r="I9" s="16" cm="1">
        <f t="array" ref="I9">(G9/F9-1)*100</f>
        <v>2.42133041750339</v>
      </c>
    </row>
    <row r="10" ht="13.65" customHeight="1">
      <c r="A10" s="9"/>
      <c r="B10" s="9"/>
      <c r="C10" s="12"/>
      <c r="D10" t="s" s="14">
        <v>12</v>
      </c>
      <c r="E10" s="15">
        <v>286.849</v>
      </c>
      <c r="F10" s="15">
        <v>210.021</v>
      </c>
      <c r="G10" s="15">
        <v>285.632</v>
      </c>
      <c r="H10" s="16" cm="1">
        <f t="array" ref="H10">(F10/E10-1)*100</f>
        <v>-26.7834296093066</v>
      </c>
      <c r="I10" s="16" cm="1">
        <f t="array" ref="I10">(G10/F10-1)*100</f>
        <v>36.001637931445</v>
      </c>
    </row>
    <row r="11" ht="13.65" customHeight="1">
      <c r="A11" s="9"/>
      <c r="B11" s="9"/>
      <c r="C11" s="12"/>
      <c r="D11" t="s" s="14">
        <v>13</v>
      </c>
      <c r="E11" s="15">
        <v>225.328</v>
      </c>
      <c r="F11" s="15">
        <v>276.476</v>
      </c>
      <c r="G11" s="15">
        <v>277</v>
      </c>
      <c r="H11" s="16" cm="1">
        <f t="array" ref="H11">(F11/E11-1)*100</f>
        <v>22.6993538308599</v>
      </c>
      <c r="I11" s="16" cm="1">
        <f t="array" ref="I11">(G11/F11-1)*100</f>
        <v>0.189528204979817</v>
      </c>
    </row>
    <row r="12" ht="13.65" customHeight="1">
      <c r="A12" s="9"/>
      <c r="B12" s="9"/>
      <c r="C12" s="9"/>
      <c r="D12" s="17"/>
      <c r="E12" s="17"/>
      <c r="F12" s="17"/>
      <c r="G12" s="17"/>
      <c r="H12" s="17"/>
      <c r="I12" s="17"/>
    </row>
    <row r="13" ht="13.65" customHeight="1">
      <c r="A13" s="9"/>
      <c r="B13" s="9"/>
      <c r="C13" s="9"/>
      <c r="D13" s="9"/>
      <c r="E13" s="9"/>
      <c r="F13" s="9"/>
      <c r="G13" s="9"/>
      <c r="H13" s="9"/>
      <c r="I13" s="9"/>
    </row>
    <row r="14" ht="13.65" customHeight="1">
      <c r="A14" s="9"/>
      <c r="B14" s="9"/>
      <c r="C14" s="9"/>
      <c r="D14" s="9"/>
      <c r="E14" s="9"/>
      <c r="F14" s="9"/>
      <c r="G14" s="9"/>
      <c r="H14" s="9"/>
      <c r="I14" s="9"/>
    </row>
    <row r="15" ht="13.65" customHeight="1">
      <c r="A15" s="9"/>
      <c r="B15" s="9"/>
      <c r="C15" s="9"/>
      <c r="D15" s="9"/>
      <c r="E15" s="9"/>
      <c r="F15" s="9"/>
      <c r="G15" s="9"/>
      <c r="H15" s="9"/>
      <c r="I15" s="9"/>
    </row>
    <row r="16" ht="13.65" customHeight="1">
      <c r="A16" s="9"/>
      <c r="B16" s="9"/>
      <c r="C16" s="9"/>
      <c r="D16" s="9"/>
      <c r="E16" s="9"/>
      <c r="F16" s="9"/>
      <c r="G16" s="9"/>
      <c r="H16" s="9"/>
      <c r="I16" s="9"/>
    </row>
    <row r="17" ht="13.65" customHeight="1">
      <c r="A17" s="9"/>
      <c r="B17" s="9"/>
      <c r="C17" s="9"/>
      <c r="D17" s="9"/>
      <c r="E17" t="s" s="10">
        <v>1</v>
      </c>
      <c r="F17" s="9"/>
      <c r="G17" s="9"/>
      <c r="H17" s="9"/>
      <c r="I17" s="9"/>
    </row>
    <row r="18" ht="13.65" customHeight="1">
      <c r="A18" s="9"/>
      <c r="B18" s="9"/>
      <c r="C18" s="9"/>
      <c r="D18" s="11"/>
      <c r="E18" s="11"/>
      <c r="F18" s="11"/>
      <c r="G18" s="11"/>
      <c r="H18" s="11"/>
      <c r="I18" s="11"/>
    </row>
    <row r="19" ht="13.65" customHeight="1">
      <c r="A19" s="9"/>
      <c r="B19" s="9"/>
      <c r="C19" s="12"/>
      <c r="D19" t="s" s="13">
        <v>4</v>
      </c>
      <c r="E19" t="s" s="13">
        <v>5</v>
      </c>
      <c r="F19" t="s" s="13">
        <v>6</v>
      </c>
      <c r="G19" t="s" s="13">
        <v>7</v>
      </c>
      <c r="H19" t="s" s="13">
        <v>8</v>
      </c>
      <c r="I19" t="s" s="13">
        <v>9</v>
      </c>
    </row>
    <row r="20" ht="13.65" customHeight="1">
      <c r="A20" s="9"/>
      <c r="B20" s="9"/>
      <c r="C20" s="12"/>
      <c r="D20" t="s" s="14">
        <v>10</v>
      </c>
      <c r="E20" s="15">
        <v>122.384</v>
      </c>
      <c r="F20" s="15">
        <v>132.434</v>
      </c>
      <c r="G20" s="15">
        <v>154.594</v>
      </c>
      <c r="H20" s="16" cm="1">
        <f t="array" ref="H20">(F20/E20-1)*100</f>
        <v>8.211857759184211</v>
      </c>
      <c r="I20" s="16" cm="1">
        <f t="array" ref="I20">(G20/F20-1)*100</f>
        <v>16.7328631620279</v>
      </c>
    </row>
    <row r="21" ht="13.65" customHeight="1">
      <c r="A21" s="9"/>
      <c r="B21" s="9"/>
      <c r="C21" s="12"/>
      <c r="D21" t="s" s="14">
        <v>11</v>
      </c>
      <c r="E21" s="15">
        <v>129.144</v>
      </c>
      <c r="F21" s="15">
        <v>142.827</v>
      </c>
      <c r="G21" s="15">
        <v>154.524</v>
      </c>
      <c r="H21" s="16" cm="1">
        <f t="array" ref="H21">(F21/E21-1)*100</f>
        <v>10.595149600446</v>
      </c>
      <c r="I21" s="16" cm="1">
        <f t="array" ref="I21">(G21/F21-1)*100</f>
        <v>8.189628011510431</v>
      </c>
    </row>
    <row r="22" ht="13.65" customHeight="1">
      <c r="A22" s="9"/>
      <c r="B22" s="9"/>
      <c r="C22" s="12"/>
      <c r="D22" t="s" s="14">
        <v>12</v>
      </c>
      <c r="E22" s="15">
        <v>138.94</v>
      </c>
      <c r="F22" s="15">
        <v>113.302</v>
      </c>
      <c r="G22" s="15">
        <v>139.864</v>
      </c>
      <c r="H22" s="16" cm="1">
        <f t="array" ref="H22">(F22/E22-1)*100</f>
        <v>-18.4525694544408</v>
      </c>
      <c r="I22" s="16" cm="1">
        <f t="array" ref="I22">(G22/F22-1)*100</f>
        <v>23.443540272899</v>
      </c>
    </row>
    <row r="23" ht="13.65" customHeight="1">
      <c r="A23" s="9"/>
      <c r="B23" s="9"/>
      <c r="C23" s="12"/>
      <c r="D23" t="s" s="14">
        <v>13</v>
      </c>
      <c r="E23" s="15">
        <v>123.809</v>
      </c>
      <c r="F23" s="15">
        <v>156.437</v>
      </c>
      <c r="G23" s="15">
        <v>137.254</v>
      </c>
      <c r="H23" s="16" cm="1">
        <f t="array" ref="H23">(F23/E23-1)*100</f>
        <v>26.3534961109451</v>
      </c>
      <c r="I23" s="16" cm="1">
        <f t="array" ref="I23">(G23/F23-1)*100</f>
        <v>-12.2624443066538</v>
      </c>
    </row>
    <row r="24" ht="13.65" customHeight="1">
      <c r="A24" s="9"/>
      <c r="B24" s="9"/>
      <c r="C24" s="9"/>
      <c r="D24" s="17"/>
      <c r="E24" s="17"/>
      <c r="F24" s="17"/>
      <c r="G24" s="17"/>
      <c r="H24" s="17"/>
      <c r="I24" s="17"/>
    </row>
    <row r="25" ht="13.65" customHeight="1">
      <c r="A25" s="9"/>
      <c r="B25" s="9"/>
      <c r="C25" s="9"/>
      <c r="D25" s="9"/>
      <c r="E25" s="9"/>
      <c r="F25" s="9"/>
      <c r="G25" s="9"/>
      <c r="H25" s="9"/>
      <c r="I25" s="9"/>
    </row>
    <row r="26" ht="13.65" customHeight="1">
      <c r="A26" s="9"/>
      <c r="B26" s="9"/>
      <c r="C26" s="9"/>
      <c r="D26" s="9"/>
      <c r="E26" t="s" s="10">
        <v>0</v>
      </c>
      <c r="F26" s="9"/>
      <c r="G26" s="9"/>
      <c r="H26" s="9"/>
      <c r="I26" s="9"/>
    </row>
    <row r="27" ht="13.65" customHeight="1">
      <c r="A27" s="9"/>
      <c r="B27" s="9"/>
      <c r="C27" s="9"/>
      <c r="D27" s="11"/>
      <c r="E27" s="11"/>
      <c r="F27" s="11"/>
      <c r="G27" s="11"/>
      <c r="H27" s="11"/>
      <c r="I27" s="11"/>
    </row>
    <row r="28" ht="13.65" customHeight="1">
      <c r="A28" s="9"/>
      <c r="B28" s="9"/>
      <c r="C28" s="12"/>
      <c r="D28" t="s" s="13">
        <v>4</v>
      </c>
      <c r="E28" t="s" s="13">
        <v>5</v>
      </c>
      <c r="F28" t="s" s="13">
        <v>6</v>
      </c>
      <c r="G28" t="s" s="13">
        <v>7</v>
      </c>
      <c r="H28" t="s" s="13">
        <v>8</v>
      </c>
      <c r="I28" t="s" s="13">
        <v>9</v>
      </c>
    </row>
    <row r="29" ht="13.65" customHeight="1">
      <c r="A29" s="9"/>
      <c r="B29" s="9"/>
      <c r="C29" s="12"/>
      <c r="D29" t="s" s="14">
        <v>10</v>
      </c>
      <c r="E29" s="15">
        <v>4.07</v>
      </c>
      <c r="F29" s="15">
        <v>7.097</v>
      </c>
      <c r="G29" s="15">
        <v>4.034</v>
      </c>
      <c r="H29" s="16" cm="1">
        <f t="array" ref="H29">(F29/E29-1)*100</f>
        <v>74.3734643734644</v>
      </c>
      <c r="I29" s="16" cm="1">
        <f t="array" ref="I29">(G29/F29-1)*100</f>
        <v>-43.1590813019586</v>
      </c>
    </row>
    <row r="30" ht="13.65" customHeight="1">
      <c r="A30" s="9"/>
      <c r="B30" s="9"/>
      <c r="C30" s="12"/>
      <c r="D30" t="s" s="14">
        <v>11</v>
      </c>
      <c r="E30" s="15">
        <v>5.864</v>
      </c>
      <c r="F30" s="15">
        <v>6.481</v>
      </c>
      <c r="G30" s="15">
        <v>5.286</v>
      </c>
      <c r="H30" s="16" cm="1">
        <f t="array" ref="H30">(F30/E30-1)*100</f>
        <v>10.5218281036835</v>
      </c>
      <c r="I30" s="16" cm="1">
        <f t="array" ref="I30">(G30/F30-1)*100</f>
        <v>-18.4385125752199</v>
      </c>
    </row>
    <row r="31" ht="13.65" customHeight="1">
      <c r="A31" s="9"/>
      <c r="B31" s="9"/>
      <c r="C31" s="12"/>
      <c r="D31" t="s" s="14">
        <v>12</v>
      </c>
      <c r="E31" s="15">
        <v>6.657</v>
      </c>
      <c r="F31" s="15">
        <v>10.035</v>
      </c>
      <c r="G31" s="15">
        <v>5.942</v>
      </c>
      <c r="H31" s="16" cm="1">
        <f t="array" ref="H31">(F31/E31-1)*100</f>
        <v>50.7435781883731</v>
      </c>
      <c r="I31" s="16" cm="1">
        <f t="array" ref="I31">(G31/F31-1)*100</f>
        <v>-40.7872446437469</v>
      </c>
    </row>
    <row r="32" ht="13.65" customHeight="1">
      <c r="A32" s="9"/>
      <c r="B32" s="9"/>
      <c r="C32" s="12"/>
      <c r="D32" t="s" s="14">
        <v>13</v>
      </c>
      <c r="E32" s="15">
        <v>5.094</v>
      </c>
      <c r="F32" s="15">
        <v>6.238</v>
      </c>
      <c r="G32" s="15">
        <v>5.311</v>
      </c>
      <c r="H32" s="16" cm="1">
        <f t="array" ref="H32">(F32/E32-1)*100</f>
        <v>22.4577934825285</v>
      </c>
      <c r="I32" s="16" cm="1">
        <f t="array" ref="I32">(G32/F32-1)*100</f>
        <v>-14.860532221866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288"/>
  <sheetViews>
    <sheetView workbookViewId="0" showGridLines="0" defaultGridColor="1"/>
  </sheetViews>
  <sheetFormatPr defaultColWidth="16.3333" defaultRowHeight="15" customHeight="1" outlineLevelRow="0" outlineLevelCol="0"/>
  <cols>
    <col min="1" max="6" width="10" style="18" customWidth="1"/>
    <col min="7" max="7" width="10.1719" style="18" customWidth="1"/>
    <col min="8" max="12" width="10" style="18" customWidth="1"/>
    <col min="13" max="13" width="1.35156" style="18" customWidth="1"/>
    <col min="14" max="14" width="6.5" style="18" customWidth="1"/>
    <col min="15" max="15" width="5.5" style="18" customWidth="1"/>
    <col min="16" max="16384" width="16.3516" style="18" customWidth="1"/>
  </cols>
  <sheetData>
    <row r="1" ht="18" customHeight="1">
      <c r="A1" t="s" s="19">
        <v>14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2"/>
      <c r="M1" s="23"/>
      <c r="N1" s="23"/>
      <c r="O1" t="s" s="24">
        <v>15</v>
      </c>
    </row>
    <row r="2" ht="18" customHeight="1">
      <c r="A2" t="s" s="25">
        <v>16</v>
      </c>
      <c r="B2" s="26"/>
      <c r="C2" s="26"/>
      <c r="D2" s="26"/>
      <c r="E2" s="26"/>
      <c r="F2" s="26"/>
      <c r="G2" s="26"/>
      <c r="H2" s="26"/>
      <c r="I2" s="26"/>
      <c r="J2" s="26"/>
      <c r="K2" s="27"/>
      <c r="L2" s="28"/>
      <c r="M2" s="29"/>
      <c r="N2" s="29"/>
      <c r="O2" t="s" s="30">
        <v>17</v>
      </c>
    </row>
    <row r="3" ht="18" customHeight="1">
      <c r="A3" t="s" s="25">
        <v>18</v>
      </c>
      <c r="B3" s="31"/>
      <c r="C3" s="29"/>
      <c r="D3" s="29"/>
      <c r="E3" s="29"/>
      <c r="F3" s="29"/>
      <c r="G3" s="29"/>
      <c r="H3" s="29"/>
      <c r="I3" s="29"/>
      <c r="J3" s="32"/>
      <c r="K3" s="29"/>
      <c r="L3" s="29"/>
      <c r="M3" s="29"/>
      <c r="N3" s="29"/>
      <c r="O3" t="s" s="30">
        <v>19</v>
      </c>
    </row>
    <row r="4" ht="15" customHeight="1">
      <c r="A4" t="s" s="33">
        <v>20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t="s" s="35">
        <v>21</v>
      </c>
    </row>
    <row r="5" ht="15" customHeight="1">
      <c r="A5" t="s" s="36">
        <v>22</v>
      </c>
      <c r="B5" s="37"/>
      <c r="C5" s="38"/>
      <c r="D5" t="s" s="39">
        <v>23</v>
      </c>
      <c r="E5" t="s" s="40">
        <v>24</v>
      </c>
      <c r="F5" s="38"/>
      <c r="G5" s="38"/>
      <c r="H5" t="s" s="41">
        <v>25</v>
      </c>
      <c r="I5" t="s" s="42">
        <v>26</v>
      </c>
      <c r="J5" s="43"/>
      <c r="K5" s="43"/>
      <c r="L5" s="44"/>
      <c r="M5" t="s" s="45">
        <v>27</v>
      </c>
      <c r="N5" s="37"/>
      <c r="O5" s="46"/>
    </row>
    <row r="6" ht="12" customHeight="1">
      <c r="A6" s="47"/>
      <c r="B6" s="34"/>
      <c r="C6" s="34"/>
      <c r="D6" s="48"/>
      <c r="E6" s="49"/>
      <c r="F6" s="34"/>
      <c r="G6" s="34"/>
      <c r="H6" s="48"/>
      <c r="I6" t="s" s="50">
        <v>28</v>
      </c>
      <c r="J6" s="51"/>
      <c r="K6" s="51"/>
      <c r="L6" s="52"/>
      <c r="M6" t="s" s="53">
        <v>27</v>
      </c>
      <c r="N6" s="54"/>
      <c r="O6" s="55"/>
    </row>
    <row r="7" ht="12" customHeight="1">
      <c r="A7" t="s" s="56">
        <v>0</v>
      </c>
      <c r="B7" t="s" s="56">
        <v>1</v>
      </c>
      <c r="C7" t="s" s="56">
        <v>2</v>
      </c>
      <c r="D7" t="s" s="56">
        <v>3</v>
      </c>
      <c r="E7" t="s" s="56">
        <v>0</v>
      </c>
      <c r="F7" t="s" s="56">
        <v>1</v>
      </c>
      <c r="G7" t="s" s="56">
        <v>2</v>
      </c>
      <c r="H7" t="s" s="56">
        <v>3</v>
      </c>
      <c r="I7" t="s" s="56">
        <v>0</v>
      </c>
      <c r="J7" t="s" s="56">
        <v>1</v>
      </c>
      <c r="K7" t="s" s="56">
        <v>2</v>
      </c>
      <c r="L7" t="s" s="56">
        <v>3</v>
      </c>
      <c r="M7" s="57"/>
      <c r="N7" t="s" s="58">
        <v>29</v>
      </c>
      <c r="O7" t="s" s="59">
        <v>30</v>
      </c>
    </row>
    <row r="8" ht="12" customHeight="1">
      <c r="A8" t="s" s="60">
        <v>31</v>
      </c>
      <c r="B8" t="s" s="60">
        <v>32</v>
      </c>
      <c r="C8" t="s" s="60">
        <v>33</v>
      </c>
      <c r="D8" t="s" s="60">
        <v>34</v>
      </c>
      <c r="E8" t="s" s="60">
        <v>31</v>
      </c>
      <c r="F8" t="s" s="60">
        <v>32</v>
      </c>
      <c r="G8" t="s" s="60">
        <v>33</v>
      </c>
      <c r="H8" t="s" s="60">
        <v>34</v>
      </c>
      <c r="I8" t="s" s="60">
        <v>31</v>
      </c>
      <c r="J8" t="s" s="60">
        <v>32</v>
      </c>
      <c r="K8" t="s" s="60">
        <v>33</v>
      </c>
      <c r="L8" t="s" s="60">
        <v>34</v>
      </c>
      <c r="M8" s="49"/>
      <c r="N8" t="s" s="61">
        <v>35</v>
      </c>
      <c r="O8" t="s" s="62">
        <v>36</v>
      </c>
    </row>
    <row r="9" ht="14.25" customHeight="1">
      <c r="A9" s="63">
        <v>2.959</v>
      </c>
      <c r="B9" s="64">
        <v>225.385</v>
      </c>
      <c r="C9" s="64">
        <v>446.187</v>
      </c>
      <c r="D9" s="65" cm="1">
        <f t="array" ref="D9">SUM(A9:C9)</f>
        <v>674.5309999999999</v>
      </c>
      <c r="E9" s="63">
        <v>3.392</v>
      </c>
      <c r="F9" s="64">
        <v>254.508</v>
      </c>
      <c r="G9" s="64">
        <v>425.11</v>
      </c>
      <c r="H9" s="65" cm="1">
        <f t="array" ref="H9">SUM(E9:G9)</f>
        <v>683.01</v>
      </c>
      <c r="I9" s="63">
        <v>6.351</v>
      </c>
      <c r="J9" s="64">
        <v>479.893</v>
      </c>
      <c r="K9" s="64">
        <v>871.297</v>
      </c>
      <c r="L9" s="65" cm="1">
        <f t="array" ref="L9">SUM(I9:K9)</f>
        <v>1357.541</v>
      </c>
      <c r="M9" s="66"/>
      <c r="N9" s="37"/>
      <c r="O9" s="67">
        <v>2000</v>
      </c>
    </row>
    <row r="10" ht="14.25" customHeight="1">
      <c r="A10" s="68">
        <v>5.297</v>
      </c>
      <c r="B10" s="69">
        <v>230.043</v>
      </c>
      <c r="C10" s="69">
        <v>440.98</v>
      </c>
      <c r="D10" s="70" cm="1">
        <f t="array" ref="D10">SUM(A10:C10)</f>
        <v>676.3200000000001</v>
      </c>
      <c r="E10" s="68">
        <v>11.534</v>
      </c>
      <c r="F10" s="69">
        <v>281.11</v>
      </c>
      <c r="G10" s="69">
        <v>398.552</v>
      </c>
      <c r="H10" s="70" cm="1">
        <f t="array" ref="H10">SUM(E10:G10)</f>
        <v>691.196</v>
      </c>
      <c r="I10" s="68">
        <v>16.831</v>
      </c>
      <c r="J10" s="69">
        <v>511.153</v>
      </c>
      <c r="K10" s="69">
        <v>839.532</v>
      </c>
      <c r="L10" s="70" cm="1">
        <f t="array" ref="L10">SUM(I10:K10)</f>
        <v>1367.516</v>
      </c>
      <c r="M10" s="71"/>
      <c r="N10" s="54"/>
      <c r="O10" s="72">
        <v>2001</v>
      </c>
    </row>
    <row r="11" ht="14.25" customHeight="1">
      <c r="A11" s="68">
        <v>7.723</v>
      </c>
      <c r="B11" s="69">
        <v>236.896</v>
      </c>
      <c r="C11" s="69">
        <v>480.617</v>
      </c>
      <c r="D11" s="70" cm="1">
        <f t="array" ref="D11">SUM(A11:C11)</f>
        <v>725.236</v>
      </c>
      <c r="E11" s="68">
        <v>8.753</v>
      </c>
      <c r="F11" s="69">
        <v>298.512</v>
      </c>
      <c r="G11" s="69">
        <v>425.731</v>
      </c>
      <c r="H11" s="70" cm="1">
        <f t="array" ref="H11">SUM(E11:G11)</f>
        <v>732.996</v>
      </c>
      <c r="I11" s="68">
        <v>16.476</v>
      </c>
      <c r="J11" s="69">
        <v>535.408</v>
      </c>
      <c r="K11" s="69">
        <v>906.348</v>
      </c>
      <c r="L11" s="70" cm="1">
        <f t="array" ref="L11">SUM(I11:K11)</f>
        <v>1458.232</v>
      </c>
      <c r="M11" s="71"/>
      <c r="N11" s="54"/>
      <c r="O11" s="72">
        <v>2002</v>
      </c>
    </row>
    <row r="12" ht="14.25" customHeight="1">
      <c r="A12" s="68">
        <v>11.891</v>
      </c>
      <c r="B12" s="69">
        <v>225.174</v>
      </c>
      <c r="C12" s="69">
        <v>533.492</v>
      </c>
      <c r="D12" s="70">
        <v>770.557</v>
      </c>
      <c r="E12" s="68">
        <v>9.794</v>
      </c>
      <c r="F12" s="69">
        <v>289.103</v>
      </c>
      <c r="G12" s="69">
        <v>480.344</v>
      </c>
      <c r="H12" s="70">
        <v>779.241</v>
      </c>
      <c r="I12" s="68">
        <v>21.685</v>
      </c>
      <c r="J12" s="69">
        <v>514.277</v>
      </c>
      <c r="K12" s="69">
        <v>1013.836</v>
      </c>
      <c r="L12" s="70">
        <v>1549.798</v>
      </c>
      <c r="M12" s="71"/>
      <c r="N12" s="73"/>
      <c r="O12" s="72">
        <v>2003</v>
      </c>
    </row>
    <row r="13" ht="14.25" customHeight="1">
      <c r="A13" s="68">
        <v>14.993</v>
      </c>
      <c r="B13" s="69">
        <v>246.837</v>
      </c>
      <c r="C13" s="69">
        <v>536</v>
      </c>
      <c r="D13" s="70">
        <v>798.088</v>
      </c>
      <c r="E13" s="68">
        <v>14.858</v>
      </c>
      <c r="F13" s="69">
        <v>298.163</v>
      </c>
      <c r="G13" s="69">
        <v>495.062</v>
      </c>
      <c r="H13" s="70">
        <v>808.083</v>
      </c>
      <c r="I13" s="68">
        <v>29.851</v>
      </c>
      <c r="J13" s="69">
        <v>545</v>
      </c>
      <c r="K13" s="69" cm="1">
        <f t="array" ref="K13">G13+C13</f>
        <v>1031.062</v>
      </c>
      <c r="L13" s="70">
        <v>1606.171</v>
      </c>
      <c r="M13" s="71"/>
      <c r="N13" s="73"/>
      <c r="O13" s="72">
        <v>2004</v>
      </c>
    </row>
    <row r="14" ht="14.25" customHeight="1">
      <c r="A14" s="68" cm="1">
        <f t="array" ref="A14">SUM(A20:A23)</f>
        <v>10.909</v>
      </c>
      <c r="B14" s="69" cm="1">
        <f t="array" ref="B14">SUM(B20:B23)</f>
        <v>269.764</v>
      </c>
      <c r="C14" s="69" cm="1">
        <f t="array" ref="C14">SUM(C20:C23)</f>
        <v>584.218</v>
      </c>
      <c r="D14" s="70" cm="1">
        <f t="array" ref="D14">SUM(D20:D23)</f>
        <v>864.891</v>
      </c>
      <c r="E14" s="68" cm="1">
        <f t="array" ref="E14">SUM(E20:E23)</f>
        <v>9.664</v>
      </c>
      <c r="F14" s="69" cm="1">
        <f t="array" ref="F14">SUM(F20:F23)</f>
        <v>316.472</v>
      </c>
      <c r="G14" s="69" cm="1">
        <f t="array" ref="G14">SUM(G20:G23)</f>
        <v>522.92</v>
      </c>
      <c r="H14" s="70" cm="1">
        <f t="array" ref="H14">SUM(H20:H23)</f>
        <v>849.056</v>
      </c>
      <c r="I14" s="68" cm="1">
        <f t="array" ref="I14">SUM(I20:I23)</f>
        <v>20.573</v>
      </c>
      <c r="J14" s="69" cm="1">
        <f t="array" ref="J14">SUM(J20:J23)</f>
        <v>586.236</v>
      </c>
      <c r="K14" s="69" cm="1">
        <f t="array" ref="K14">SUM(K20:K23)</f>
        <v>1107.138</v>
      </c>
      <c r="L14" s="70" cm="1">
        <f t="array" ref="L14">SUM(L20:L23)</f>
        <v>1713.947</v>
      </c>
      <c r="M14" s="71"/>
      <c r="N14" s="73"/>
      <c r="O14" s="72">
        <v>2005</v>
      </c>
    </row>
    <row r="15" ht="14.25" customHeight="1">
      <c r="A15" s="68">
        <v>12.6</v>
      </c>
      <c r="B15" s="69">
        <v>316</v>
      </c>
      <c r="C15" s="69">
        <v>552</v>
      </c>
      <c r="D15" s="70">
        <v>880.6</v>
      </c>
      <c r="E15" s="68">
        <v>11.7</v>
      </c>
      <c r="F15" s="69">
        <v>377</v>
      </c>
      <c r="G15" s="69">
        <v>501</v>
      </c>
      <c r="H15" s="70">
        <v>889.7</v>
      </c>
      <c r="I15" s="68">
        <v>23.3</v>
      </c>
      <c r="J15" s="69">
        <v>693</v>
      </c>
      <c r="K15" s="69">
        <v>1053</v>
      </c>
      <c r="L15" s="70">
        <v>1769.3</v>
      </c>
      <c r="M15" s="71"/>
      <c r="N15" s="73"/>
      <c r="O15" s="72">
        <v>2006</v>
      </c>
    </row>
    <row r="16" ht="14.25" customHeight="1">
      <c r="A16" s="68" cm="1">
        <f t="array" ref="A16">SUM(A33:A36)</f>
        <v>3.291</v>
      </c>
      <c r="B16" s="69" cm="1">
        <f t="array" ref="B16">SUM(B33:B36)</f>
        <v>370.74</v>
      </c>
      <c r="C16" s="69" cm="1">
        <f t="array" ref="C16">SUM(C33:C36)</f>
        <v>595.088</v>
      </c>
      <c r="D16" s="70" cm="1">
        <f t="array" ref="D16">SUM(D33:D36)</f>
        <v>969.119</v>
      </c>
      <c r="E16" s="68" cm="1">
        <f t="array" ref="E16">SUM(E33:E36)</f>
        <v>3.428</v>
      </c>
      <c r="F16" s="69" cm="1">
        <f t="array" ref="F16">SUM(F33:F36)</f>
        <v>437.957</v>
      </c>
      <c r="G16" s="69" cm="1">
        <f t="array" ref="G16">SUM(G33:G36)</f>
        <v>553.54</v>
      </c>
      <c r="H16" s="70" cm="1">
        <f t="array" ref="H16">SUM(H33:H36)</f>
        <v>994.925</v>
      </c>
      <c r="I16" s="68" cm="1">
        <f t="array" ref="I16">SUM(I33:I36)</f>
        <v>6.719</v>
      </c>
      <c r="J16" s="69" cm="1">
        <f t="array" ref="J16">SUM(J33:J36)</f>
        <v>808.697</v>
      </c>
      <c r="K16" s="69" cm="1">
        <f t="array" ref="K16">SUM(K33:K36)</f>
        <v>1148.628</v>
      </c>
      <c r="L16" s="70" cm="1">
        <f t="array" ref="L16">SUM(L33:L36)</f>
        <v>1964.044</v>
      </c>
      <c r="M16" s="71"/>
      <c r="N16" s="73"/>
      <c r="O16" s="72">
        <v>2007</v>
      </c>
    </row>
    <row r="17" ht="14.25" customHeight="1">
      <c r="A17" s="68" cm="1">
        <f t="array" ref="A17">A42+A46+A50+A54</f>
        <v>0.917</v>
      </c>
      <c r="B17" s="69" cm="1">
        <f t="array" ref="B17">B42+B46+B50+B54</f>
        <v>388.638</v>
      </c>
      <c r="C17" s="69" cm="1">
        <f t="array" ref="C17">C42+C46+C50+C54</f>
        <v>644.287</v>
      </c>
      <c r="D17" s="70" cm="1">
        <f t="array" ref="D17">D42+D46+D50+D54</f>
        <v>1033.842</v>
      </c>
      <c r="E17" s="68" cm="1">
        <f t="array" ref="E17">E42+E46+E50+E54</f>
        <v>1.106</v>
      </c>
      <c r="F17" s="69" cm="1">
        <f t="array" ref="F17">F42+F46+F50+F54</f>
        <v>439.282</v>
      </c>
      <c r="G17" s="69" cm="1">
        <f t="array" ref="G17">G42+G46+G50+G54</f>
        <v>606.831</v>
      </c>
      <c r="H17" s="70" cm="1">
        <f t="array" ref="H17">H42+H46+H50+H54</f>
        <v>1047.219</v>
      </c>
      <c r="I17" s="68" cm="1">
        <f t="array" ref="I17">I42+I46+I50+I54</f>
        <v>2.023</v>
      </c>
      <c r="J17" s="69" cm="1">
        <f t="array" ref="J17">J42+J46+J50+J54</f>
        <v>827.92</v>
      </c>
      <c r="K17" s="69" cm="1">
        <f t="array" ref="K17">K42+K46+K50+K54</f>
        <v>1251.118</v>
      </c>
      <c r="L17" s="70" cm="1">
        <f t="array" ref="L17">L42+L46+L50+L54</f>
        <v>2081.061</v>
      </c>
      <c r="M17" s="71"/>
      <c r="N17" s="73"/>
      <c r="O17" s="72">
        <v>2008</v>
      </c>
    </row>
    <row r="18" ht="14.25" customHeight="1">
      <c r="A18" s="68" cm="1">
        <f t="array" ref="A18">A59+A63+A67+A71</f>
        <v>2.346</v>
      </c>
      <c r="B18" s="69" cm="1">
        <f t="array" ref="B18">B59+B63+B67+B71</f>
        <v>430.96</v>
      </c>
      <c r="C18" s="69" cm="1">
        <f t="array" ref="C18">C59+C63+C67+C71</f>
        <v>591.558</v>
      </c>
      <c r="D18" s="70" cm="1">
        <f t="array" ref="D18">D59+D63+D67+D71</f>
        <v>1024.864</v>
      </c>
      <c r="E18" s="68" cm="1">
        <f t="array" ref="E18">E59+E63+E67+E71</f>
        <v>2.655</v>
      </c>
      <c r="F18" s="69" cm="1">
        <f t="array" ref="F18">F59+F63+F67+F71</f>
        <v>462.023</v>
      </c>
      <c r="G18" s="69" cm="1">
        <f t="array" ref="G18">G59+G63+G67+G71</f>
        <v>541.965</v>
      </c>
      <c r="H18" s="70" cm="1">
        <f t="array" ref="H18">H59+H63+H67+H71</f>
        <v>1006.643</v>
      </c>
      <c r="I18" s="68" cm="1">
        <f t="array" ref="I18">I59+I63+I67+I71</f>
        <v>5.001</v>
      </c>
      <c r="J18" s="69" cm="1">
        <f t="array" ref="J18">J59+J63+J67+J71</f>
        <v>892.9829999999999</v>
      </c>
      <c r="K18" s="69" cm="1">
        <f t="array" ref="K18">K59+K63+K67+K71</f>
        <v>1133.523</v>
      </c>
      <c r="L18" s="70" cm="1">
        <f t="array" ref="L18">L59+L63+L67+L71</f>
        <v>2031.507</v>
      </c>
      <c r="M18" s="71"/>
      <c r="N18" s="73"/>
      <c r="O18" s="72">
        <v>2009</v>
      </c>
    </row>
    <row r="19" ht="14.25" customHeight="1">
      <c r="A19" s="68"/>
      <c r="B19" s="69"/>
      <c r="C19" s="69"/>
      <c r="D19" s="70"/>
      <c r="E19" s="68"/>
      <c r="F19" s="69"/>
      <c r="G19" s="69"/>
      <c r="H19" s="70"/>
      <c r="I19" s="68"/>
      <c r="J19" s="69"/>
      <c r="K19" s="69"/>
      <c r="L19" s="70"/>
      <c r="M19" s="71"/>
      <c r="N19" s="73"/>
      <c r="O19" s="72"/>
    </row>
    <row r="20" ht="14.25" customHeight="1">
      <c r="A20" s="68">
        <v>1.993</v>
      </c>
      <c r="B20" s="69">
        <v>73.664</v>
      </c>
      <c r="C20" s="69">
        <v>138.09</v>
      </c>
      <c r="D20" s="70" cm="1">
        <f t="array" ref="D20">SUM(A20:C20)</f>
        <v>213.747</v>
      </c>
      <c r="E20" s="68">
        <v>2.041</v>
      </c>
      <c r="F20" s="69">
        <v>80.93000000000001</v>
      </c>
      <c r="G20" s="69">
        <v>114.168</v>
      </c>
      <c r="H20" s="70" cm="1">
        <f t="array" ref="H20">SUM(E20:G20)</f>
        <v>197.139</v>
      </c>
      <c r="I20" s="68" cm="1">
        <f t="array" ref="I20">A20+E20</f>
        <v>4.034</v>
      </c>
      <c r="J20" s="69" cm="1">
        <f t="array" ref="J20">B20+F20</f>
        <v>154.594</v>
      </c>
      <c r="K20" s="69" cm="1">
        <f t="array" ref="K20">C20+G20</f>
        <v>252.258</v>
      </c>
      <c r="L20" s="70" cm="1">
        <f t="array" ref="L20">SUM(I20:K20)</f>
        <v>410.886</v>
      </c>
      <c r="M20" s="71"/>
      <c r="N20" t="s" s="74">
        <v>37</v>
      </c>
      <c r="O20" s="72">
        <v>2005</v>
      </c>
    </row>
    <row r="21" ht="14.25" customHeight="1">
      <c r="A21" s="68">
        <v>2.864</v>
      </c>
      <c r="B21" s="69">
        <v>70.331</v>
      </c>
      <c r="C21" s="69">
        <v>152.986</v>
      </c>
      <c r="D21" s="70" cm="1">
        <f t="array" ref="D21">SUM(A21:C21)</f>
        <v>226.181</v>
      </c>
      <c r="E21" s="68">
        <v>2.422</v>
      </c>
      <c r="F21" s="69">
        <v>84.193</v>
      </c>
      <c r="G21" s="69">
        <v>139.262</v>
      </c>
      <c r="H21" s="70" cm="1">
        <f t="array" ref="H21">SUM(E21:G21)</f>
        <v>225.877</v>
      </c>
      <c r="I21" s="68" cm="1">
        <f t="array" ref="I21">A21+E21</f>
        <v>5.286</v>
      </c>
      <c r="J21" s="69" cm="1">
        <f t="array" ref="J21">B21+F21</f>
        <v>154.524</v>
      </c>
      <c r="K21" s="69" cm="1">
        <f t="array" ref="K21">G21+C21</f>
        <v>292.248</v>
      </c>
      <c r="L21" s="70" cm="1">
        <f t="array" ref="L21">SUM(I21:K21)</f>
        <v>452.058</v>
      </c>
      <c r="M21" s="71"/>
      <c r="N21" t="s" s="74">
        <v>38</v>
      </c>
      <c r="O21" s="72"/>
    </row>
    <row r="22" ht="14.25" customHeight="1">
      <c r="A22" s="68">
        <v>2.927</v>
      </c>
      <c r="B22" s="69">
        <v>64.17700000000001</v>
      </c>
      <c r="C22" s="69">
        <v>149.142</v>
      </c>
      <c r="D22" s="70" cm="1">
        <f t="array" ref="D22">SUM(A22:C22)</f>
        <v>216.246</v>
      </c>
      <c r="E22" s="68">
        <v>3.015</v>
      </c>
      <c r="F22" s="69">
        <v>75.687</v>
      </c>
      <c r="G22" s="69">
        <v>136.49</v>
      </c>
      <c r="H22" s="70" cm="1">
        <f t="array" ref="H22">SUM(E22:G22)</f>
        <v>215.192</v>
      </c>
      <c r="I22" s="68" cm="1">
        <f t="array" ref="I22">A22+E22</f>
        <v>5.942</v>
      </c>
      <c r="J22" s="69" cm="1">
        <f t="array" ref="J22">B22+F22</f>
        <v>139.864</v>
      </c>
      <c r="K22" s="69" cm="1">
        <f t="array" ref="K22">C22+G22</f>
        <v>285.632</v>
      </c>
      <c r="L22" s="70" cm="1">
        <f t="array" ref="L22">SUM(I22:K22)</f>
        <v>431.438</v>
      </c>
      <c r="M22" s="71"/>
      <c r="N22" t="s" s="74">
        <v>39</v>
      </c>
      <c r="O22" s="72"/>
    </row>
    <row r="23" ht="14.25" customHeight="1">
      <c r="A23" s="68">
        <v>3.125</v>
      </c>
      <c r="B23" s="69">
        <v>61.592</v>
      </c>
      <c r="C23" s="69">
        <v>144</v>
      </c>
      <c r="D23" s="70">
        <v>208.717</v>
      </c>
      <c r="E23" s="68">
        <v>2.186</v>
      </c>
      <c r="F23" s="69">
        <v>75.66200000000001</v>
      </c>
      <c r="G23" s="69">
        <v>133</v>
      </c>
      <c r="H23" s="70">
        <v>210.848</v>
      </c>
      <c r="I23" s="68">
        <v>5.311</v>
      </c>
      <c r="J23" s="69">
        <v>137.254</v>
      </c>
      <c r="K23" s="69">
        <v>277</v>
      </c>
      <c r="L23" s="70">
        <v>419.565</v>
      </c>
      <c r="M23" s="71"/>
      <c r="N23" t="s" s="74">
        <v>40</v>
      </c>
      <c r="O23" s="72"/>
    </row>
    <row r="24" ht="14.25" customHeight="1">
      <c r="A24" s="68"/>
      <c r="B24" s="69"/>
      <c r="C24" s="69"/>
      <c r="D24" s="70"/>
      <c r="E24" s="68"/>
      <c r="F24" s="69"/>
      <c r="G24" s="69"/>
      <c r="H24" s="70"/>
      <c r="I24" s="68"/>
      <c r="J24" s="69"/>
      <c r="K24" s="69"/>
      <c r="L24" s="70"/>
      <c r="M24" s="71"/>
      <c r="N24" s="74"/>
      <c r="O24" s="72"/>
    </row>
    <row r="25" ht="14.25" customHeight="1">
      <c r="A25" s="68">
        <v>3</v>
      </c>
      <c r="B25" s="69">
        <v>68</v>
      </c>
      <c r="C25" s="69">
        <v>157</v>
      </c>
      <c r="D25" s="70">
        <v>228</v>
      </c>
      <c r="E25" s="68">
        <v>3</v>
      </c>
      <c r="F25" s="69">
        <v>91</v>
      </c>
      <c r="G25" s="69">
        <v>141</v>
      </c>
      <c r="H25" s="70">
        <v>235</v>
      </c>
      <c r="I25" s="68" cm="1">
        <f t="array" ref="I25">E25+A25</f>
        <v>6</v>
      </c>
      <c r="J25" s="69" cm="1">
        <f t="array" ref="J25">F25+B25</f>
        <v>159</v>
      </c>
      <c r="K25" s="69" cm="1">
        <f t="array" ref="K25">G25+C25</f>
        <v>298</v>
      </c>
      <c r="L25" s="70" cm="1">
        <f t="array" ref="L25">H25+D25</f>
        <v>463</v>
      </c>
      <c r="M25" s="71"/>
      <c r="N25" t="s" s="74">
        <v>37</v>
      </c>
      <c r="O25" s="72">
        <v>2006</v>
      </c>
    </row>
    <row r="26" ht="14.25" customHeight="1">
      <c r="A26" s="68">
        <v>4</v>
      </c>
      <c r="B26" s="69">
        <v>78</v>
      </c>
      <c r="C26" s="69">
        <v>152</v>
      </c>
      <c r="D26" s="70" cm="1">
        <f t="array" ref="D26">SUM(A26:C26)</f>
        <v>234</v>
      </c>
      <c r="E26" s="68">
        <v>3</v>
      </c>
      <c r="F26" s="69">
        <v>90</v>
      </c>
      <c r="G26" s="69">
        <v>141</v>
      </c>
      <c r="H26" s="70" cm="1">
        <f t="array" ref="H26">SUM(E26:G26)</f>
        <v>234</v>
      </c>
      <c r="I26" s="68" cm="1">
        <f t="array" ref="I26">E26+A26</f>
        <v>7</v>
      </c>
      <c r="J26" s="69" cm="1">
        <f t="array" ref="J26">F26+B26</f>
        <v>168</v>
      </c>
      <c r="K26" s="69" cm="1">
        <f t="array" ref="K26">G26+C26</f>
        <v>293</v>
      </c>
      <c r="L26" s="70" cm="1">
        <f t="array" ref="L26">H26+D26</f>
        <v>468</v>
      </c>
      <c r="M26" s="71"/>
      <c r="N26" t="s" s="74">
        <v>38</v>
      </c>
      <c r="O26" s="72"/>
    </row>
    <row r="27" ht="14.25" customHeight="1">
      <c r="A27" s="68">
        <v>2.6</v>
      </c>
      <c r="B27" s="69">
        <v>91</v>
      </c>
      <c r="C27" s="69">
        <v>107</v>
      </c>
      <c r="D27" s="70">
        <v>200.6</v>
      </c>
      <c r="E27" s="68">
        <v>2.7</v>
      </c>
      <c r="F27" s="69">
        <v>106</v>
      </c>
      <c r="G27" s="69">
        <v>96</v>
      </c>
      <c r="H27" s="70">
        <v>204.7</v>
      </c>
      <c r="I27" s="68">
        <v>4.3</v>
      </c>
      <c r="J27" s="69">
        <v>197</v>
      </c>
      <c r="K27" s="69">
        <v>203</v>
      </c>
      <c r="L27" s="70">
        <v>404.3</v>
      </c>
      <c r="M27" s="71"/>
      <c r="N27" t="s" s="74">
        <v>39</v>
      </c>
      <c r="O27" s="72"/>
    </row>
    <row r="28" ht="14.25" customHeight="1">
      <c r="A28" s="68">
        <v>3</v>
      </c>
      <c r="B28" s="69">
        <v>79</v>
      </c>
      <c r="C28" s="69">
        <v>136</v>
      </c>
      <c r="D28" s="70">
        <v>218</v>
      </c>
      <c r="E28" s="68">
        <v>3</v>
      </c>
      <c r="F28" s="69">
        <v>90</v>
      </c>
      <c r="G28" s="69">
        <v>123</v>
      </c>
      <c r="H28" s="70">
        <v>216</v>
      </c>
      <c r="I28" s="68">
        <v>6</v>
      </c>
      <c r="J28" s="69">
        <v>169</v>
      </c>
      <c r="K28" s="69">
        <v>259</v>
      </c>
      <c r="L28" s="70">
        <v>434</v>
      </c>
      <c r="M28" s="71"/>
      <c r="N28" t="s" s="74">
        <v>40</v>
      </c>
      <c r="O28" s="72"/>
    </row>
    <row r="29" ht="14.25" customHeight="1">
      <c r="A29" s="68" cm="1">
        <f t="array" ref="A29">A84+A88+A92+A96</f>
        <v>0</v>
      </c>
      <c r="B29" s="69" cm="1">
        <f t="array" ref="B29">B84+B88+B92+B96</f>
        <v>497.917</v>
      </c>
      <c r="C29" s="69" cm="1">
        <f t="array" ref="C29">C84+C88+C92+C96</f>
        <v>639.692</v>
      </c>
      <c r="D29" s="70" cm="1">
        <f t="array" ref="D29">D84+D88+D92+D96</f>
        <v>1137.609</v>
      </c>
      <c r="E29" s="68" cm="1">
        <f t="array" ref="E29">E84+E88+E92+E96</f>
        <v>0</v>
      </c>
      <c r="F29" s="69" cm="1">
        <f t="array" ref="F29">F84+F88+F92+F96</f>
        <v>519.665</v>
      </c>
      <c r="G29" s="69" cm="1">
        <f t="array" ref="G29">G84+G88+G92+G96</f>
        <v>626.765</v>
      </c>
      <c r="H29" s="70" cm="1">
        <f t="array" ref="H29">H84+H88+H92+H96</f>
        <v>1146.43</v>
      </c>
      <c r="I29" s="68" cm="1">
        <f t="array" ref="I29">I84+I88+I92+I96</f>
        <v>0</v>
      </c>
      <c r="J29" s="69" cm="1">
        <f t="array" ref="J29">J84+J88+J92+J96</f>
        <v>1017.582</v>
      </c>
      <c r="K29" s="69" cm="1">
        <f t="array" ref="K29">K84+K88+K92+K96</f>
        <v>1266.457</v>
      </c>
      <c r="L29" s="70" cm="1">
        <f t="array" ref="L29">L84+L88+L92+L96</f>
        <v>2284.039</v>
      </c>
      <c r="M29" s="71"/>
      <c r="N29" s="74"/>
      <c r="O29" s="72">
        <v>2010</v>
      </c>
    </row>
    <row r="30" ht="14.25" customHeight="1">
      <c r="A30" s="68" cm="1">
        <f t="array" ref="A30">A101+A105+A109+A113</f>
        <v>0</v>
      </c>
      <c r="B30" s="69" cm="1">
        <f t="array" ref="B30">B101+B105+B109+B113</f>
        <v>572.477</v>
      </c>
      <c r="C30" s="69" cm="1">
        <f t="array" ref="C30">C101+C105+C109+C113</f>
        <v>619.984</v>
      </c>
      <c r="D30" s="70" cm="1">
        <f t="array" ref="D30">D101+D105+D109+D113</f>
        <v>1192.461</v>
      </c>
      <c r="E30" s="68" cm="1">
        <f t="array" ref="E30">E101+E105+E109+E113</f>
        <v>0.049</v>
      </c>
      <c r="F30" s="69" cm="1">
        <f t="array" ref="F30">F101+F105+F109+F113</f>
        <v>587.626</v>
      </c>
      <c r="G30" s="69" cm="1">
        <f t="array" ref="G30">G101+G105+G109+G113</f>
        <v>615.5309999999999</v>
      </c>
      <c r="H30" s="70" cm="1">
        <f t="array" ref="H30">H101+H105+H109+H113</f>
        <v>1203.206</v>
      </c>
      <c r="I30" s="68" cm="1">
        <f t="array" ref="I30">I101+I105+I109+I113</f>
        <v>0.049</v>
      </c>
      <c r="J30" s="69" cm="1">
        <f t="array" ref="J30">J101+J105+J109+J113</f>
        <v>1160.103</v>
      </c>
      <c r="K30" s="69" cm="1">
        <f t="array" ref="K30">K101+K105+K109+K113</f>
        <v>1235.515</v>
      </c>
      <c r="L30" s="70" cm="1">
        <f t="array" ref="L30">L101+L105+L109+L113</f>
        <v>2395.667</v>
      </c>
      <c r="M30" s="71"/>
      <c r="N30" s="74"/>
      <c r="O30" s="72">
        <v>2011</v>
      </c>
    </row>
    <row r="31" ht="14.25" customHeight="1">
      <c r="A31" s="68" cm="1">
        <f t="array" ref="A31">A118+A122+A126+A130</f>
        <v>0.001</v>
      </c>
      <c r="B31" s="69" cm="1">
        <f t="array" ref="B31">B118+B122+B126+B130</f>
        <v>580.261</v>
      </c>
      <c r="C31" s="69" cm="1">
        <f t="array" ref="C31">C118+C122+C126+C130</f>
        <v>690.341</v>
      </c>
      <c r="D31" s="70" cm="1">
        <f t="array" ref="D31">D118+D122+D126+D130</f>
        <v>1270.603</v>
      </c>
      <c r="E31" s="68" cm="1">
        <f t="array" ref="E31">E118+E122+E126+E130</f>
        <v>0</v>
      </c>
      <c r="F31" s="69" cm="1">
        <f t="array" ref="F31">F118+F122+F126+F130</f>
        <v>590.1900000000001</v>
      </c>
      <c r="G31" s="69" cm="1">
        <f t="array" ref="G31">G118+G122+G126+G130</f>
        <v>680.28</v>
      </c>
      <c r="H31" s="70" cm="1">
        <f t="array" ref="H31">H118+H122+H126+H130</f>
        <v>1270.47</v>
      </c>
      <c r="I31" s="68" cm="1">
        <f t="array" ref="I31">I118+I122+I126+I130</f>
        <v>0.001</v>
      </c>
      <c r="J31" s="69" cm="1">
        <f t="array" ref="J31">J118+J122+J126+J130</f>
        <v>1170.451</v>
      </c>
      <c r="K31" s="69" cm="1">
        <f t="array" ref="K31">K118+K122+K126+K130</f>
        <v>1370.621</v>
      </c>
      <c r="L31" s="70" cm="1">
        <f t="array" ref="L31">L118+L122+L126+L130</f>
        <v>2541.073</v>
      </c>
      <c r="M31" s="71"/>
      <c r="N31" s="74"/>
      <c r="O31" s="72">
        <v>2012</v>
      </c>
    </row>
    <row r="32" ht="9" customHeight="1">
      <c r="A32" s="68"/>
      <c r="B32" s="69"/>
      <c r="C32" s="69"/>
      <c r="D32" s="70"/>
      <c r="E32" s="68"/>
      <c r="F32" s="69"/>
      <c r="G32" s="69"/>
      <c r="H32" s="70"/>
      <c r="I32" s="68"/>
      <c r="J32" s="69"/>
      <c r="K32" s="69"/>
      <c r="L32" s="70"/>
      <c r="M32" s="71"/>
      <c r="N32" s="74"/>
      <c r="O32" s="72"/>
    </row>
    <row r="33" ht="14.25" customHeight="1">
      <c r="A33" s="68">
        <v>0.751</v>
      </c>
      <c r="B33" s="69">
        <v>77.36199999999999</v>
      </c>
      <c r="C33" s="69">
        <v>147.74</v>
      </c>
      <c r="D33" s="70">
        <v>225.853</v>
      </c>
      <c r="E33" s="68">
        <v>1.379</v>
      </c>
      <c r="F33" s="69">
        <v>107.563</v>
      </c>
      <c r="G33" s="69">
        <v>136.323</v>
      </c>
      <c r="H33" s="70">
        <v>245.265</v>
      </c>
      <c r="I33" s="68">
        <v>2.13</v>
      </c>
      <c r="J33" s="69">
        <v>184.925</v>
      </c>
      <c r="K33" s="69">
        <v>284.063</v>
      </c>
      <c r="L33" s="70">
        <v>471.118</v>
      </c>
      <c r="M33" s="71"/>
      <c r="N33" t="s" s="74">
        <v>37</v>
      </c>
      <c r="O33" s="72">
        <v>2007</v>
      </c>
    </row>
    <row r="34" ht="14.25" customHeight="1">
      <c r="A34" s="68">
        <v>1.939</v>
      </c>
      <c r="B34" s="69">
        <v>103.517</v>
      </c>
      <c r="C34" s="69">
        <v>150.122</v>
      </c>
      <c r="D34" s="70" cm="1">
        <f t="array" ref="D34">SUM(A34:C34)</f>
        <v>255.578</v>
      </c>
      <c r="E34" s="68">
        <v>1.675</v>
      </c>
      <c r="F34" s="69">
        <v>110.986</v>
      </c>
      <c r="G34" s="69">
        <v>137.097</v>
      </c>
      <c r="H34" s="70" cm="1">
        <f t="array" ref="H34">SUM(E34:G34)</f>
        <v>249.758</v>
      </c>
      <c r="I34" s="68" cm="1">
        <f t="array" ref="I34">E34+A34</f>
        <v>3.614</v>
      </c>
      <c r="J34" s="69" cm="1">
        <f t="array" ref="J34">F34+B34</f>
        <v>214.503</v>
      </c>
      <c r="K34" s="69" cm="1">
        <f t="array" ref="K34">G34+C34</f>
        <v>287.219</v>
      </c>
      <c r="L34" s="70" cm="1">
        <f t="array" ref="L34">H34+D34</f>
        <v>505.336</v>
      </c>
      <c r="M34" s="71"/>
      <c r="N34" t="s" s="74">
        <v>38</v>
      </c>
      <c r="O34" s="72"/>
    </row>
    <row r="35" ht="14.25" customHeight="1">
      <c r="A35" s="68">
        <v>0.599</v>
      </c>
      <c r="B35" s="69">
        <v>92.693</v>
      </c>
      <c r="C35" s="69">
        <v>148.7</v>
      </c>
      <c r="D35" s="70" cm="1">
        <f t="array" ref="D35">SUM(A35:C35)</f>
        <v>241.992</v>
      </c>
      <c r="E35" s="68">
        <v>0.368</v>
      </c>
      <c r="F35" s="69">
        <v>113.621</v>
      </c>
      <c r="G35" s="69">
        <v>135.466</v>
      </c>
      <c r="H35" s="70" cm="1">
        <f t="array" ref="H35">SUM(E35:G35)</f>
        <v>249.455</v>
      </c>
      <c r="I35" s="68" cm="1">
        <f t="array" ref="I35">A35+E35</f>
        <v>0.967</v>
      </c>
      <c r="J35" s="69" cm="1">
        <f t="array" ref="J35">B35+F35</f>
        <v>206.314</v>
      </c>
      <c r="K35" s="69" cm="1">
        <f t="array" ref="K35">C35+G35</f>
        <v>284.166</v>
      </c>
      <c r="L35" s="70" cm="1">
        <f t="array" ref="L35">D35+H35</f>
        <v>491.447</v>
      </c>
      <c r="M35" s="71"/>
      <c r="N35" t="s" s="74">
        <v>39</v>
      </c>
      <c r="O35" s="72"/>
    </row>
    <row r="36" ht="14.25" customHeight="1">
      <c r="A36" s="68">
        <v>0.002</v>
      </c>
      <c r="B36" s="69">
        <v>97.16800000000001</v>
      </c>
      <c r="C36" s="69">
        <v>148.526</v>
      </c>
      <c r="D36" s="70" cm="1">
        <f t="array" ref="D36">SUM(A36:C36)</f>
        <v>245.696</v>
      </c>
      <c r="E36" s="68">
        <v>0.006</v>
      </c>
      <c r="F36" s="69">
        <v>105.787</v>
      </c>
      <c r="G36" s="69">
        <v>144.654</v>
      </c>
      <c r="H36" s="70" cm="1">
        <f t="array" ref="H36">SUM(E36:G36)</f>
        <v>250.447</v>
      </c>
      <c r="I36" s="68" cm="1">
        <f t="array" ref="I36">A36+E36</f>
        <v>0.008</v>
      </c>
      <c r="J36" s="69" cm="1">
        <f t="array" ref="J36">B36+F36</f>
        <v>202.955</v>
      </c>
      <c r="K36" s="69" cm="1">
        <f t="array" ref="K36">C36+G36</f>
        <v>293.18</v>
      </c>
      <c r="L36" s="70" cm="1">
        <f t="array" ref="L36">D36+H36</f>
        <v>496.143</v>
      </c>
      <c r="M36" s="71"/>
      <c r="N36" t="s" s="74">
        <v>40</v>
      </c>
      <c r="O36" s="72"/>
    </row>
    <row r="37" ht="14.25" customHeight="1">
      <c r="A37" s="68" cm="1">
        <f t="array" ref="A37">A135+A139+A143+A147</f>
        <v>0.159</v>
      </c>
      <c r="B37" s="69" cm="1">
        <f t="array" ref="B37">B135+B139+B143+B147</f>
        <v>583.5650000000001</v>
      </c>
      <c r="C37" s="69" cm="1">
        <f t="array" ref="C37">C135+C139+C143+C147</f>
        <v>681.963</v>
      </c>
      <c r="D37" s="70" cm="1">
        <f t="array" ref="D37">D135+D139+D143+D147</f>
        <v>1265.687</v>
      </c>
      <c r="E37" s="68" cm="1">
        <f t="array" ref="E37">E135+E139+E143+E147</f>
        <v>0.06900000000000001</v>
      </c>
      <c r="F37" s="69" cm="1">
        <f t="array" ref="F37">F135+F139+F143+F147</f>
        <v>598.103</v>
      </c>
      <c r="G37" s="69" cm="1">
        <f t="array" ref="G37">G135+G139+G143+G147</f>
        <v>675.026</v>
      </c>
      <c r="H37" s="70" cm="1">
        <f t="array" ref="H37">H135+H139+H143+H147</f>
        <v>1273.198</v>
      </c>
      <c r="I37" s="68" cm="1">
        <f t="array" ref="I37">I135+I139+I143+I147</f>
        <v>0.228</v>
      </c>
      <c r="J37" s="69" cm="1">
        <f t="array" ref="J37">J135+J139+J143+J147</f>
        <v>1181.668</v>
      </c>
      <c r="K37" s="69" cm="1">
        <f t="array" ref="K37">K135+K139+K143+K147</f>
        <v>1356.989</v>
      </c>
      <c r="L37" s="70" cm="1">
        <f t="array" ref="L37">L135+L139+L143+L147</f>
        <v>2538.885</v>
      </c>
      <c r="M37" s="71"/>
      <c r="N37" s="74"/>
      <c r="O37" s="72">
        <v>2013</v>
      </c>
    </row>
    <row r="38" ht="8" customHeight="1">
      <c r="A38" s="68"/>
      <c r="B38" s="69"/>
      <c r="C38" s="69"/>
      <c r="D38" s="70"/>
      <c r="E38" s="68"/>
      <c r="F38" s="69"/>
      <c r="G38" s="69"/>
      <c r="H38" s="70"/>
      <c r="I38" s="68"/>
      <c r="J38" s="69"/>
      <c r="K38" s="69"/>
      <c r="L38" s="70"/>
      <c r="M38" s="71"/>
      <c r="N38" s="74"/>
      <c r="O38" s="72"/>
    </row>
    <row r="39" ht="14.25" customHeight="1">
      <c r="A39" s="68">
        <v>0.002</v>
      </c>
      <c r="B39" s="69">
        <v>30.16</v>
      </c>
      <c r="C39" s="69">
        <v>58.84</v>
      </c>
      <c r="D39" s="70" cm="1">
        <f t="array" ref="D39">SUM(A39:C39)</f>
        <v>89.002</v>
      </c>
      <c r="E39" s="68">
        <v>0</v>
      </c>
      <c r="F39" s="69">
        <v>30.193</v>
      </c>
      <c r="G39" s="69">
        <v>52.981</v>
      </c>
      <c r="H39" s="70" cm="1">
        <f t="array" ref="H39">SUM(E39:G39)</f>
        <v>83.17400000000001</v>
      </c>
      <c r="I39" s="68" cm="1">
        <f t="array" ref="I39">E39+A39</f>
        <v>0.002</v>
      </c>
      <c r="J39" s="69" cm="1">
        <f t="array" ref="J39">F39+B39</f>
        <v>60.353</v>
      </c>
      <c r="K39" s="69" cm="1">
        <f t="array" ref="K39">G39+C39</f>
        <v>111.821</v>
      </c>
      <c r="L39" s="70" cm="1">
        <f t="array" ref="L39">H39+D39</f>
        <v>172.176</v>
      </c>
      <c r="M39" s="71"/>
      <c r="N39" t="s" s="74">
        <v>41</v>
      </c>
      <c r="O39" s="72">
        <v>2008</v>
      </c>
    </row>
    <row r="40" ht="14.25" customHeight="1">
      <c r="A40" s="68">
        <v>0</v>
      </c>
      <c r="B40" s="69">
        <v>31.984</v>
      </c>
      <c r="C40" s="69">
        <v>56.729</v>
      </c>
      <c r="D40" s="70" cm="1">
        <f t="array" ref="D40">SUM(A40:C40)</f>
        <v>88.71299999999999</v>
      </c>
      <c r="E40" s="68">
        <v>0</v>
      </c>
      <c r="F40" s="69">
        <v>38.84</v>
      </c>
      <c r="G40" s="69">
        <v>51.126</v>
      </c>
      <c r="H40" s="70" cm="1">
        <f t="array" ref="H40">SUM(E40:G40)</f>
        <v>89.96599999999999</v>
      </c>
      <c r="I40" s="68" cm="1">
        <f t="array" ref="I40">E40+A40</f>
        <v>0</v>
      </c>
      <c r="J40" s="69" cm="1">
        <f t="array" ref="J40">F40+B40</f>
        <v>70.824</v>
      </c>
      <c r="K40" s="69" cm="1">
        <f t="array" ref="K40">G40+C40</f>
        <v>107.855</v>
      </c>
      <c r="L40" s="70" cm="1">
        <f t="array" ref="L40">H40+D40</f>
        <v>178.679</v>
      </c>
      <c r="M40" s="71"/>
      <c r="N40" t="s" s="74">
        <v>42</v>
      </c>
      <c r="O40" s="72"/>
    </row>
    <row r="41" ht="14.25" customHeight="1">
      <c r="A41" s="68">
        <v>0</v>
      </c>
      <c r="B41" s="69">
        <v>33.085</v>
      </c>
      <c r="C41" s="69">
        <v>66.871</v>
      </c>
      <c r="D41" s="70" cm="1">
        <f t="array" ref="D41">SUM(A41:C41)</f>
        <v>99.956</v>
      </c>
      <c r="E41" s="68">
        <v>0</v>
      </c>
      <c r="F41" s="69">
        <v>38.305</v>
      </c>
      <c r="G41" s="69">
        <v>54.985</v>
      </c>
      <c r="H41" s="70" cm="1">
        <f t="array" ref="H41">SUM(E41:G41)</f>
        <v>93.29000000000001</v>
      </c>
      <c r="I41" s="68" cm="1">
        <f t="array" ref="I41">A41+E41</f>
        <v>0</v>
      </c>
      <c r="J41" s="69" cm="1">
        <f t="array" ref="J41">B41+F41</f>
        <v>71.39</v>
      </c>
      <c r="K41" s="69" cm="1">
        <f t="array" ref="K41">C41+G41</f>
        <v>121.856</v>
      </c>
      <c r="L41" s="70" cm="1">
        <f t="array" ref="L41">D41+H41</f>
        <v>193.246</v>
      </c>
      <c r="M41" s="71"/>
      <c r="N41" t="s" s="74">
        <v>43</v>
      </c>
      <c r="O41" s="72"/>
    </row>
    <row r="42" ht="12.75" customHeight="1">
      <c r="A42" s="68" cm="1">
        <f t="array" ref="A42">SUM(A39:A41)</f>
        <v>0.002</v>
      </c>
      <c r="B42" s="69" cm="1">
        <f t="array" ref="B42">SUM(B39:B41)</f>
        <v>95.229</v>
      </c>
      <c r="C42" s="69" cm="1">
        <f t="array" ref="C42">SUM(C39:C41)</f>
        <v>182.44</v>
      </c>
      <c r="D42" s="70" cm="1">
        <f t="array" ref="D42">SUM(D39:D41)</f>
        <v>277.671</v>
      </c>
      <c r="E42" s="68" cm="1">
        <f t="array" ref="E42">SUM(E39:E41)</f>
        <v>0</v>
      </c>
      <c r="F42" s="69" cm="1">
        <f t="array" ref="F42">SUM(F39:F41)</f>
        <v>107.338</v>
      </c>
      <c r="G42" s="69" cm="1">
        <f t="array" ref="G42">SUM(G39:G41)</f>
        <v>159.092</v>
      </c>
      <c r="H42" s="70" cm="1">
        <f t="array" ref="H42">SUM(H39:H41)</f>
        <v>266.43</v>
      </c>
      <c r="I42" s="68" cm="1">
        <f t="array" ref="I42">SUM(I39:I41)</f>
        <v>0.002</v>
      </c>
      <c r="J42" s="69" cm="1">
        <f t="array" ref="J42">SUM(J39:J41)</f>
        <v>202.567</v>
      </c>
      <c r="K42" s="69" cm="1">
        <f t="array" ref="K42">SUM(K39:K41)</f>
        <v>341.532</v>
      </c>
      <c r="L42" s="70" cm="1">
        <f t="array" ref="L42">SUM(L39:L41)</f>
        <v>544.101</v>
      </c>
      <c r="M42" s="71"/>
      <c r="N42" t="s" s="74">
        <v>37</v>
      </c>
      <c r="O42" s="72">
        <v>2008</v>
      </c>
    </row>
    <row r="43" ht="14.25" customHeight="1">
      <c r="A43" s="68">
        <v>0</v>
      </c>
      <c r="B43" s="69">
        <v>30.24</v>
      </c>
      <c r="C43" s="69">
        <v>58.454</v>
      </c>
      <c r="D43" s="70" cm="1">
        <f t="array" ref="D43">SUM(A43:C43)</f>
        <v>88.694</v>
      </c>
      <c r="E43" s="68">
        <v>0</v>
      </c>
      <c r="F43" s="69">
        <v>36.756</v>
      </c>
      <c r="G43" s="69">
        <v>58.337</v>
      </c>
      <c r="H43" s="70" cm="1">
        <f t="array" ref="H43">SUM(E43:G43)</f>
        <v>95.093</v>
      </c>
      <c r="I43" s="68" cm="1">
        <f t="array" ref="I43">A43+E43</f>
        <v>0</v>
      </c>
      <c r="J43" s="69" cm="1">
        <f t="array" ref="J43">B43+F43</f>
        <v>66.996</v>
      </c>
      <c r="K43" s="69" cm="1">
        <f t="array" ref="K43">C43+G43</f>
        <v>116.791</v>
      </c>
      <c r="L43" s="70" cm="1">
        <f t="array" ref="L43">D43+H43</f>
        <v>183.787</v>
      </c>
      <c r="M43" s="71"/>
      <c r="N43" t="s" s="74">
        <v>44</v>
      </c>
      <c r="O43" s="72"/>
    </row>
    <row r="44" ht="14.25" customHeight="1">
      <c r="A44" s="68">
        <v>0.008999999999999999</v>
      </c>
      <c r="B44" s="69">
        <v>33.201</v>
      </c>
      <c r="C44" s="69">
        <v>63.402</v>
      </c>
      <c r="D44" s="70" cm="1">
        <f t="array" ref="D44">SUM(A44:C44)</f>
        <v>96.61199999999999</v>
      </c>
      <c r="E44" s="68">
        <v>0</v>
      </c>
      <c r="F44" s="69">
        <v>34.074</v>
      </c>
      <c r="G44" s="69">
        <v>54.507</v>
      </c>
      <c r="H44" s="70" cm="1">
        <f t="array" ref="H44">SUM(E44:G44)</f>
        <v>88.581</v>
      </c>
      <c r="I44" s="68" cm="1">
        <f t="array" ref="I44">SUM(A44+E44)</f>
        <v>0.008999999999999999</v>
      </c>
      <c r="J44" s="69" cm="1">
        <f t="array" ref="J44">SUM(B44+F44)</f>
        <v>67.27500000000001</v>
      </c>
      <c r="K44" s="69" cm="1">
        <f t="array" ref="K44">SUM(C44+G44)</f>
        <v>117.909</v>
      </c>
      <c r="L44" s="70" cm="1">
        <f t="array" ref="L44">SUM(D44+H44)</f>
        <v>185.193</v>
      </c>
      <c r="M44" s="71"/>
      <c r="N44" t="s" s="74">
        <v>45</v>
      </c>
      <c r="O44" s="72"/>
    </row>
    <row r="45" ht="14.25" customHeight="1">
      <c r="A45" s="68">
        <v>0</v>
      </c>
      <c r="B45" s="69">
        <v>30.998</v>
      </c>
      <c r="C45" s="69">
        <v>59.76</v>
      </c>
      <c r="D45" s="70" cm="1">
        <f t="array" ref="D45">SUM(A45:C45)</f>
        <v>90.758</v>
      </c>
      <c r="E45" s="68">
        <v>0</v>
      </c>
      <c r="F45" s="69">
        <v>31.798</v>
      </c>
      <c r="G45" s="69">
        <v>56.553</v>
      </c>
      <c r="H45" s="70" cm="1">
        <f t="array" ref="H45">SUM(E45:G45)</f>
        <v>88.351</v>
      </c>
      <c r="I45" s="68" cm="1">
        <f t="array" ref="I45">A45+E45</f>
        <v>0</v>
      </c>
      <c r="J45" s="69" cm="1">
        <f t="array" ref="J45">B45+F45</f>
        <v>62.796</v>
      </c>
      <c r="K45" s="69" cm="1">
        <f t="array" ref="K45">C45+G45</f>
        <v>116.313</v>
      </c>
      <c r="L45" s="70" cm="1">
        <f t="array" ref="L45">D45+H45</f>
        <v>179.109</v>
      </c>
      <c r="M45" s="71"/>
      <c r="N45" t="s" s="74">
        <v>46</v>
      </c>
      <c r="O45" s="72"/>
    </row>
    <row r="46" ht="14.25" customHeight="1">
      <c r="A46" s="68" cm="1">
        <f t="array" ref="A46">SUM(A43:A45)</f>
        <v>0.008999999999999999</v>
      </c>
      <c r="B46" s="69" cm="1">
        <f t="array" ref="B46">SUM(B43:B45)</f>
        <v>94.43899999999999</v>
      </c>
      <c r="C46" s="69" cm="1">
        <f t="array" ref="C46">SUM(C43:C45)</f>
        <v>181.616</v>
      </c>
      <c r="D46" s="70" cm="1">
        <f t="array" ref="D46">SUM(D43:D45)</f>
        <v>276.064</v>
      </c>
      <c r="E46" s="68" cm="1">
        <f t="array" ref="E46">SUM(E43:E45)</f>
        <v>0</v>
      </c>
      <c r="F46" s="69" cm="1">
        <f t="array" ref="F46">SUM(F43:F45)</f>
        <v>102.628</v>
      </c>
      <c r="G46" s="69" cm="1">
        <f t="array" ref="G46">SUM(G43:G45)</f>
        <v>169.397</v>
      </c>
      <c r="H46" s="70" cm="1">
        <f t="array" ref="H46">SUM(H43:H45)</f>
        <v>272.025</v>
      </c>
      <c r="I46" s="68" cm="1">
        <f t="array" ref="I46">SUM(I43:I45)</f>
        <v>0.008999999999999999</v>
      </c>
      <c r="J46" s="69" cm="1">
        <f t="array" ref="J46">SUM(J43:J45)</f>
        <v>197.067</v>
      </c>
      <c r="K46" s="69" cm="1">
        <f t="array" ref="K46">SUM(K43:K45)</f>
        <v>351.013</v>
      </c>
      <c r="L46" s="70" cm="1">
        <f t="array" ref="L46">SUM(L43:L45)</f>
        <v>548.0890000000001</v>
      </c>
      <c r="M46" s="71"/>
      <c r="N46" t="s" s="74">
        <v>38</v>
      </c>
      <c r="O46" s="72"/>
    </row>
    <row r="47" ht="14.25" customHeight="1">
      <c r="A47" s="68">
        <v>0.002</v>
      </c>
      <c r="B47" s="69">
        <v>34.593</v>
      </c>
      <c r="C47" s="69">
        <v>63.39</v>
      </c>
      <c r="D47" s="70" cm="1">
        <f t="array" ref="D47">SUM(A47:C47)</f>
        <v>97.985</v>
      </c>
      <c r="E47" s="68">
        <v>0</v>
      </c>
      <c r="F47" s="69">
        <v>39.67</v>
      </c>
      <c r="G47" s="69">
        <v>58.296</v>
      </c>
      <c r="H47" s="70" cm="1">
        <f t="array" ref="H47">SUM(E47:G47)</f>
        <v>97.96599999999999</v>
      </c>
      <c r="I47" s="68" cm="1">
        <f t="array" ref="I47">A47+E47</f>
        <v>0.002</v>
      </c>
      <c r="J47" s="69" cm="1">
        <f t="array" ref="J47">B47+F47</f>
        <v>74.26300000000001</v>
      </c>
      <c r="K47" s="69" cm="1">
        <f t="array" ref="K47">C47+G47</f>
        <v>121.686</v>
      </c>
      <c r="L47" s="70" cm="1">
        <f t="array" ref="L47">D47+H47</f>
        <v>195.951</v>
      </c>
      <c r="M47" s="71"/>
      <c r="N47" t="s" s="74">
        <v>47</v>
      </c>
      <c r="O47" s="72"/>
    </row>
    <row r="48" ht="14.25" customHeight="1">
      <c r="A48" s="68">
        <v>0</v>
      </c>
      <c r="B48" s="69">
        <v>24.958</v>
      </c>
      <c r="C48" s="69">
        <v>49.489</v>
      </c>
      <c r="D48" s="70" cm="1">
        <f t="array" ref="D48">SUM(A48:C48)</f>
        <v>74.447</v>
      </c>
      <c r="E48" s="68">
        <v>0</v>
      </c>
      <c r="F48" s="69">
        <v>34.746</v>
      </c>
      <c r="G48" s="69">
        <v>47.052</v>
      </c>
      <c r="H48" s="70" cm="1">
        <f t="array" ref="H48">SUM(E48:G48)</f>
        <v>81.798</v>
      </c>
      <c r="I48" s="68" cm="1">
        <f t="array" ref="I48">A48+E48</f>
        <v>0</v>
      </c>
      <c r="J48" s="69" cm="1">
        <f t="array" ref="J48">B48+F48</f>
        <v>59.704</v>
      </c>
      <c r="K48" s="69" cm="1">
        <f t="array" ref="K48">C48+G48</f>
        <v>96.541</v>
      </c>
      <c r="L48" s="70" cm="1">
        <f t="array" ref="L48">D48+H48</f>
        <v>156.245</v>
      </c>
      <c r="M48" s="71"/>
      <c r="N48" t="s" s="74">
        <v>48</v>
      </c>
      <c r="O48" s="72"/>
    </row>
    <row r="49" ht="14.25" customHeight="1">
      <c r="A49" s="68">
        <v>0</v>
      </c>
      <c r="B49" s="69">
        <v>26.923</v>
      </c>
      <c r="C49" s="69">
        <v>27.811</v>
      </c>
      <c r="D49" s="70" cm="1">
        <f t="array" ref="D49">SUM(A49:C49)</f>
        <v>54.734</v>
      </c>
      <c r="E49" s="68">
        <v>0.001</v>
      </c>
      <c r="F49" s="69">
        <v>33.491</v>
      </c>
      <c r="G49" s="69">
        <v>34.285</v>
      </c>
      <c r="H49" s="70" cm="1">
        <f t="array" ref="H49">SUM(E49:G49)</f>
        <v>67.777</v>
      </c>
      <c r="I49" s="68" cm="1">
        <f t="array" ref="I49">A49+E49</f>
        <v>0.001</v>
      </c>
      <c r="J49" s="69" cm="1">
        <f t="array" ref="J49">B49+F49</f>
        <v>60.414</v>
      </c>
      <c r="K49" s="69" cm="1">
        <f t="array" ref="K49">C49+G49</f>
        <v>62.096</v>
      </c>
      <c r="L49" s="70" cm="1">
        <f t="array" ref="L49">D49+H49</f>
        <v>122.511</v>
      </c>
      <c r="M49" s="71"/>
      <c r="N49" t="s" s="74">
        <v>49</v>
      </c>
      <c r="O49" s="72"/>
    </row>
    <row r="50" ht="14.25" customHeight="1">
      <c r="A50" s="68" cm="1">
        <f t="array" ref="A50">SUM(A47:A49)</f>
        <v>0.002</v>
      </c>
      <c r="B50" s="69" cm="1">
        <f t="array" ref="B50">SUM(B47:B49)</f>
        <v>86.474</v>
      </c>
      <c r="C50" s="69" cm="1">
        <f t="array" ref="C50">SUM(C47:C49)</f>
        <v>140.69</v>
      </c>
      <c r="D50" s="70" cm="1">
        <f t="array" ref="D50">SUM(D47:D49)</f>
        <v>227.166</v>
      </c>
      <c r="E50" s="68" cm="1">
        <f t="array" ref="E50">SUM(E47:E49)</f>
        <v>0.001</v>
      </c>
      <c r="F50" s="69" cm="1">
        <f t="array" ref="F50">SUM(F47:F49)</f>
        <v>107.907</v>
      </c>
      <c r="G50" s="69" cm="1">
        <f t="array" ref="G50">SUM(G47:G49)</f>
        <v>139.633</v>
      </c>
      <c r="H50" s="70" cm="1">
        <f t="array" ref="H50">SUM(H47:H49)</f>
        <v>247.541</v>
      </c>
      <c r="I50" s="68" cm="1">
        <f t="array" ref="I50">SUM(I47:I49)</f>
        <v>0.003</v>
      </c>
      <c r="J50" s="69" cm="1">
        <f t="array" ref="J50">SUM(J47:J49)</f>
        <v>194.381</v>
      </c>
      <c r="K50" s="69" cm="1">
        <f t="array" ref="K50">SUM(K47:K49)</f>
        <v>280.323</v>
      </c>
      <c r="L50" s="70" cm="1">
        <f t="array" ref="L50">SUM(L47:L49)</f>
        <v>474.707</v>
      </c>
      <c r="M50" s="71"/>
      <c r="N50" t="s" s="74">
        <v>39</v>
      </c>
      <c r="O50" s="72"/>
    </row>
    <row r="51" ht="14.25" customHeight="1">
      <c r="A51" s="68">
        <v>0.064</v>
      </c>
      <c r="B51" s="69">
        <v>36.87</v>
      </c>
      <c r="C51" s="69">
        <v>44.17</v>
      </c>
      <c r="D51" s="70" cm="1">
        <f t="array" ref="D51">SUM(A51:C51)</f>
        <v>81.104</v>
      </c>
      <c r="E51" s="68">
        <v>0</v>
      </c>
      <c r="F51" s="69">
        <v>44.513</v>
      </c>
      <c r="G51" s="69">
        <v>47.705</v>
      </c>
      <c r="H51" s="70" cm="1">
        <f t="array" ref="H51">SUM(E51:G51)</f>
        <v>92.218</v>
      </c>
      <c r="I51" s="68" cm="1">
        <f t="array" ref="I51">A51+E51</f>
        <v>0.064</v>
      </c>
      <c r="J51" s="69" cm="1">
        <f t="array" ref="J51">B51+F51</f>
        <v>81.383</v>
      </c>
      <c r="K51" s="69" cm="1">
        <f t="array" ref="K51">C51+G51</f>
        <v>91.875</v>
      </c>
      <c r="L51" s="70" cm="1">
        <f t="array" ref="L51">D51+H51</f>
        <v>173.322</v>
      </c>
      <c r="M51" s="71"/>
      <c r="N51" t="s" s="74">
        <v>50</v>
      </c>
      <c r="O51" s="72"/>
    </row>
    <row r="52" ht="14.25" customHeight="1">
      <c r="A52" s="68">
        <v>0.354</v>
      </c>
      <c r="B52" s="69">
        <v>39.964</v>
      </c>
      <c r="C52" s="69">
        <v>52.309</v>
      </c>
      <c r="D52" s="70" cm="1">
        <f t="array" ref="D52">SUM(A52:C52)</f>
        <v>92.627</v>
      </c>
      <c r="E52" s="68">
        <v>0.519</v>
      </c>
      <c r="F52" s="69">
        <v>38.718</v>
      </c>
      <c r="G52" s="69">
        <v>48.719</v>
      </c>
      <c r="H52" s="70" cm="1">
        <f t="array" ref="H52">SUM(E52:G52)</f>
        <v>87.956</v>
      </c>
      <c r="I52" s="68" cm="1">
        <f t="array" ref="I52">A52+E52</f>
        <v>0.873</v>
      </c>
      <c r="J52" s="69" cm="1">
        <f t="array" ref="J52">B52+F52</f>
        <v>78.682</v>
      </c>
      <c r="K52" s="69" cm="1">
        <f t="array" ref="K52">C52+G52</f>
        <v>101.028</v>
      </c>
      <c r="L52" s="70" cm="1">
        <f t="array" ref="L52">D52+H52</f>
        <v>180.583</v>
      </c>
      <c r="M52" s="71"/>
      <c r="N52" t="s" s="74">
        <v>51</v>
      </c>
      <c r="O52" s="72"/>
    </row>
    <row r="53" ht="14.25" customHeight="1">
      <c r="A53" s="68">
        <v>0.486</v>
      </c>
      <c r="B53" s="69">
        <v>35.662</v>
      </c>
      <c r="C53" s="69">
        <v>43.062</v>
      </c>
      <c r="D53" s="70" cm="1">
        <f t="array" ref="D53">SUM(A53:C53)</f>
        <v>79.20999999999999</v>
      </c>
      <c r="E53" s="68">
        <v>0.586</v>
      </c>
      <c r="F53" s="69">
        <v>38.178</v>
      </c>
      <c r="G53" s="69">
        <v>42.285</v>
      </c>
      <c r="H53" s="70" cm="1">
        <f t="array" ref="H53">SUM(E53:G53)</f>
        <v>81.04900000000001</v>
      </c>
      <c r="I53" s="68" cm="1">
        <f t="array" ref="I53">A53+E53</f>
        <v>1.072</v>
      </c>
      <c r="J53" s="69" cm="1">
        <f t="array" ref="J53">B53+F53</f>
        <v>73.84</v>
      </c>
      <c r="K53" s="69" cm="1">
        <f t="array" ref="K53">C53+G53</f>
        <v>85.34699999999999</v>
      </c>
      <c r="L53" s="70" cm="1">
        <f t="array" ref="L53">D53+H53</f>
        <v>160.259</v>
      </c>
      <c r="M53" s="71"/>
      <c r="N53" t="s" s="74">
        <v>52</v>
      </c>
      <c r="O53" s="72"/>
    </row>
    <row r="54" ht="14.25" customHeight="1">
      <c r="A54" s="68" cm="1">
        <f t="array" ref="A54">SUM(A51:A53)</f>
        <v>0.904</v>
      </c>
      <c r="B54" s="69" cm="1">
        <f t="array" ref="B54">SUM(B51:B53)</f>
        <v>112.496</v>
      </c>
      <c r="C54" s="69" cm="1">
        <f t="array" ref="C54">SUM(C51:C53)</f>
        <v>139.541</v>
      </c>
      <c r="D54" s="70" cm="1">
        <f t="array" ref="D54">SUM(D51:D53)</f>
        <v>252.941</v>
      </c>
      <c r="E54" s="68" cm="1">
        <f t="array" ref="E54">SUM(E51:E53)</f>
        <v>1.105</v>
      </c>
      <c r="F54" s="69" cm="1">
        <f t="array" ref="F54">SUM(F51:F53)</f>
        <v>121.409</v>
      </c>
      <c r="G54" s="69" cm="1">
        <f t="array" ref="G54">SUM(G51:G53)</f>
        <v>138.709</v>
      </c>
      <c r="H54" s="70" cm="1">
        <f t="array" ref="H54">SUM(H51:H53)</f>
        <v>261.223</v>
      </c>
      <c r="I54" s="68" cm="1">
        <f t="array" ref="I54">SUM(I51:I53)</f>
        <v>2.009</v>
      </c>
      <c r="J54" s="69" cm="1">
        <f t="array" ref="J54">SUM(J51:J53)</f>
        <v>233.905</v>
      </c>
      <c r="K54" s="69" cm="1">
        <f t="array" ref="K54">SUM(K51:K53)</f>
        <v>278.25</v>
      </c>
      <c r="L54" s="70" cm="1">
        <f t="array" ref="L54">SUM(L51:L53)</f>
        <v>514.164</v>
      </c>
      <c r="M54" s="71"/>
      <c r="N54" t="s" s="74">
        <v>40</v>
      </c>
      <c r="O54" s="72"/>
    </row>
    <row r="55" ht="8" customHeight="1">
      <c r="A55" s="68"/>
      <c r="B55" s="69"/>
      <c r="C55" s="69"/>
      <c r="D55" s="70"/>
      <c r="E55" s="68"/>
      <c r="F55" s="69"/>
      <c r="G55" s="69"/>
      <c r="H55" s="70"/>
      <c r="I55" s="68"/>
      <c r="J55" s="69"/>
      <c r="K55" s="69"/>
      <c r="L55" s="70"/>
      <c r="M55" s="71"/>
      <c r="N55" s="74"/>
      <c r="O55" s="72"/>
    </row>
    <row r="56" ht="14.25" customHeight="1">
      <c r="A56" s="68">
        <v>0.77</v>
      </c>
      <c r="B56" s="69">
        <v>31.963</v>
      </c>
      <c r="C56" s="69">
        <v>46.126</v>
      </c>
      <c r="D56" s="70" cm="1">
        <f t="array" ref="D56">SUM(A56:C56)</f>
        <v>78.85899999999999</v>
      </c>
      <c r="E56" s="68">
        <v>0.574</v>
      </c>
      <c r="F56" s="69">
        <v>30.651</v>
      </c>
      <c r="G56" s="69">
        <v>40.137</v>
      </c>
      <c r="H56" s="70" cm="1">
        <f t="array" ref="H56">SUM(E56:G56)</f>
        <v>71.36199999999999</v>
      </c>
      <c r="I56" s="68" cm="1">
        <f t="array" ref="I56">A56+E56</f>
        <v>1.344</v>
      </c>
      <c r="J56" s="69" cm="1">
        <f t="array" ref="J56">B56+F56</f>
        <v>62.614</v>
      </c>
      <c r="K56" s="69" cm="1">
        <f t="array" ref="K56">C56+G56</f>
        <v>86.26300000000001</v>
      </c>
      <c r="L56" s="70" cm="1">
        <f t="array" ref="L56">D56+H56</f>
        <v>150.221</v>
      </c>
      <c r="M56" s="71"/>
      <c r="N56" t="s" s="74">
        <v>41</v>
      </c>
      <c r="O56" s="72">
        <v>2009</v>
      </c>
    </row>
    <row r="57" ht="14.25" customHeight="1">
      <c r="A57" s="68">
        <v>0.481</v>
      </c>
      <c r="B57" s="69">
        <v>30.848</v>
      </c>
      <c r="C57" s="69">
        <v>43.767</v>
      </c>
      <c r="D57" s="70" cm="1">
        <f t="array" ref="D57">SUM(A57:C57)</f>
        <v>75.096</v>
      </c>
      <c r="E57" s="68">
        <v>1.065</v>
      </c>
      <c r="F57" s="69">
        <v>34.629</v>
      </c>
      <c r="G57" s="69">
        <v>36.13</v>
      </c>
      <c r="H57" s="70" cm="1">
        <f t="array" ref="H57">SUM(E57:G57)</f>
        <v>71.824</v>
      </c>
      <c r="I57" s="68" cm="1">
        <f t="array" ref="I57">A57+E57</f>
        <v>1.546</v>
      </c>
      <c r="J57" s="69" cm="1">
        <f t="array" ref="J57">B57+F57</f>
        <v>65.477</v>
      </c>
      <c r="K57" s="69" cm="1">
        <f t="array" ref="K57">C57+G57</f>
        <v>79.89700000000001</v>
      </c>
      <c r="L57" s="70" cm="1">
        <f t="array" ref="L57">D57+H57</f>
        <v>146.92</v>
      </c>
      <c r="M57" s="71"/>
      <c r="N57" t="s" s="74">
        <v>42</v>
      </c>
      <c r="O57" s="72"/>
    </row>
    <row r="58" ht="14.25" customHeight="1">
      <c r="A58" s="68">
        <v>0.603</v>
      </c>
      <c r="B58" s="69">
        <v>38.912</v>
      </c>
      <c r="C58" s="69">
        <v>46.833</v>
      </c>
      <c r="D58" s="70" cm="1">
        <f t="array" ref="D58">SUM(A58:C58)</f>
        <v>86.348</v>
      </c>
      <c r="E58" s="68">
        <v>0.316</v>
      </c>
      <c r="F58" s="69">
        <v>42.962</v>
      </c>
      <c r="G58" s="69">
        <v>48.887</v>
      </c>
      <c r="H58" s="70" cm="1">
        <f t="array" ref="H58">SUM(E58:G58)</f>
        <v>92.16500000000001</v>
      </c>
      <c r="I58" s="68" cm="1">
        <f t="array" ref="I58">A58+E58</f>
        <v>0.919</v>
      </c>
      <c r="J58" s="69" cm="1">
        <f t="array" ref="J58">B58+F58</f>
        <v>81.874</v>
      </c>
      <c r="K58" s="69" cm="1">
        <f t="array" ref="K58">C58+G58</f>
        <v>95.72</v>
      </c>
      <c r="L58" s="70" cm="1">
        <f t="array" ref="L58">D58+H58</f>
        <v>178.513</v>
      </c>
      <c r="M58" s="71"/>
      <c r="N58" t="s" s="74">
        <v>43</v>
      </c>
      <c r="O58" s="72"/>
    </row>
    <row r="59" ht="14.25" customHeight="1">
      <c r="A59" s="68" cm="1">
        <f t="array" ref="A59">SUM(A56:A58)</f>
        <v>1.854</v>
      </c>
      <c r="B59" s="69" cm="1">
        <f t="array" ref="B59">SUM(B56:B58)</f>
        <v>101.723</v>
      </c>
      <c r="C59" s="69" cm="1">
        <f t="array" ref="C59">SUM(C56:C58)</f>
        <v>136.726</v>
      </c>
      <c r="D59" s="70" cm="1">
        <f t="array" ref="D59">SUM(D56:D58)</f>
        <v>240.303</v>
      </c>
      <c r="E59" s="68" cm="1">
        <f t="array" ref="E59">SUM(E56:E58)</f>
        <v>1.955</v>
      </c>
      <c r="F59" s="69" cm="1">
        <f t="array" ref="F59">SUM(F56:F58)</f>
        <v>108.242</v>
      </c>
      <c r="G59" s="69" cm="1">
        <f t="array" ref="G59">SUM(G56:G58)</f>
        <v>125.154</v>
      </c>
      <c r="H59" s="70" cm="1">
        <f t="array" ref="H59">SUM(H56:H58)</f>
        <v>235.351</v>
      </c>
      <c r="I59" s="68" cm="1">
        <f t="array" ref="I59">SUM(I56:I58)</f>
        <v>3.809</v>
      </c>
      <c r="J59" s="69" cm="1">
        <f t="array" ref="J59">SUM(J56:J58)</f>
        <v>209.965</v>
      </c>
      <c r="K59" s="69" cm="1">
        <f t="array" ref="K59">SUM(K56:K58)</f>
        <v>261.88</v>
      </c>
      <c r="L59" s="70" cm="1">
        <f t="array" ref="L59">SUM(L56:L58)</f>
        <v>475.654</v>
      </c>
      <c r="M59" s="71"/>
      <c r="N59" t="s" s="74">
        <v>37</v>
      </c>
      <c r="O59" s="72">
        <v>2009</v>
      </c>
    </row>
    <row r="60" ht="14.25" customHeight="1">
      <c r="A60" s="68">
        <v>0.405</v>
      </c>
      <c r="B60" s="69">
        <v>33.873</v>
      </c>
      <c r="C60" s="69">
        <v>50.49</v>
      </c>
      <c r="D60" s="70" cm="1">
        <f t="array" ref="D60">SUM(A60:C60)</f>
        <v>84.768</v>
      </c>
      <c r="E60" s="68">
        <v>0.621</v>
      </c>
      <c r="F60" s="69">
        <v>39.245</v>
      </c>
      <c r="G60" s="69">
        <v>45.193</v>
      </c>
      <c r="H60" s="70" cm="1">
        <f t="array" ref="H60">SUM(E60:G60)</f>
        <v>85.059</v>
      </c>
      <c r="I60" s="68" cm="1">
        <f t="array" ref="I60">A60+E60</f>
        <v>1.026</v>
      </c>
      <c r="J60" s="69" cm="1">
        <f t="array" ref="J60">B60+F60</f>
        <v>73.11799999999999</v>
      </c>
      <c r="K60" s="69" cm="1">
        <f t="array" ref="K60">C60+G60</f>
        <v>95.68300000000001</v>
      </c>
      <c r="L60" s="70" cm="1">
        <f t="array" ref="L60">D60+H60</f>
        <v>169.827</v>
      </c>
      <c r="M60" s="71"/>
      <c r="N60" t="s" s="74">
        <v>44</v>
      </c>
      <c r="O60" s="72"/>
    </row>
    <row r="61" ht="14.25" customHeight="1">
      <c r="A61" s="68">
        <v>0</v>
      </c>
      <c r="B61" s="69">
        <v>34.037</v>
      </c>
      <c r="C61" s="69">
        <v>54.222</v>
      </c>
      <c r="D61" s="70" cm="1">
        <f t="array" ref="D61">SUM(A61:C61)</f>
        <v>88.259</v>
      </c>
      <c r="E61" s="68">
        <v>0</v>
      </c>
      <c r="F61" s="69">
        <v>33.476</v>
      </c>
      <c r="G61" s="69">
        <v>48.125</v>
      </c>
      <c r="H61" s="70" cm="1">
        <f t="array" ref="H61">SUM(E61:G61)</f>
        <v>81.601</v>
      </c>
      <c r="I61" s="68" cm="1">
        <f t="array" ref="I61">A61+E61</f>
        <v>0</v>
      </c>
      <c r="J61" s="69" cm="1">
        <f t="array" ref="J61">B61+F61</f>
        <v>67.51300000000001</v>
      </c>
      <c r="K61" s="69" cm="1">
        <f t="array" ref="K61">C61+G61</f>
        <v>102.347</v>
      </c>
      <c r="L61" s="70" cm="1">
        <f t="array" ref="L61">D61+H61</f>
        <v>169.86</v>
      </c>
      <c r="M61" s="71"/>
      <c r="N61" t="s" s="74">
        <v>45</v>
      </c>
      <c r="O61" s="72"/>
    </row>
    <row r="62" ht="14.25" customHeight="1">
      <c r="A62" s="68">
        <v>0.005</v>
      </c>
      <c r="B62" s="69">
        <v>35.764</v>
      </c>
      <c r="C62" s="69">
        <v>50.627</v>
      </c>
      <c r="D62" s="70" cm="1">
        <f t="array" ref="D62">SUM(A62:C62)</f>
        <v>86.396</v>
      </c>
      <c r="E62" s="68">
        <v>0.013</v>
      </c>
      <c r="F62" s="69">
        <v>36.203</v>
      </c>
      <c r="G62" s="69">
        <v>51.294</v>
      </c>
      <c r="H62" s="70" cm="1">
        <f t="array" ref="H62">SUM(E62:G62)</f>
        <v>87.51000000000001</v>
      </c>
      <c r="I62" s="68" cm="1">
        <f t="array" ref="I62">A62+E62</f>
        <v>0.018</v>
      </c>
      <c r="J62" s="69" cm="1">
        <f t="array" ref="J62">B62+F62</f>
        <v>71.967</v>
      </c>
      <c r="K62" s="69" cm="1">
        <f t="array" ref="K62">C62+G62</f>
        <v>101.921</v>
      </c>
      <c r="L62" s="70" cm="1">
        <f t="array" ref="L62">D62+H62</f>
        <v>173.906</v>
      </c>
      <c r="M62" s="71"/>
      <c r="N62" t="s" s="74">
        <v>46</v>
      </c>
      <c r="O62" s="72"/>
    </row>
    <row r="63" ht="14.25" customHeight="1">
      <c r="A63" s="68" cm="1">
        <f t="array" ref="A63">SUM(A60:A62)</f>
        <v>0.41</v>
      </c>
      <c r="B63" s="69" cm="1">
        <f t="array" ref="B63">SUM(B60:B62)</f>
        <v>103.674</v>
      </c>
      <c r="C63" s="69" cm="1">
        <f t="array" ref="C63">SUM(C60:C62)</f>
        <v>155.339</v>
      </c>
      <c r="D63" s="70" cm="1">
        <f t="array" ref="D63">SUM(D60:D62)</f>
        <v>259.423</v>
      </c>
      <c r="E63" s="68" cm="1">
        <f t="array" ref="E63">SUM(E60:E62)</f>
        <v>0.634</v>
      </c>
      <c r="F63" s="69" cm="1">
        <f t="array" ref="F63">SUM(F60:F62)</f>
        <v>108.924</v>
      </c>
      <c r="G63" s="69" cm="1">
        <f t="array" ref="G63">SUM(G60:G62)</f>
        <v>144.612</v>
      </c>
      <c r="H63" s="70" cm="1">
        <f t="array" ref="H63">SUM(H60:H62)</f>
        <v>254.17</v>
      </c>
      <c r="I63" s="68" cm="1">
        <f t="array" ref="I63">SUM(I60:I62)</f>
        <v>1.044</v>
      </c>
      <c r="J63" s="69" cm="1">
        <f t="array" ref="J63">SUM(J60:J62)</f>
        <v>212.598</v>
      </c>
      <c r="K63" s="69" cm="1">
        <f t="array" ref="K63">SUM(K60:K62)</f>
        <v>299.951</v>
      </c>
      <c r="L63" s="70" cm="1">
        <f t="array" ref="L63">SUM(L60:L62)</f>
        <v>513.593</v>
      </c>
      <c r="M63" s="71"/>
      <c r="N63" t="s" s="74">
        <v>38</v>
      </c>
      <c r="O63" s="72"/>
    </row>
    <row r="64" ht="14.25" customHeight="1">
      <c r="A64" s="68">
        <v>0.008999999999999999</v>
      </c>
      <c r="B64" s="69">
        <v>31.668</v>
      </c>
      <c r="C64" s="69">
        <v>56.305</v>
      </c>
      <c r="D64" s="70" cm="1">
        <f t="array" ref="D64">SUM(A64:C64)</f>
        <v>87.982</v>
      </c>
      <c r="E64" s="68">
        <v>0.001</v>
      </c>
      <c r="F64" s="69">
        <v>39.715</v>
      </c>
      <c r="G64" s="69">
        <v>44.561</v>
      </c>
      <c r="H64" s="70" cm="1">
        <f t="array" ref="H64">SUM(E64:G64)</f>
        <v>84.277</v>
      </c>
      <c r="I64" s="68" cm="1">
        <f t="array" ref="I64">A64+E64</f>
        <v>0.01</v>
      </c>
      <c r="J64" s="69" cm="1">
        <f t="array" ref="J64">B64+F64</f>
        <v>71.383</v>
      </c>
      <c r="K64" s="69" cm="1">
        <f t="array" ref="K64">C64+G64</f>
        <v>100.866</v>
      </c>
      <c r="L64" s="70" cm="1">
        <f t="array" ref="L64">D64+H64</f>
        <v>172.259</v>
      </c>
      <c r="M64" s="71"/>
      <c r="N64" t="s" s="74">
        <v>47</v>
      </c>
      <c r="O64" s="72"/>
    </row>
    <row r="65" ht="14.25" customHeight="1">
      <c r="A65" s="68">
        <v>0.045</v>
      </c>
      <c r="B65" s="69">
        <v>39.37</v>
      </c>
      <c r="C65" s="69">
        <v>47.56</v>
      </c>
      <c r="D65" s="70" cm="1">
        <f t="array" ref="D65">SUM(A65:C65)</f>
        <v>86.97499999999999</v>
      </c>
      <c r="E65" s="68">
        <v>0.056</v>
      </c>
      <c r="F65" s="69">
        <v>43.288</v>
      </c>
      <c r="G65" s="69">
        <v>47.779</v>
      </c>
      <c r="H65" s="70" cm="1">
        <f t="array" ref="H65">SUM(E65:G65)</f>
        <v>91.123</v>
      </c>
      <c r="I65" s="68" cm="1">
        <f t="array" ref="I65">A65+E65</f>
        <v>0.101</v>
      </c>
      <c r="J65" s="69" cm="1">
        <f t="array" ref="J65">B65+F65</f>
        <v>82.658</v>
      </c>
      <c r="K65" s="69" cm="1">
        <f t="array" ref="K65">C65+G65</f>
        <v>95.339</v>
      </c>
      <c r="L65" s="70" cm="1">
        <f t="array" ref="L65">D65+H65</f>
        <v>178.098</v>
      </c>
      <c r="M65" s="71"/>
      <c r="N65" t="s" s="74">
        <v>48</v>
      </c>
      <c r="O65" s="72"/>
    </row>
    <row r="66" ht="14.25" customHeight="1">
      <c r="A66" s="68">
        <v>0.001</v>
      </c>
      <c r="B66" s="69">
        <v>36.231</v>
      </c>
      <c r="C66" s="69">
        <v>44.658</v>
      </c>
      <c r="D66" s="70" cm="1">
        <f t="array" ref="D66">SUM(A66:C66)</f>
        <v>80.89</v>
      </c>
      <c r="E66" s="68">
        <v>0.008999999999999999</v>
      </c>
      <c r="F66" s="69">
        <v>38.94</v>
      </c>
      <c r="G66" s="69">
        <v>39.854</v>
      </c>
      <c r="H66" s="70" cm="1">
        <f t="array" ref="H66">SUM(E66:G66)</f>
        <v>78.803</v>
      </c>
      <c r="I66" s="68" cm="1">
        <f t="array" ref="I66">A66+E66</f>
        <v>0.01</v>
      </c>
      <c r="J66" s="69" cm="1">
        <f t="array" ref="J66">B66+F66</f>
        <v>75.17100000000001</v>
      </c>
      <c r="K66" s="69" cm="1">
        <f t="array" ref="K66">C66+G66</f>
        <v>84.512</v>
      </c>
      <c r="L66" s="70" cm="1">
        <f t="array" ref="L66">D66+H66</f>
        <v>159.693</v>
      </c>
      <c r="M66" s="71"/>
      <c r="N66" t="s" s="74">
        <v>49</v>
      </c>
      <c r="O66" s="72"/>
    </row>
    <row r="67" ht="14.25" customHeight="1">
      <c r="A67" s="68" cm="1">
        <f t="array" ref="A67">SUM(A64:A66)</f>
        <v>0.055</v>
      </c>
      <c r="B67" s="69" cm="1">
        <f t="array" ref="B67">SUM(B64:B66)</f>
        <v>107.269</v>
      </c>
      <c r="C67" s="69" cm="1">
        <f t="array" ref="C67">SUM(C64:C66)</f>
        <v>148.523</v>
      </c>
      <c r="D67" s="70" cm="1">
        <f t="array" ref="D67">SUM(D64:D66)</f>
        <v>255.847</v>
      </c>
      <c r="E67" s="68" cm="1">
        <f t="array" ref="E67">SUM(E64:E66)</f>
        <v>0.066</v>
      </c>
      <c r="F67" s="69" cm="1">
        <f t="array" ref="F67">SUM(F64:F66)</f>
        <v>121.943</v>
      </c>
      <c r="G67" s="69" cm="1">
        <f t="array" ref="G67">SUM(G64:G66)</f>
        <v>132.194</v>
      </c>
      <c r="H67" s="70" cm="1">
        <f t="array" ref="H67">SUM(H64:H66)</f>
        <v>254.203</v>
      </c>
      <c r="I67" s="68" cm="1">
        <f t="array" ref="I67">SUM(I64:I66)</f>
        <v>0.121</v>
      </c>
      <c r="J67" s="69" cm="1">
        <f t="array" ref="J67">SUM(J64:J66)</f>
        <v>229.212</v>
      </c>
      <c r="K67" s="69" cm="1">
        <f t="array" ref="K67">SUM(K64:K66)</f>
        <v>280.717</v>
      </c>
      <c r="L67" s="70" cm="1">
        <f t="array" ref="L67">SUM(L64:L66)</f>
        <v>510.05</v>
      </c>
      <c r="M67" s="71"/>
      <c r="N67" t="s" s="74">
        <v>39</v>
      </c>
      <c r="O67" s="72"/>
    </row>
    <row r="68" ht="14.25" customHeight="1">
      <c r="A68" s="68">
        <v>0.027</v>
      </c>
      <c r="B68" s="69">
        <v>37.059</v>
      </c>
      <c r="C68" s="69">
        <v>47.474</v>
      </c>
      <c r="D68" s="70" cm="1">
        <f t="array" ref="D68">SUM(A68:C68)</f>
        <v>84.56</v>
      </c>
      <c r="E68" s="68">
        <v>0</v>
      </c>
      <c r="F68" s="69">
        <v>38.5</v>
      </c>
      <c r="G68" s="69">
        <v>42.752</v>
      </c>
      <c r="H68" s="70" cm="1">
        <f t="array" ref="H68">SUM(E68:G68)</f>
        <v>81.252</v>
      </c>
      <c r="I68" s="68" cm="1">
        <f t="array" ref="I68">A68+E68</f>
        <v>0.027</v>
      </c>
      <c r="J68" s="69" cm="1">
        <f t="array" ref="J68">B68+F68</f>
        <v>75.559</v>
      </c>
      <c r="K68" s="69" cm="1">
        <f t="array" ref="K68">C68+G68</f>
        <v>90.226</v>
      </c>
      <c r="L68" s="70" cm="1">
        <f t="array" ref="L68">D68+H68</f>
        <v>165.812</v>
      </c>
      <c r="M68" s="71"/>
      <c r="N68" t="s" s="74">
        <v>50</v>
      </c>
      <c r="O68" s="72"/>
    </row>
    <row r="69" ht="14.25" customHeight="1">
      <c r="A69" s="68">
        <v>0</v>
      </c>
      <c r="B69" s="69">
        <v>39.647</v>
      </c>
      <c r="C69" s="69">
        <v>48.822</v>
      </c>
      <c r="D69" s="70" cm="1">
        <f t="array" ref="D69">SUM(A69:C69)</f>
        <v>88.46899999999999</v>
      </c>
      <c r="E69" s="68">
        <v>0</v>
      </c>
      <c r="F69" s="69">
        <v>39.711</v>
      </c>
      <c r="G69" s="69">
        <v>46.395</v>
      </c>
      <c r="H69" s="70" cm="1">
        <f t="array" ref="H69">SUM(E69:G69)</f>
        <v>86.10599999999999</v>
      </c>
      <c r="I69" s="68" cm="1">
        <f t="array" ref="I69">A69+E69</f>
        <v>0</v>
      </c>
      <c r="J69" s="69" cm="1">
        <f t="array" ref="J69">B69+F69</f>
        <v>79.358</v>
      </c>
      <c r="K69" s="69" cm="1">
        <f t="array" ref="K69">C69+G69</f>
        <v>95.217</v>
      </c>
      <c r="L69" s="70" cm="1">
        <f t="array" ref="L69">D69+H69</f>
        <v>174.575</v>
      </c>
      <c r="M69" s="71"/>
      <c r="N69" t="s" s="74">
        <v>51</v>
      </c>
      <c r="O69" s="72"/>
    </row>
    <row r="70" ht="14.25" customHeight="1">
      <c r="A70" s="68">
        <v>0</v>
      </c>
      <c r="B70" s="69">
        <v>41.588</v>
      </c>
      <c r="C70" s="69">
        <v>54.674</v>
      </c>
      <c r="D70" s="70" cm="1">
        <f t="array" ref="D70">SUM(A70:C70)</f>
        <v>96.262</v>
      </c>
      <c r="E70" s="68">
        <v>0</v>
      </c>
      <c r="F70" s="69">
        <v>44.703</v>
      </c>
      <c r="G70" s="69">
        <v>50.858</v>
      </c>
      <c r="H70" s="70" cm="1">
        <f t="array" ref="H70">SUM(E70:G70)</f>
        <v>95.56100000000001</v>
      </c>
      <c r="I70" s="68" cm="1">
        <f t="array" ref="I70">A70+E70</f>
        <v>0</v>
      </c>
      <c r="J70" s="69" cm="1">
        <f t="array" ref="J70">B70+F70</f>
        <v>86.291</v>
      </c>
      <c r="K70" s="69" cm="1">
        <f t="array" ref="K70">C70+G70</f>
        <v>105.532</v>
      </c>
      <c r="L70" s="70" cm="1">
        <f t="array" ref="L70">D70+H70</f>
        <v>191.823</v>
      </c>
      <c r="M70" s="71"/>
      <c r="N70" t="s" s="74">
        <v>52</v>
      </c>
      <c r="O70" s="72"/>
    </row>
    <row r="71" ht="14.25" customHeight="1">
      <c r="A71" s="68" cm="1">
        <f t="array" ref="A71">SUM(A68:A70)</f>
        <v>0.027</v>
      </c>
      <c r="B71" s="69" cm="1">
        <f t="array" ref="B71">SUM(B68:B70)</f>
        <v>118.294</v>
      </c>
      <c r="C71" s="69" cm="1">
        <f t="array" ref="C71">SUM(C68:C70)</f>
        <v>150.97</v>
      </c>
      <c r="D71" s="70" cm="1">
        <f t="array" ref="D71">SUM(D68:D70)</f>
        <v>269.291</v>
      </c>
      <c r="E71" s="68" cm="1">
        <f t="array" ref="E71">SUM(E68:E70)</f>
        <v>0</v>
      </c>
      <c r="F71" s="69" cm="1">
        <f t="array" ref="F71">SUM(F68:F70)</f>
        <v>122.914</v>
      </c>
      <c r="G71" s="69" cm="1">
        <f t="array" ref="G71">SUM(G68:G70)</f>
        <v>140.005</v>
      </c>
      <c r="H71" s="70" cm="1">
        <f t="array" ref="H71">SUM(H68:H70)</f>
        <v>262.919</v>
      </c>
      <c r="I71" s="68" cm="1">
        <f t="array" ref="I71">SUM(I68:I70)</f>
        <v>0.027</v>
      </c>
      <c r="J71" s="69" cm="1">
        <f t="array" ref="J71">SUM(J68:J70)</f>
        <v>241.208</v>
      </c>
      <c r="K71" s="69" cm="1">
        <f t="array" ref="K71">SUM(K68:K70)</f>
        <v>290.975</v>
      </c>
      <c r="L71" s="70" cm="1">
        <f t="array" ref="L71">SUM(L68:L70)</f>
        <v>532.21</v>
      </c>
      <c r="M71" s="71"/>
      <c r="N71" t="s" s="74">
        <v>40</v>
      </c>
      <c r="O71" s="72"/>
    </row>
    <row r="72" ht="8" customHeight="1">
      <c r="A72" s="68"/>
      <c r="B72" s="69"/>
      <c r="C72" s="69"/>
      <c r="D72" s="70"/>
      <c r="E72" s="68"/>
      <c r="F72" s="69"/>
      <c r="G72" s="69"/>
      <c r="H72" s="70"/>
      <c r="I72" s="68"/>
      <c r="J72" s="69"/>
      <c r="K72" s="69"/>
      <c r="L72" s="70"/>
      <c r="M72" s="71"/>
      <c r="N72" s="74"/>
      <c r="O72" s="72"/>
    </row>
    <row r="73" ht="14.25" customHeight="1">
      <c r="A73" s="68">
        <v>0</v>
      </c>
      <c r="B73" s="69">
        <v>39.067</v>
      </c>
      <c r="C73" s="69">
        <v>46.144</v>
      </c>
      <c r="D73" s="70" cm="1">
        <f t="array" ref="D73">SUM(A73:C73)</f>
        <v>85.211</v>
      </c>
      <c r="E73" s="68">
        <v>0</v>
      </c>
      <c r="F73" s="69">
        <v>42.689</v>
      </c>
      <c r="G73" s="69">
        <v>47.263</v>
      </c>
      <c r="H73" s="70" cm="1">
        <f t="array" ref="H73">SUM(E73:G73)</f>
        <v>89.952</v>
      </c>
      <c r="I73" s="68" cm="1">
        <f t="array" ref="I73">A73+E73</f>
        <v>0</v>
      </c>
      <c r="J73" s="69" cm="1">
        <f t="array" ref="J73">B73+F73</f>
        <v>81.756</v>
      </c>
      <c r="K73" s="69" cm="1">
        <f t="array" ref="K73">C73+G73</f>
        <v>93.407</v>
      </c>
      <c r="L73" s="70" cm="1">
        <f t="array" ref="L73">D73+H73</f>
        <v>175.163</v>
      </c>
      <c r="M73" s="71"/>
      <c r="N73" t="s" s="74">
        <v>41</v>
      </c>
      <c r="O73" s="72">
        <v>2010</v>
      </c>
    </row>
    <row r="74" ht="14.25" customHeight="1">
      <c r="A74" s="68">
        <v>0</v>
      </c>
      <c r="B74" s="69">
        <v>39.352</v>
      </c>
      <c r="C74" s="69">
        <v>46.285</v>
      </c>
      <c r="D74" s="70" cm="1">
        <f t="array" ref="D74">SUM(A74:C74)</f>
        <v>85.637</v>
      </c>
      <c r="E74" s="68">
        <v>0</v>
      </c>
      <c r="F74" s="69">
        <v>44.618</v>
      </c>
      <c r="G74" s="69">
        <v>42.34</v>
      </c>
      <c r="H74" s="70" cm="1">
        <f t="array" ref="H74">SUM(E74:G74)</f>
        <v>86.958</v>
      </c>
      <c r="I74" s="68" cm="1">
        <f t="array" ref="I74">A74+E74</f>
        <v>0</v>
      </c>
      <c r="J74" s="69" cm="1">
        <f t="array" ref="J74">B74+F74</f>
        <v>83.97</v>
      </c>
      <c r="K74" s="69" cm="1">
        <f t="array" ref="K74">C74+G74</f>
        <v>88.625</v>
      </c>
      <c r="L74" s="70" cm="1">
        <f t="array" ref="L74">D74+H74</f>
        <v>172.595</v>
      </c>
      <c r="M74" s="71"/>
      <c r="N74" t="s" s="74">
        <v>42</v>
      </c>
      <c r="O74" s="72"/>
    </row>
    <row r="75" ht="14.25" customHeight="1">
      <c r="A75" s="68">
        <v>0</v>
      </c>
      <c r="B75" s="69">
        <v>43.939</v>
      </c>
      <c r="C75" s="69">
        <v>56.589</v>
      </c>
      <c r="D75" s="70" cm="1">
        <f t="array" ref="D75">SUM(A75:C75)</f>
        <v>100.528</v>
      </c>
      <c r="E75" s="68">
        <v>0</v>
      </c>
      <c r="F75" s="69">
        <v>50.495</v>
      </c>
      <c r="G75" s="69">
        <v>58.698</v>
      </c>
      <c r="H75" s="70" cm="1">
        <f t="array" ref="H75">SUM(E75:G75)</f>
        <v>109.193</v>
      </c>
      <c r="I75" s="68" cm="1">
        <f t="array" ref="I75">A75+E75</f>
        <v>0</v>
      </c>
      <c r="J75" s="69" cm="1">
        <f t="array" ref="J75">B75+F75</f>
        <v>94.434</v>
      </c>
      <c r="K75" s="69" cm="1">
        <f t="array" ref="K75">C75+G75</f>
        <v>115.287</v>
      </c>
      <c r="L75" s="70" cm="1">
        <f t="array" ref="L75">D75+H75</f>
        <v>209.721</v>
      </c>
      <c r="M75" s="71"/>
      <c r="N75" t="s" s="74">
        <v>43</v>
      </c>
      <c r="O75" s="72"/>
    </row>
    <row r="76" ht="14.25" customHeight="1">
      <c r="A76" s="68" cm="1">
        <f t="array" ref="A76">A152+A156+A160+A164</f>
        <v>0.125</v>
      </c>
      <c r="B76" s="69" cm="1">
        <f t="array" ref="B76">B152+B156+B160+B164</f>
        <v>617.76</v>
      </c>
      <c r="C76" s="69" cm="1">
        <f t="array" ref="C76">C152+C156+C160+C164</f>
        <v>607.101</v>
      </c>
      <c r="D76" s="70" cm="1">
        <f t="array" ref="D76">D152+D156+D160+D164</f>
        <v>1224.986</v>
      </c>
      <c r="E76" s="68" cm="1">
        <f t="array" ref="E76">E152+E156+E160+E164</f>
        <v>0.055</v>
      </c>
      <c r="F76" s="69" cm="1">
        <f t="array" ref="F76">F152+F156+F160+F164</f>
        <v>631.946</v>
      </c>
      <c r="G76" s="69" cm="1">
        <f t="array" ref="G76">G152+G156+G160+G164</f>
        <v>589.143</v>
      </c>
      <c r="H76" s="70" cm="1">
        <f t="array" ref="H76">H152+H156+H160+H164</f>
        <v>1221.144</v>
      </c>
      <c r="I76" s="68" cm="1">
        <f t="array" ref="I76">I152+I156+I160+I164</f>
        <v>0.18</v>
      </c>
      <c r="J76" s="69" cm="1">
        <f t="array" ref="J76">J152+J156+J160+J164</f>
        <v>1249.706</v>
      </c>
      <c r="K76" s="69" cm="1">
        <f t="array" ref="K76">K152+K156+K160+K164</f>
        <v>1196.244</v>
      </c>
      <c r="L76" s="70" cm="1">
        <f t="array" ref="L76">L152+L156+L160+L164</f>
        <v>2446.13</v>
      </c>
      <c r="M76" s="71"/>
      <c r="N76" s="74"/>
      <c r="O76" s="72">
        <v>2014</v>
      </c>
    </row>
    <row r="77" ht="14.25" customHeight="1">
      <c r="A77" s="68" cm="1">
        <f t="array" ref="A77">A169+A173+A177+A181</f>
        <v>0.215</v>
      </c>
      <c r="B77" s="69" cm="1">
        <f t="array" ref="B77">B169+B173+B177+B181</f>
        <v>637.651</v>
      </c>
      <c r="C77" s="69" cm="1">
        <f t="array" ref="C77">C169+C173+C177+C181</f>
        <v>610.828</v>
      </c>
      <c r="D77" s="70" cm="1">
        <f t="array" ref="D77">D169+D173+D177+D181</f>
        <v>1248.694</v>
      </c>
      <c r="E77" s="68" cm="1">
        <f t="array" ref="E77">E169+E173+E177+E181</f>
        <v>0.049</v>
      </c>
      <c r="F77" s="69" cm="1">
        <f t="array" ref="F77">F169+F173+F177+F181</f>
        <v>669.116</v>
      </c>
      <c r="G77" s="69" cm="1">
        <f t="array" ref="G77">G169+G173+G177+G181</f>
        <v>603.747</v>
      </c>
      <c r="H77" s="70" cm="1">
        <f t="array" ref="H77">H169+H173+H177+H181</f>
        <v>1272.912</v>
      </c>
      <c r="I77" s="68" cm="1">
        <f t="array" ref="I77">I169+I173+I177+I181</f>
        <v>0.264</v>
      </c>
      <c r="J77" s="69" cm="1">
        <f t="array" ref="J77">J169+J173+J177+J181</f>
        <v>1306.767</v>
      </c>
      <c r="K77" s="69" cm="1">
        <f t="array" ref="K77">K169+K173+K177+K181</f>
        <v>1214.575</v>
      </c>
      <c r="L77" s="70" cm="1">
        <f t="array" ref="L77">L169+L173+L177+L181</f>
        <v>2521.606</v>
      </c>
      <c r="M77" s="71"/>
      <c r="N77" s="74"/>
      <c r="O77" s="72">
        <v>2015</v>
      </c>
    </row>
    <row r="78" ht="14.25" customHeight="1">
      <c r="A78" s="75" cm="1">
        <f t="array" ref="A78">A186+A190+A194+A198</f>
        <v>0.243</v>
      </c>
      <c r="B78" s="69" cm="1">
        <f t="array" ref="B78">B186+B190+B194+B198</f>
        <v>715.4450000000001</v>
      </c>
      <c r="C78" s="69" cm="1">
        <f t="array" ref="C78">C186+C190+C194+C198</f>
        <v>634.504</v>
      </c>
      <c r="D78" s="70" cm="1">
        <f t="array" ref="D78">D186+D190+D194+D198</f>
        <v>1350.192</v>
      </c>
      <c r="E78" s="68" cm="1">
        <f t="array" ref="E78">E186+E190+E194+E198</f>
        <v>0.051</v>
      </c>
      <c r="F78" s="69" cm="1">
        <f t="array" ref="F78">F186+F190+F194+F198</f>
        <v>727.631</v>
      </c>
      <c r="G78" s="69" cm="1">
        <f t="array" ref="G78">G186+G190+G194+G198</f>
        <v>633.434</v>
      </c>
      <c r="H78" s="70" cm="1">
        <f t="array" ref="H78">H186+H190+H194+H198</f>
        <v>1361.116</v>
      </c>
      <c r="I78" s="68" cm="1">
        <f t="array" ref="I78">I186+I190+I194+I198</f>
        <v>0.294</v>
      </c>
      <c r="J78" s="69" cm="1">
        <f t="array" ref="J78">J186+J190+J194+J198</f>
        <v>1443.076</v>
      </c>
      <c r="K78" s="69" cm="1">
        <f t="array" ref="K78">K186+K190+K194+K198</f>
        <v>1267.938</v>
      </c>
      <c r="L78" s="70" cm="1">
        <f t="array" ref="L78">L186+L190+L194+L198</f>
        <v>2711.308</v>
      </c>
      <c r="M78" s="71"/>
      <c r="N78" s="74"/>
      <c r="O78" s="72">
        <v>2016</v>
      </c>
    </row>
    <row r="79" ht="14.25" customHeight="1">
      <c r="A79" s="68" cm="1">
        <f t="array" ref="A79">A203+A207+A211+A215</f>
        <v>0.161</v>
      </c>
      <c r="B79" s="69" cm="1">
        <f t="array" ref="B79">B203+B207+B211+B215</f>
        <v>739.292</v>
      </c>
      <c r="C79" s="69" cm="1">
        <f t="array" ref="C79">C203+C207+C211+C215</f>
        <v>696.574</v>
      </c>
      <c r="D79" s="70" cm="1">
        <f t="array" ref="D79">D203+D207+D211+D215</f>
        <v>1436.027</v>
      </c>
      <c r="E79" s="68" cm="1">
        <f t="array" ref="E79">E203+E207+E211+E215</f>
        <v>0.063</v>
      </c>
      <c r="F79" s="69" cm="1">
        <f t="array" ref="F79">F203+F207+F211+F215</f>
        <v>786.1799999999999</v>
      </c>
      <c r="G79" s="69" cm="1">
        <f t="array" ref="G79">G203+G207+G211+G215</f>
        <v>646.731</v>
      </c>
      <c r="H79" s="70" cm="1">
        <f t="array" ref="H79">H203+H207+H211+H215</f>
        <v>1432.974</v>
      </c>
      <c r="I79" s="68" cm="1">
        <f t="array" ref="I79">I203+I207+I211+I215</f>
        <v>0.224</v>
      </c>
      <c r="J79" s="69" cm="1">
        <f t="array" ref="J79">J203+J207+J211+J215</f>
        <v>1525.472</v>
      </c>
      <c r="K79" s="69" cm="1">
        <f t="array" ref="K79">K203+K207+K211+K215</f>
        <v>1343.305</v>
      </c>
      <c r="L79" s="70" cm="1">
        <f t="array" ref="L79">L203+L207+L211+L215</f>
        <v>2869.001</v>
      </c>
      <c r="M79" s="71"/>
      <c r="N79" s="74"/>
      <c r="O79" s="72">
        <v>2017</v>
      </c>
    </row>
    <row r="80" ht="14.25" customHeight="1">
      <c r="A80" s="68" cm="1">
        <f t="array" ref="A80">A220+A224+A228+A232</f>
        <v>0.215</v>
      </c>
      <c r="B80" s="69" cm="1">
        <f t="array" ref="B80">B220+B224+B228+B232</f>
        <v>709.452</v>
      </c>
      <c r="C80" s="69" cm="1">
        <f t="array" ref="C80">C220+C224+C228+C232</f>
        <v>760.651</v>
      </c>
      <c r="D80" s="70" cm="1">
        <f t="array" ref="D80">D220+D224+D228+D232</f>
        <v>1470.318</v>
      </c>
      <c r="E80" s="68" cm="1">
        <f t="array" ref="E80">E220+E224+E228+E232</f>
        <v>0.005</v>
      </c>
      <c r="F80" s="69" cm="1">
        <f t="array" ref="F80">F220+F224+F228+F232</f>
        <v>767.759</v>
      </c>
      <c r="G80" s="69" cm="1">
        <f t="array" ref="G80">G220+G224+G228+G232</f>
        <v>708.499</v>
      </c>
      <c r="H80" s="70" cm="1">
        <f t="array" ref="H80">H220+H224+H228+H232</f>
        <v>1476.263</v>
      </c>
      <c r="I80" s="68" cm="1">
        <f t="array" ref="I80">I220+I224+I228+I232</f>
        <v>0.22</v>
      </c>
      <c r="J80" s="69" cm="1">
        <f t="array" ref="J80">J220+J224+J228+J232</f>
        <v>1477.211</v>
      </c>
      <c r="K80" s="69" cm="1">
        <f t="array" ref="K80">K220+K224+K228+K232</f>
        <v>1469.15</v>
      </c>
      <c r="L80" s="70" cm="1">
        <f t="array" ref="L80">L220+L224+L228+L232</f>
        <v>2946.581</v>
      </c>
      <c r="M80" s="71"/>
      <c r="N80" s="74"/>
      <c r="O80" s="72">
        <v>2018</v>
      </c>
    </row>
    <row r="81" ht="14.25" customHeight="1">
      <c r="A81" s="68" cm="1">
        <f t="array" ref="A81">A237+A241+A245+A249</f>
        <v>0.117</v>
      </c>
      <c r="B81" s="69" cm="1">
        <f t="array" ref="B81">B237+B241+B245+B249</f>
        <v>731.939</v>
      </c>
      <c r="C81" s="69" cm="1">
        <f t="array" ref="C81">C237+C241+C245+C249</f>
        <v>718.349</v>
      </c>
      <c r="D81" s="70" cm="1">
        <f t="array" ref="D81">D237+D241+D245+D249</f>
        <v>1450.405</v>
      </c>
      <c r="E81" s="68" cm="1">
        <f t="array" ref="E81">E237+E241+E245+E249</f>
        <v>0.054</v>
      </c>
      <c r="F81" s="69" cm="1">
        <f t="array" ref="F81">F237+F241+F245+F249</f>
        <v>805.657</v>
      </c>
      <c r="G81" s="69" cm="1">
        <f t="array" ref="G81">G237+G241+G245+G249</f>
        <v>660.806</v>
      </c>
      <c r="H81" s="70" cm="1">
        <f t="array" ref="H81">H237+H241+H245+H249</f>
        <v>1466.517</v>
      </c>
      <c r="I81" s="68" cm="1">
        <f t="array" ref="I81">I237+I241+I245+I249</f>
        <v>0.171</v>
      </c>
      <c r="J81" s="69" cm="1">
        <f t="array" ref="J81">J237+J241+J245+J249</f>
        <v>1537.596</v>
      </c>
      <c r="K81" s="69" cm="1">
        <f t="array" ref="K81">K237+K241+K245+K249</f>
        <v>1379.155</v>
      </c>
      <c r="L81" s="70" cm="1">
        <f t="array" ref="L81">L237+L241+L245+L249</f>
        <v>2916.922</v>
      </c>
      <c r="M81" s="71"/>
      <c r="N81" s="74"/>
      <c r="O81" s="72">
        <v>2019</v>
      </c>
    </row>
    <row r="82" ht="16" customHeight="1">
      <c r="A82" s="75" cm="1">
        <f t="array" ref="A82">A254+A258+A262+A266</f>
        <v>0.357</v>
      </c>
      <c r="B82" s="76" cm="1">
        <f t="array" ref="B82">B254+B258+B262+B266</f>
        <v>767.154</v>
      </c>
      <c r="C82" s="76" cm="1">
        <f t="array" ref="C82">C254+C258+C262+C266</f>
        <v>754.125</v>
      </c>
      <c r="D82" s="77" cm="1">
        <f t="array" ref="D82">D254+D258+D262+D266</f>
        <v>1521.636</v>
      </c>
      <c r="E82" s="75" cm="1">
        <f t="array" ref="E82">E254+E258+E262+E266</f>
        <v>0.02</v>
      </c>
      <c r="F82" s="76" cm="1">
        <f t="array" ref="F82">F254+F258+F262+F266</f>
        <v>817.345</v>
      </c>
      <c r="G82" s="76" cm="1">
        <f t="array" ref="G82">G254+G258+G262+G266</f>
        <v>710.309</v>
      </c>
      <c r="H82" s="77" cm="1">
        <f t="array" ref="H82">H254+H258+H262+H266</f>
        <v>1527.674</v>
      </c>
      <c r="I82" s="75" cm="1">
        <f t="array" ref="I82">I254+I258+I262+I266</f>
        <v>0.377</v>
      </c>
      <c r="J82" s="76" cm="1">
        <f t="array" ref="J82">J254+J258+J262+J266</f>
        <v>1584.499</v>
      </c>
      <c r="K82" s="76" cm="1">
        <f t="array" ref="K82">K254+K258+K262+K266</f>
        <v>1464.434</v>
      </c>
      <c r="L82" s="77" cm="1">
        <f t="array" ref="L82">L254+L258+L262+L266</f>
        <v>3049.31</v>
      </c>
      <c r="M82" s="78"/>
      <c r="N82" s="79"/>
      <c r="O82" s="80">
        <v>2020</v>
      </c>
    </row>
    <row r="83" ht="8.25" customHeight="1">
      <c r="A83" s="68"/>
      <c r="B83" s="69"/>
      <c r="C83" s="69"/>
      <c r="D83" s="70"/>
      <c r="E83" s="68"/>
      <c r="F83" s="69"/>
      <c r="G83" s="69"/>
      <c r="H83" s="70"/>
      <c r="I83" s="68"/>
      <c r="J83" s="69"/>
      <c r="K83" s="69"/>
      <c r="L83" s="70"/>
      <c r="M83" s="71"/>
      <c r="N83" s="74"/>
      <c r="O83" s="72"/>
    </row>
    <row r="84" ht="14.25" customHeight="1">
      <c r="A84" s="68" cm="1">
        <f t="array" ref="A84">SUM(A73:A75)</f>
        <v>0</v>
      </c>
      <c r="B84" s="69" cm="1">
        <f t="array" ref="B84">SUM(B73:B75)</f>
        <v>122.358</v>
      </c>
      <c r="C84" s="69" cm="1">
        <f t="array" ref="C84">SUM(C73:C75)</f>
        <v>149.018</v>
      </c>
      <c r="D84" s="70" cm="1">
        <f t="array" ref="D84">SUM(D73:D75)</f>
        <v>271.376</v>
      </c>
      <c r="E84" s="68" cm="1">
        <f t="array" ref="E84">SUM(E73:E75)</f>
        <v>0</v>
      </c>
      <c r="F84" s="69" cm="1">
        <f t="array" ref="F84">SUM(F73:F75)</f>
        <v>137.802</v>
      </c>
      <c r="G84" s="69" cm="1">
        <f t="array" ref="G84">SUM(G73:G75)</f>
        <v>148.301</v>
      </c>
      <c r="H84" s="70" cm="1">
        <f t="array" ref="H84">SUM(H73:H75)</f>
        <v>286.103</v>
      </c>
      <c r="I84" s="68" cm="1">
        <f t="array" ref="I84">SUM(I73:I75)</f>
        <v>0</v>
      </c>
      <c r="J84" s="69" cm="1">
        <f t="array" ref="J84">SUM(J73:J75)</f>
        <v>260.16</v>
      </c>
      <c r="K84" s="69" cm="1">
        <f t="array" ref="K84">SUM(K73:K75)</f>
        <v>297.319</v>
      </c>
      <c r="L84" s="70" cm="1">
        <f t="array" ref="L84">SUM(L73:L75)</f>
        <v>557.479</v>
      </c>
      <c r="M84" s="71"/>
      <c r="N84" t="s" s="74">
        <v>37</v>
      </c>
      <c r="O84" s="72">
        <v>2010</v>
      </c>
    </row>
    <row r="85" ht="14.25" customHeight="1">
      <c r="A85" s="68">
        <v>0</v>
      </c>
      <c r="B85" s="69">
        <v>45.249</v>
      </c>
      <c r="C85" s="69">
        <v>54.339</v>
      </c>
      <c r="D85" s="70" cm="1">
        <f t="array" ref="D85">SUM(A85:C85)</f>
        <v>99.58799999999999</v>
      </c>
      <c r="E85" s="68">
        <v>0</v>
      </c>
      <c r="F85" s="69">
        <v>44.228</v>
      </c>
      <c r="G85" s="69">
        <v>50.755</v>
      </c>
      <c r="H85" s="70" cm="1">
        <f t="array" ref="H85">SUM(E85:G85)</f>
        <v>94.983</v>
      </c>
      <c r="I85" s="68" cm="1">
        <f t="array" ref="I85">A85+E85</f>
        <v>0</v>
      </c>
      <c r="J85" s="69" cm="1">
        <f t="array" ref="J85">B85+F85</f>
        <v>89.477</v>
      </c>
      <c r="K85" s="69" cm="1">
        <f t="array" ref="K85">C85+G85</f>
        <v>105.094</v>
      </c>
      <c r="L85" s="70" cm="1">
        <f t="array" ref="L85">D85+H85</f>
        <v>194.571</v>
      </c>
      <c r="M85" s="71"/>
      <c r="N85" t="s" s="74">
        <v>44</v>
      </c>
      <c r="O85" s="72"/>
    </row>
    <row r="86" ht="14.25" customHeight="1">
      <c r="A86" s="68">
        <v>0</v>
      </c>
      <c r="B86" s="69">
        <v>47.099</v>
      </c>
      <c r="C86" s="69">
        <v>58.496</v>
      </c>
      <c r="D86" s="70" cm="1">
        <f t="array" ref="D86">SUM(A86:C86)</f>
        <v>105.595</v>
      </c>
      <c r="E86" s="68">
        <v>0</v>
      </c>
      <c r="F86" s="69">
        <v>42.952</v>
      </c>
      <c r="G86" s="69">
        <v>55.722</v>
      </c>
      <c r="H86" s="70" cm="1">
        <f t="array" ref="H86">SUM(E86:G86)</f>
        <v>98.67400000000001</v>
      </c>
      <c r="I86" s="68" cm="1">
        <f t="array" ref="I86">A86+E86</f>
        <v>0</v>
      </c>
      <c r="J86" s="69" cm="1">
        <f t="array" ref="J86">B86+F86</f>
        <v>90.051</v>
      </c>
      <c r="K86" s="69" cm="1">
        <f t="array" ref="K86">C86+G86</f>
        <v>114.218</v>
      </c>
      <c r="L86" s="70" cm="1">
        <f t="array" ref="L86">D86+H86</f>
        <v>204.269</v>
      </c>
      <c r="M86" s="71"/>
      <c r="N86" t="s" s="74">
        <v>45</v>
      </c>
      <c r="O86" s="72"/>
    </row>
    <row r="87" ht="14.25" customHeight="1">
      <c r="A87" s="68">
        <v>0</v>
      </c>
      <c r="B87" s="69">
        <v>42.515</v>
      </c>
      <c r="C87" s="69">
        <v>61.603</v>
      </c>
      <c r="D87" s="70" cm="1">
        <f t="array" ref="D87">SUM(A87:C87)</f>
        <v>104.118</v>
      </c>
      <c r="E87" s="68">
        <v>0</v>
      </c>
      <c r="F87" s="69">
        <v>44.218</v>
      </c>
      <c r="G87" s="69">
        <v>52.955</v>
      </c>
      <c r="H87" s="70" cm="1">
        <f t="array" ref="H87">SUM(E87:G87)</f>
        <v>97.173</v>
      </c>
      <c r="I87" s="68" cm="1">
        <f t="array" ref="I87">A87+E87</f>
        <v>0</v>
      </c>
      <c r="J87" s="69" cm="1">
        <f t="array" ref="J87">B87+F87</f>
        <v>86.733</v>
      </c>
      <c r="K87" s="69" cm="1">
        <f t="array" ref="K87">C87+G87</f>
        <v>114.558</v>
      </c>
      <c r="L87" s="70" cm="1">
        <f t="array" ref="L87">D87+H87</f>
        <v>201.291</v>
      </c>
      <c r="M87" s="71"/>
      <c r="N87" t="s" s="74">
        <v>46</v>
      </c>
      <c r="O87" s="72"/>
    </row>
    <row r="88" ht="14.25" customHeight="1">
      <c r="A88" s="68" cm="1">
        <f t="array" ref="A88">SUM(A85:A87)</f>
        <v>0</v>
      </c>
      <c r="B88" s="69" cm="1">
        <f t="array" ref="B88">SUM(B85:B87)</f>
        <v>134.863</v>
      </c>
      <c r="C88" s="69" cm="1">
        <f t="array" ref="C88">SUM(C85:C87)</f>
        <v>174.438</v>
      </c>
      <c r="D88" s="70" cm="1">
        <f t="array" ref="D88">SUM(D85:D87)</f>
        <v>309.301</v>
      </c>
      <c r="E88" s="68" cm="1">
        <f t="array" ref="E88">SUM(E85:E87)</f>
        <v>0</v>
      </c>
      <c r="F88" s="69" cm="1">
        <f t="array" ref="F88">SUM(F85:F87)</f>
        <v>131.398</v>
      </c>
      <c r="G88" s="69" cm="1">
        <f t="array" ref="G88">SUM(G85:G87)</f>
        <v>159.432</v>
      </c>
      <c r="H88" s="70" cm="1">
        <f t="array" ref="H88">SUM(H85:H87)</f>
        <v>290.83</v>
      </c>
      <c r="I88" s="68" cm="1">
        <f t="array" ref="I88">SUM(I85:I87)</f>
        <v>0</v>
      </c>
      <c r="J88" s="69" cm="1">
        <f t="array" ref="J88">SUM(J85:J87)</f>
        <v>266.261</v>
      </c>
      <c r="K88" s="69" cm="1">
        <f t="array" ref="K88">SUM(K85:K87)</f>
        <v>333.87</v>
      </c>
      <c r="L88" s="70" cm="1">
        <f t="array" ref="L88">SUM(L85:L87)</f>
        <v>600.131</v>
      </c>
      <c r="M88" s="71"/>
      <c r="N88" t="s" s="74">
        <v>38</v>
      </c>
      <c r="O88" s="72"/>
    </row>
    <row r="89" ht="14.25" customHeight="1">
      <c r="A89" s="68">
        <v>0</v>
      </c>
      <c r="B89" s="69">
        <v>39.49</v>
      </c>
      <c r="C89" s="69">
        <v>56.022</v>
      </c>
      <c r="D89" s="70" cm="1">
        <f t="array" ref="D89">SUM(A89:C89)</f>
        <v>95.512</v>
      </c>
      <c r="E89" s="68">
        <v>0</v>
      </c>
      <c r="F89" s="69">
        <v>44.223</v>
      </c>
      <c r="G89" s="69">
        <v>54.966</v>
      </c>
      <c r="H89" s="70" cm="1">
        <f t="array" ref="H89">SUM(E89:G89)</f>
        <v>99.18899999999999</v>
      </c>
      <c r="I89" s="68" cm="1">
        <f t="array" ref="I89">A89+E89</f>
        <v>0</v>
      </c>
      <c r="J89" s="69" cm="1">
        <f t="array" ref="J89">B89+F89</f>
        <v>83.71299999999999</v>
      </c>
      <c r="K89" s="69" cm="1">
        <f t="array" ref="K89">C89+G89</f>
        <v>110.988</v>
      </c>
      <c r="L89" s="70" cm="1">
        <f t="array" ref="L89">D89+H89</f>
        <v>194.701</v>
      </c>
      <c r="M89" s="71"/>
      <c r="N89" t="s" s="74">
        <v>47</v>
      </c>
      <c r="O89" s="72"/>
    </row>
    <row r="90" ht="14.25" customHeight="1">
      <c r="A90" s="68">
        <v>0</v>
      </c>
      <c r="B90" s="69">
        <v>36.038</v>
      </c>
      <c r="C90" s="69">
        <v>58.516</v>
      </c>
      <c r="D90" s="70" cm="1">
        <f t="array" ref="D90">SUM(A90:C90)</f>
        <v>94.554</v>
      </c>
      <c r="E90" s="68">
        <v>0</v>
      </c>
      <c r="F90" s="69">
        <v>43.13</v>
      </c>
      <c r="G90" s="69">
        <v>60.161</v>
      </c>
      <c r="H90" s="70" cm="1">
        <f t="array" ref="H90">SUM(E90:G90)</f>
        <v>103.291</v>
      </c>
      <c r="I90" s="68" cm="1">
        <f t="array" ref="I90">A90+E90</f>
        <v>0</v>
      </c>
      <c r="J90" s="69" cm="1">
        <f t="array" ref="J90">B90+F90</f>
        <v>79.16800000000001</v>
      </c>
      <c r="K90" s="69" cm="1">
        <f t="array" ref="K90">C90+G90</f>
        <v>118.677</v>
      </c>
      <c r="L90" s="70" cm="1">
        <f t="array" ref="L90">D90+H90</f>
        <v>197.845</v>
      </c>
      <c r="M90" s="71"/>
      <c r="N90" t="s" s="74">
        <v>48</v>
      </c>
      <c r="O90" s="72"/>
    </row>
    <row r="91" ht="14.25" customHeight="1">
      <c r="A91" s="68">
        <v>0</v>
      </c>
      <c r="B91" s="69">
        <v>36.124</v>
      </c>
      <c r="C91" s="69">
        <v>51.471</v>
      </c>
      <c r="D91" s="70" cm="1">
        <f t="array" ref="D91">SUM(A91:C91)</f>
        <v>87.595</v>
      </c>
      <c r="E91" s="68">
        <v>0</v>
      </c>
      <c r="F91" s="69">
        <v>33.569</v>
      </c>
      <c r="G91" s="69">
        <v>53.775</v>
      </c>
      <c r="H91" s="70" cm="1">
        <f t="array" ref="H91">SUM(E91:G91)</f>
        <v>87.34399999999999</v>
      </c>
      <c r="I91" s="68" cm="1">
        <f t="array" ref="I91">A91+E91</f>
        <v>0</v>
      </c>
      <c r="J91" s="69" cm="1">
        <f t="array" ref="J91">B91+F91</f>
        <v>69.693</v>
      </c>
      <c r="K91" s="69" cm="1">
        <f t="array" ref="K91">C91+G91</f>
        <v>105.246</v>
      </c>
      <c r="L91" s="70" cm="1">
        <f t="array" ref="L91">D91+H91</f>
        <v>174.939</v>
      </c>
      <c r="M91" s="71"/>
      <c r="N91" t="s" s="74">
        <v>49</v>
      </c>
      <c r="O91" s="72"/>
    </row>
    <row r="92" ht="14.25" customHeight="1">
      <c r="A92" s="68" cm="1">
        <f t="array" ref="A92">SUM(A89:A91)</f>
        <v>0</v>
      </c>
      <c r="B92" s="69" cm="1">
        <f t="array" ref="B92">SUM(B89:B91)</f>
        <v>111.652</v>
      </c>
      <c r="C92" s="69" cm="1">
        <f t="array" ref="C92">SUM(C89:C91)</f>
        <v>166.009</v>
      </c>
      <c r="D92" s="70" cm="1">
        <f t="array" ref="D92">SUM(D89:D91)</f>
        <v>277.661</v>
      </c>
      <c r="E92" s="68" cm="1">
        <f t="array" ref="E92">SUM(E89:E91)</f>
        <v>0</v>
      </c>
      <c r="F92" s="69" cm="1">
        <f t="array" ref="F92">SUM(F89:F91)</f>
        <v>120.922</v>
      </c>
      <c r="G92" s="69" cm="1">
        <f t="array" ref="G92">SUM(G89:G91)</f>
        <v>168.902</v>
      </c>
      <c r="H92" s="70" cm="1">
        <f t="array" ref="H92">SUM(H89:H91)</f>
        <v>289.824</v>
      </c>
      <c r="I92" s="68" cm="1">
        <f t="array" ref="I92">SUM(I89:I91)</f>
        <v>0</v>
      </c>
      <c r="J92" s="69" cm="1">
        <f t="array" ref="J92">SUM(J89:J91)</f>
        <v>232.574</v>
      </c>
      <c r="K92" s="69" cm="1">
        <f t="array" ref="K92">SUM(K89:K91)</f>
        <v>334.911</v>
      </c>
      <c r="L92" s="70" cm="1">
        <f t="array" ref="L92">SUM(L89:L91)</f>
        <v>567.485</v>
      </c>
      <c r="M92" s="71"/>
      <c r="N92" t="s" s="74">
        <v>39</v>
      </c>
      <c r="O92" s="72"/>
    </row>
    <row r="93" ht="14.25" customHeight="1">
      <c r="A93" s="68">
        <v>0</v>
      </c>
      <c r="B93" s="69">
        <v>42.629</v>
      </c>
      <c r="C93" s="69">
        <v>51.043</v>
      </c>
      <c r="D93" s="70" cm="1">
        <f t="array" ref="D93">SUM(A93:C93)</f>
        <v>93.672</v>
      </c>
      <c r="E93" s="68">
        <v>0</v>
      </c>
      <c r="F93" s="69">
        <v>39.854</v>
      </c>
      <c r="G93" s="69">
        <v>49.392</v>
      </c>
      <c r="H93" s="70" cm="1">
        <f t="array" ref="H93">SUM(E93:G93)</f>
        <v>89.246</v>
      </c>
      <c r="I93" s="68" cm="1">
        <f t="array" ref="I93">A93+E93</f>
        <v>0</v>
      </c>
      <c r="J93" s="69" cm="1">
        <f t="array" ref="J93">B93+F93</f>
        <v>82.483</v>
      </c>
      <c r="K93" s="69" cm="1">
        <f t="array" ref="K93">C93+G93</f>
        <v>100.435</v>
      </c>
      <c r="L93" s="70" cm="1">
        <f t="array" ref="L93">D93+H93</f>
        <v>182.918</v>
      </c>
      <c r="M93" s="71"/>
      <c r="N93" t="s" s="74">
        <v>50</v>
      </c>
      <c r="O93" s="72"/>
    </row>
    <row r="94" ht="14.25" customHeight="1">
      <c r="A94" s="68">
        <v>0</v>
      </c>
      <c r="B94" s="69">
        <v>44.357</v>
      </c>
      <c r="C94" s="69">
        <v>51.28</v>
      </c>
      <c r="D94" s="70" cm="1">
        <f t="array" ref="D94">SUM(A94:C94)</f>
        <v>95.637</v>
      </c>
      <c r="E94" s="68">
        <v>0</v>
      </c>
      <c r="F94" s="69">
        <v>44.34</v>
      </c>
      <c r="G94" s="69">
        <v>50.822</v>
      </c>
      <c r="H94" s="70" cm="1">
        <f t="array" ref="H94">SUM(E94:G94)</f>
        <v>95.16200000000001</v>
      </c>
      <c r="I94" s="68" cm="1">
        <f t="array" ref="I94">A94+E94</f>
        <v>0</v>
      </c>
      <c r="J94" s="69" cm="1">
        <f t="array" ref="J94">B94+F94</f>
        <v>88.697</v>
      </c>
      <c r="K94" s="69" cm="1">
        <f t="array" ref="K94">C94+G94</f>
        <v>102.102</v>
      </c>
      <c r="L94" s="70" cm="1">
        <f t="array" ref="L94">D94+H94</f>
        <v>190.799</v>
      </c>
      <c r="M94" s="71"/>
      <c r="N94" t="s" s="74">
        <v>51</v>
      </c>
      <c r="O94" s="72"/>
    </row>
    <row r="95" ht="14.25" customHeight="1">
      <c r="A95" s="68">
        <v>0</v>
      </c>
      <c r="B95" s="69">
        <v>42.058</v>
      </c>
      <c r="C95" s="69">
        <v>47.904</v>
      </c>
      <c r="D95" s="70" cm="1">
        <f t="array" ref="D95">SUM(A95:C95)</f>
        <v>89.962</v>
      </c>
      <c r="E95" s="68">
        <v>0</v>
      </c>
      <c r="F95" s="69">
        <v>45.349</v>
      </c>
      <c r="G95" s="69">
        <v>49.916</v>
      </c>
      <c r="H95" s="70" cm="1">
        <f t="array" ref="H95">SUM(E95:G95)</f>
        <v>95.265</v>
      </c>
      <c r="I95" s="68" cm="1">
        <f t="array" ref="I95">A95+E95</f>
        <v>0</v>
      </c>
      <c r="J95" s="69" cm="1">
        <f t="array" ref="J95">B95+F95</f>
        <v>87.407</v>
      </c>
      <c r="K95" s="69" cm="1">
        <f t="array" ref="K95">C95+G95</f>
        <v>97.81999999999999</v>
      </c>
      <c r="L95" s="70" cm="1">
        <f t="array" ref="L95">D95+H95</f>
        <v>185.227</v>
      </c>
      <c r="M95" s="71"/>
      <c r="N95" t="s" s="74">
        <v>52</v>
      </c>
      <c r="O95" s="72"/>
    </row>
    <row r="96" ht="14.25" customHeight="1">
      <c r="A96" s="68" cm="1">
        <f t="array" ref="A96">SUM(A93:A95)</f>
        <v>0</v>
      </c>
      <c r="B96" s="69" cm="1">
        <f t="array" ref="B96">SUM(B93:B95)</f>
        <v>129.044</v>
      </c>
      <c r="C96" s="69" cm="1">
        <f t="array" ref="C96">SUM(C93:C95)</f>
        <v>150.227</v>
      </c>
      <c r="D96" s="70" cm="1">
        <f t="array" ref="D96">SUM(D93:D95)</f>
        <v>279.271</v>
      </c>
      <c r="E96" s="68" cm="1">
        <f t="array" ref="E96">SUM(E93:E95)</f>
        <v>0</v>
      </c>
      <c r="F96" s="69" cm="1">
        <f t="array" ref="F96">SUM(F93:F95)</f>
        <v>129.543</v>
      </c>
      <c r="G96" s="69" cm="1">
        <f t="array" ref="G96">SUM(G93:G95)</f>
        <v>150.13</v>
      </c>
      <c r="H96" s="70" cm="1">
        <f t="array" ref="H96">SUM(H93:H95)</f>
        <v>279.673</v>
      </c>
      <c r="I96" s="68" cm="1">
        <f t="array" ref="I96">SUM(I93:I95)</f>
        <v>0</v>
      </c>
      <c r="J96" s="69" cm="1">
        <f t="array" ref="J96">SUM(J93:J95)</f>
        <v>258.587</v>
      </c>
      <c r="K96" s="69" cm="1">
        <f t="array" ref="K96">SUM(K93:K95)</f>
        <v>300.357</v>
      </c>
      <c r="L96" s="70" cm="1">
        <f t="array" ref="L96">SUM(L93:L95)</f>
        <v>558.944</v>
      </c>
      <c r="M96" s="71"/>
      <c r="N96" t="s" s="74">
        <v>40</v>
      </c>
      <c r="O96" s="72"/>
    </row>
    <row r="97" ht="8.25" customHeight="1">
      <c r="A97" s="68"/>
      <c r="B97" s="69"/>
      <c r="C97" s="69"/>
      <c r="D97" s="70"/>
      <c r="E97" s="68"/>
      <c r="F97" s="69"/>
      <c r="G97" s="69"/>
      <c r="H97" s="70"/>
      <c r="I97" s="68"/>
      <c r="J97" s="69"/>
      <c r="K97" s="69"/>
      <c r="L97" s="70"/>
      <c r="M97" s="71"/>
      <c r="N97" s="74"/>
      <c r="O97" s="72"/>
    </row>
    <row r="98" ht="12.75" customHeight="1">
      <c r="A98" s="68">
        <v>0</v>
      </c>
      <c r="B98" s="69">
        <v>41.658</v>
      </c>
      <c r="C98" s="69">
        <v>42.923</v>
      </c>
      <c r="D98" s="70" cm="1">
        <f t="array" ref="D98">SUM(A98:C98)</f>
        <v>84.581</v>
      </c>
      <c r="E98" s="68">
        <v>0</v>
      </c>
      <c r="F98" s="69">
        <v>45.741</v>
      </c>
      <c r="G98" s="69">
        <v>43.595</v>
      </c>
      <c r="H98" s="70" cm="1">
        <f t="array" ref="H98">SUM(E98:G98)</f>
        <v>89.336</v>
      </c>
      <c r="I98" s="68" cm="1">
        <f t="array" ref="I98">E98+A98</f>
        <v>0</v>
      </c>
      <c r="J98" s="69" cm="1">
        <f t="array" ref="J98">F98+B98</f>
        <v>87.399</v>
      </c>
      <c r="K98" s="69" cm="1">
        <f t="array" ref="K98">G98+C98</f>
        <v>86.518</v>
      </c>
      <c r="L98" s="70" cm="1">
        <f t="array" ref="L98">H98+D98</f>
        <v>173.917</v>
      </c>
      <c r="M98" s="71"/>
      <c r="N98" t="s" s="74">
        <v>41</v>
      </c>
      <c r="O98" s="72">
        <v>2011</v>
      </c>
    </row>
    <row r="99" ht="14.25" customHeight="1">
      <c r="A99" s="68">
        <v>0</v>
      </c>
      <c r="B99" s="69">
        <v>44.849</v>
      </c>
      <c r="C99" s="69">
        <v>50.293</v>
      </c>
      <c r="D99" s="70" cm="1">
        <f t="array" ref="D99">SUM(A99:C99)</f>
        <v>95.142</v>
      </c>
      <c r="E99" s="68">
        <v>0</v>
      </c>
      <c r="F99" s="69">
        <v>49.848</v>
      </c>
      <c r="G99" s="69">
        <v>49.804</v>
      </c>
      <c r="H99" s="70" cm="1">
        <f t="array" ref="H99">SUM(E99:G99)</f>
        <v>99.652</v>
      </c>
      <c r="I99" s="68" cm="1">
        <f t="array" ref="I99">E99+A99</f>
        <v>0</v>
      </c>
      <c r="J99" s="69" cm="1">
        <f t="array" ref="J99">F99+B99</f>
        <v>94.697</v>
      </c>
      <c r="K99" s="69" cm="1">
        <f t="array" ref="K99">G99+C99</f>
        <v>100.097</v>
      </c>
      <c r="L99" s="70" cm="1">
        <f t="array" ref="L99">H99+D99</f>
        <v>194.794</v>
      </c>
      <c r="M99" s="71"/>
      <c r="N99" t="s" s="74">
        <v>42</v>
      </c>
      <c r="O99" s="72"/>
    </row>
    <row r="100" ht="14.25" customHeight="1">
      <c r="A100" s="68">
        <v>0</v>
      </c>
      <c r="B100" s="69">
        <v>56.096</v>
      </c>
      <c r="C100" s="69">
        <v>58.274</v>
      </c>
      <c r="D100" s="70" cm="1">
        <f t="array" ref="D100">SUM(A100:C100)</f>
        <v>114.37</v>
      </c>
      <c r="E100" s="68">
        <v>0</v>
      </c>
      <c r="F100" s="69">
        <v>59.095</v>
      </c>
      <c r="G100" s="69">
        <v>57.096</v>
      </c>
      <c r="H100" s="70" cm="1">
        <f t="array" ref="H100">SUM(E100:G100)</f>
        <v>116.191</v>
      </c>
      <c r="I100" s="68" cm="1">
        <f t="array" ref="I100">E100+A100</f>
        <v>0</v>
      </c>
      <c r="J100" s="69" cm="1">
        <f t="array" ref="J100">F100+B100</f>
        <v>115.191</v>
      </c>
      <c r="K100" s="69" cm="1">
        <f t="array" ref="K100">G100+C100</f>
        <v>115.37</v>
      </c>
      <c r="L100" s="70" cm="1">
        <f t="array" ref="L100">H100+D100</f>
        <v>230.561</v>
      </c>
      <c r="M100" s="71"/>
      <c r="N100" t="s" s="74">
        <v>43</v>
      </c>
      <c r="O100" s="72"/>
    </row>
    <row r="101" ht="14.25" customHeight="1">
      <c r="A101" s="68" cm="1">
        <f t="array" ref="A101">SUM(A98:A100)</f>
        <v>0</v>
      </c>
      <c r="B101" s="69" cm="1">
        <f t="array" ref="B101">SUM(B98:B100)</f>
        <v>142.603</v>
      </c>
      <c r="C101" s="69" cm="1">
        <f t="array" ref="C101">SUM(C98:C100)</f>
        <v>151.49</v>
      </c>
      <c r="D101" s="70" cm="1">
        <f t="array" ref="D101">SUM(D98:D100)</f>
        <v>294.093</v>
      </c>
      <c r="E101" s="68" cm="1">
        <f t="array" ref="E101">SUM(E98:E100)</f>
        <v>0</v>
      </c>
      <c r="F101" s="69" cm="1">
        <f t="array" ref="F101">SUM(F98:F100)</f>
        <v>154.684</v>
      </c>
      <c r="G101" s="69" cm="1">
        <f t="array" ref="G101">SUM(G98:G100)</f>
        <v>150.495</v>
      </c>
      <c r="H101" s="70" cm="1">
        <f t="array" ref="H101">SUM(H98:H100)</f>
        <v>305.179</v>
      </c>
      <c r="I101" s="68" cm="1">
        <f t="array" ref="I101">SUM(I98:I100)</f>
        <v>0</v>
      </c>
      <c r="J101" s="69" cm="1">
        <f t="array" ref="J101">SUM(J98:J100)</f>
        <v>297.287</v>
      </c>
      <c r="K101" s="69" cm="1">
        <f t="array" ref="K101">SUM(K98:K100)</f>
        <v>301.985</v>
      </c>
      <c r="L101" s="70" cm="1">
        <f t="array" ref="L101">SUM(L98:L100)</f>
        <v>599.272</v>
      </c>
      <c r="M101" s="71"/>
      <c r="N101" t="s" s="74">
        <v>37</v>
      </c>
      <c r="O101" s="72">
        <v>2011</v>
      </c>
    </row>
    <row r="102" ht="14.25" customHeight="1">
      <c r="A102" s="68">
        <v>0</v>
      </c>
      <c r="B102" s="69">
        <v>52.101</v>
      </c>
      <c r="C102" s="69">
        <v>49.462</v>
      </c>
      <c r="D102" s="70" cm="1">
        <f t="array" ref="D102">SUM(A102:C102)</f>
        <v>101.563</v>
      </c>
      <c r="E102" s="68">
        <v>0.049</v>
      </c>
      <c r="F102" s="69">
        <v>53.056</v>
      </c>
      <c r="G102" s="69">
        <v>53.503</v>
      </c>
      <c r="H102" s="70" cm="1">
        <f t="array" ref="H102">SUM(E102:G102)</f>
        <v>106.608</v>
      </c>
      <c r="I102" s="68" cm="1">
        <f t="array" ref="I102">A102+E102</f>
        <v>0.049</v>
      </c>
      <c r="J102" s="69" cm="1">
        <f t="array" ref="J102">B102+F102</f>
        <v>105.157</v>
      </c>
      <c r="K102" s="69" cm="1">
        <f t="array" ref="K102">C102+G102</f>
        <v>102.965</v>
      </c>
      <c r="L102" s="70" cm="1">
        <f t="array" ref="L102">D102+H102</f>
        <v>208.171</v>
      </c>
      <c r="M102" s="71"/>
      <c r="N102" t="s" s="74">
        <v>44</v>
      </c>
      <c r="O102" s="72"/>
    </row>
    <row r="103" ht="14.25" customHeight="1">
      <c r="A103" s="68">
        <v>0</v>
      </c>
      <c r="B103" s="69">
        <v>44.328</v>
      </c>
      <c r="C103" s="69">
        <v>54.169</v>
      </c>
      <c r="D103" s="70" cm="1">
        <f t="array" ref="D103">SUM(A103:C103)</f>
        <v>98.497</v>
      </c>
      <c r="E103" s="68">
        <v>0</v>
      </c>
      <c r="F103" s="69">
        <v>45.163</v>
      </c>
      <c r="G103" s="69">
        <v>63.039</v>
      </c>
      <c r="H103" s="70" cm="1">
        <f t="array" ref="H103">SUM(E103:G103)</f>
        <v>108.202</v>
      </c>
      <c r="I103" s="68" cm="1">
        <f t="array" ref="I103">A103+E103</f>
        <v>0</v>
      </c>
      <c r="J103" s="69" cm="1">
        <f t="array" ref="J103">B103+F103</f>
        <v>89.491</v>
      </c>
      <c r="K103" s="69" cm="1">
        <f t="array" ref="K103">C103+G103</f>
        <v>117.208</v>
      </c>
      <c r="L103" s="70" cm="1">
        <f t="array" ref="L103">D103+H103</f>
        <v>206.699</v>
      </c>
      <c r="M103" s="71"/>
      <c r="N103" t="s" s="74">
        <v>45</v>
      </c>
      <c r="O103" s="72"/>
    </row>
    <row r="104" ht="14.25" customHeight="1">
      <c r="A104" s="68">
        <v>0</v>
      </c>
      <c r="B104" s="69">
        <v>57.099</v>
      </c>
      <c r="C104" s="69">
        <v>64.569</v>
      </c>
      <c r="D104" s="70" cm="1">
        <f t="array" ref="D104">SUM(A104:C104)</f>
        <v>121.668</v>
      </c>
      <c r="E104" s="68">
        <v>0</v>
      </c>
      <c r="F104" s="69">
        <v>50.66</v>
      </c>
      <c r="G104" s="69">
        <v>53.509</v>
      </c>
      <c r="H104" s="70" cm="1">
        <f t="array" ref="H104">SUM(E104:G104)</f>
        <v>104.169</v>
      </c>
      <c r="I104" s="68" cm="1">
        <f t="array" ref="I104">A104+E104</f>
        <v>0</v>
      </c>
      <c r="J104" s="69" cm="1">
        <f t="array" ref="J104">B104+F104</f>
        <v>107.759</v>
      </c>
      <c r="K104" s="69" cm="1">
        <f t="array" ref="K104">C104+G104</f>
        <v>118.078</v>
      </c>
      <c r="L104" s="70" cm="1">
        <f t="array" ref="L104">D104+H104</f>
        <v>225.837</v>
      </c>
      <c r="M104" s="71"/>
      <c r="N104" t="s" s="74">
        <v>46</v>
      </c>
      <c r="O104" s="72"/>
    </row>
    <row r="105" ht="14.25" customHeight="1">
      <c r="A105" s="68" cm="1">
        <f t="array" ref="A105">SUM(A102:A104)</f>
        <v>0</v>
      </c>
      <c r="B105" s="69" cm="1">
        <f t="array" ref="B105">SUM(B102:B104)</f>
        <v>153.528</v>
      </c>
      <c r="C105" s="69" cm="1">
        <f t="array" ref="C105">SUM(C102:C104)</f>
        <v>168.2</v>
      </c>
      <c r="D105" s="70" cm="1">
        <f t="array" ref="D105">SUM(D102:D104)</f>
        <v>321.728</v>
      </c>
      <c r="E105" s="68" cm="1">
        <f t="array" ref="E105">SUM(E102:E104)</f>
        <v>0.049</v>
      </c>
      <c r="F105" s="69" cm="1">
        <f t="array" ref="F105">SUM(F102:F104)</f>
        <v>148.879</v>
      </c>
      <c r="G105" s="69" cm="1">
        <f t="array" ref="G105">SUM(G102:G104)</f>
        <v>170.051</v>
      </c>
      <c r="H105" s="70" cm="1">
        <f t="array" ref="H105">SUM(H102:H104)</f>
        <v>318.979</v>
      </c>
      <c r="I105" s="68" cm="1">
        <f t="array" ref="I105">SUM(I102:I104)</f>
        <v>0.049</v>
      </c>
      <c r="J105" s="69" cm="1">
        <f t="array" ref="J105">SUM(J102:J104)</f>
        <v>302.407</v>
      </c>
      <c r="K105" s="69" cm="1">
        <f t="array" ref="K105">SUM(K102:K104)</f>
        <v>338.251</v>
      </c>
      <c r="L105" s="70" cm="1">
        <f t="array" ref="L105">SUM(L102:L104)</f>
        <v>640.707</v>
      </c>
      <c r="M105" s="71"/>
      <c r="N105" t="s" s="74">
        <v>38</v>
      </c>
      <c r="O105" s="72"/>
    </row>
    <row r="106" ht="14.25" customHeight="1">
      <c r="A106" s="68">
        <v>0</v>
      </c>
      <c r="B106" s="69">
        <v>47.563</v>
      </c>
      <c r="C106" s="69">
        <v>55.549</v>
      </c>
      <c r="D106" s="70" cm="1">
        <f t="array" ref="D106">SUM(A106:C106)</f>
        <v>103.112</v>
      </c>
      <c r="E106" s="68">
        <v>0</v>
      </c>
      <c r="F106" s="69">
        <v>46.967</v>
      </c>
      <c r="G106" s="69">
        <v>50.263</v>
      </c>
      <c r="H106" s="70" cm="1">
        <f t="array" ref="H106">SUM(E106:G106)</f>
        <v>97.23</v>
      </c>
      <c r="I106" s="68" cm="1">
        <f t="array" ref="I106">A106+E106</f>
        <v>0</v>
      </c>
      <c r="J106" s="69" cm="1">
        <f t="array" ref="J106">B106+F106</f>
        <v>94.53</v>
      </c>
      <c r="K106" s="69" cm="1">
        <f t="array" ref="K106">C106+G106</f>
        <v>105.812</v>
      </c>
      <c r="L106" s="70" cm="1">
        <f t="array" ref="L106">D106+H106</f>
        <v>200.342</v>
      </c>
      <c r="M106" s="71"/>
      <c r="N106" t="s" s="74">
        <v>47</v>
      </c>
      <c r="O106" s="72"/>
    </row>
    <row r="107" ht="14.25" customHeight="1">
      <c r="A107" s="68">
        <v>0</v>
      </c>
      <c r="B107" s="69">
        <v>48.576</v>
      </c>
      <c r="C107" s="69">
        <v>55.313</v>
      </c>
      <c r="D107" s="70" cm="1">
        <f t="array" ref="D107">SUM(A107:C107)</f>
        <v>103.889</v>
      </c>
      <c r="E107" s="68">
        <v>0</v>
      </c>
      <c r="F107" s="69">
        <v>54.17</v>
      </c>
      <c r="G107" s="69">
        <v>53.124</v>
      </c>
      <c r="H107" s="70" cm="1">
        <f t="array" ref="H107">SUM(E107:G107)</f>
        <v>107.294</v>
      </c>
      <c r="I107" s="68" cm="1">
        <f t="array" ref="I107">A107+E107</f>
        <v>0</v>
      </c>
      <c r="J107" s="69" cm="1">
        <f t="array" ref="J107">B107+F107</f>
        <v>102.746</v>
      </c>
      <c r="K107" s="69" cm="1">
        <f t="array" ref="K107">C107+G107</f>
        <v>108.437</v>
      </c>
      <c r="L107" s="70" cm="1">
        <f t="array" ref="L107">D107+H107</f>
        <v>211.183</v>
      </c>
      <c r="M107" s="71"/>
      <c r="N107" t="s" s="74">
        <v>48</v>
      </c>
      <c r="O107" s="72"/>
    </row>
    <row r="108" ht="14.25" customHeight="1">
      <c r="A108" s="68">
        <v>0</v>
      </c>
      <c r="B108" s="69">
        <v>46.942</v>
      </c>
      <c r="C108" s="69">
        <v>47.394</v>
      </c>
      <c r="D108" s="70" cm="1">
        <f t="array" ref="D108">SUM(A108:C108)</f>
        <v>94.336</v>
      </c>
      <c r="E108" s="68">
        <v>0</v>
      </c>
      <c r="F108" s="69">
        <v>42.901</v>
      </c>
      <c r="G108" s="69">
        <v>43.365</v>
      </c>
      <c r="H108" s="70" cm="1">
        <f t="array" ref="H108">SUM(E108:G108)</f>
        <v>86.26600000000001</v>
      </c>
      <c r="I108" s="68" cm="1">
        <f t="array" ref="I108">A108+E108</f>
        <v>0</v>
      </c>
      <c r="J108" s="69" cm="1">
        <f t="array" ref="J108">B108+F108</f>
        <v>89.843</v>
      </c>
      <c r="K108" s="69" cm="1">
        <f t="array" ref="K108">C108+G108</f>
        <v>90.759</v>
      </c>
      <c r="L108" s="70" cm="1">
        <f t="array" ref="L108">D108+H108</f>
        <v>180.602</v>
      </c>
      <c r="M108" s="71"/>
      <c r="N108" t="s" s="74">
        <v>49</v>
      </c>
      <c r="O108" s="72"/>
    </row>
    <row r="109" ht="14.25" customHeight="1">
      <c r="A109" s="68" cm="1">
        <f t="array" ref="A109">SUM(A106:A108)</f>
        <v>0</v>
      </c>
      <c r="B109" s="69" cm="1">
        <f t="array" ref="B109">SUM(B106:B108)</f>
        <v>143.081</v>
      </c>
      <c r="C109" s="69" cm="1">
        <f t="array" ref="C109">SUM(C106:C108)</f>
        <v>158.256</v>
      </c>
      <c r="D109" s="70" cm="1">
        <f t="array" ref="D109">SUM(D106:D108)</f>
        <v>301.337</v>
      </c>
      <c r="E109" s="68" cm="1">
        <f t="array" ref="E109">SUM(E106:E108)</f>
        <v>0</v>
      </c>
      <c r="F109" s="69" cm="1">
        <f t="array" ref="F109">SUM(F106:F108)</f>
        <v>144.038</v>
      </c>
      <c r="G109" s="69" cm="1">
        <f t="array" ref="G109">SUM(G106:G108)</f>
        <v>146.752</v>
      </c>
      <c r="H109" s="70" cm="1">
        <f t="array" ref="H109">SUM(H106:H108)</f>
        <v>290.79</v>
      </c>
      <c r="I109" s="68" cm="1">
        <f t="array" ref="I109">SUM(I106:I108)</f>
        <v>0</v>
      </c>
      <c r="J109" s="69" cm="1">
        <f t="array" ref="J109">SUM(J106:J108)</f>
        <v>287.119</v>
      </c>
      <c r="K109" s="69" cm="1">
        <f t="array" ref="K109">SUM(K106:K108)</f>
        <v>305.008</v>
      </c>
      <c r="L109" s="70" cm="1">
        <f t="array" ref="L109">SUM(L106:L108)</f>
        <v>592.127</v>
      </c>
      <c r="M109" s="71"/>
      <c r="N109" t="s" s="74">
        <v>39</v>
      </c>
      <c r="O109" s="72"/>
    </row>
    <row r="110" ht="14.25" customHeight="1">
      <c r="A110" s="68">
        <v>0</v>
      </c>
      <c r="B110" s="69">
        <v>41.516</v>
      </c>
      <c r="C110" s="69">
        <v>46.936</v>
      </c>
      <c r="D110" s="70" cm="1">
        <f t="array" ref="D110">SUM(A110:C110)</f>
        <v>88.452</v>
      </c>
      <c r="E110" s="68">
        <v>0</v>
      </c>
      <c r="F110" s="69">
        <v>50.724</v>
      </c>
      <c r="G110" s="69">
        <v>50.3</v>
      </c>
      <c r="H110" s="70" cm="1">
        <f t="array" ref="H110">SUM(E110:G110)</f>
        <v>101.024</v>
      </c>
      <c r="I110" s="68" cm="1">
        <f t="array" ref="I110">A110+E110</f>
        <v>0</v>
      </c>
      <c r="J110" s="69" cm="1">
        <f t="array" ref="J110">B110+F110</f>
        <v>92.23999999999999</v>
      </c>
      <c r="K110" s="69" cm="1">
        <f t="array" ref="K110">C110+G110</f>
        <v>97.236</v>
      </c>
      <c r="L110" s="70" cm="1">
        <f t="array" ref="L110">D110+H110</f>
        <v>189.476</v>
      </c>
      <c r="M110" s="71"/>
      <c r="N110" t="s" s="74">
        <v>50</v>
      </c>
      <c r="O110" s="72"/>
    </row>
    <row r="111" ht="14.25" customHeight="1">
      <c r="A111" s="68">
        <v>0</v>
      </c>
      <c r="B111" s="69">
        <v>45.038</v>
      </c>
      <c r="C111" s="69">
        <v>50.081</v>
      </c>
      <c r="D111" s="70" cm="1">
        <f t="array" ref="D111">SUM(A111:C111)</f>
        <v>95.119</v>
      </c>
      <c r="E111" s="68">
        <v>0</v>
      </c>
      <c r="F111" s="69">
        <v>42.02</v>
      </c>
      <c r="G111" s="69">
        <v>49.994</v>
      </c>
      <c r="H111" s="70" cm="1">
        <f t="array" ref="H111">SUM(E111:G111)</f>
        <v>92.014</v>
      </c>
      <c r="I111" s="68" cm="1">
        <f t="array" ref="I111">A111+E111</f>
        <v>0</v>
      </c>
      <c r="J111" s="69" cm="1">
        <f t="array" ref="J111">B111+F111</f>
        <v>87.05800000000001</v>
      </c>
      <c r="K111" s="69" cm="1">
        <f t="array" ref="K111">C111+G111</f>
        <v>100.075</v>
      </c>
      <c r="L111" s="70" cm="1">
        <f t="array" ref="L111">D111+H111</f>
        <v>187.133</v>
      </c>
      <c r="M111" s="71"/>
      <c r="N111" t="s" s="74">
        <v>51</v>
      </c>
      <c r="O111" s="72"/>
    </row>
    <row r="112" ht="14.25" customHeight="1">
      <c r="A112" s="68">
        <v>0</v>
      </c>
      <c r="B112" s="69">
        <v>46.711</v>
      </c>
      <c r="C112" s="69">
        <v>45.021</v>
      </c>
      <c r="D112" s="70" cm="1">
        <f t="array" ref="D112">SUM(A112:C112)</f>
        <v>91.732</v>
      </c>
      <c r="E112" s="68">
        <v>0</v>
      </c>
      <c r="F112" s="69">
        <v>47.281</v>
      </c>
      <c r="G112" s="69">
        <v>47.939</v>
      </c>
      <c r="H112" s="70" cm="1">
        <f t="array" ref="H112">SUM(E112:G112)</f>
        <v>95.22</v>
      </c>
      <c r="I112" s="68" cm="1">
        <f t="array" ref="I112">A112+E112</f>
        <v>0</v>
      </c>
      <c r="J112" s="69" cm="1">
        <f t="array" ref="J112">B112+F112</f>
        <v>93.992</v>
      </c>
      <c r="K112" s="69" cm="1">
        <f t="array" ref="K112">C112+G112</f>
        <v>92.95999999999999</v>
      </c>
      <c r="L112" s="70" cm="1">
        <f t="array" ref="L112">D112+H112</f>
        <v>186.952</v>
      </c>
      <c r="M112" s="71"/>
      <c r="N112" t="s" s="74">
        <v>52</v>
      </c>
      <c r="O112" s="72"/>
    </row>
    <row r="113" ht="14.25" customHeight="1">
      <c r="A113" s="68" cm="1">
        <f t="array" ref="A113">SUM(A110:A112)</f>
        <v>0</v>
      </c>
      <c r="B113" s="69" cm="1">
        <f t="array" ref="B113">SUM(B110:B112)</f>
        <v>133.265</v>
      </c>
      <c r="C113" s="69" cm="1">
        <f t="array" ref="C113">SUM(C110:C112)</f>
        <v>142.038</v>
      </c>
      <c r="D113" s="70" cm="1">
        <f t="array" ref="D113">SUM(D110:D112)</f>
        <v>275.303</v>
      </c>
      <c r="E113" s="68" cm="1">
        <f t="array" ref="E113">SUM(E110:E112)</f>
        <v>0</v>
      </c>
      <c r="F113" s="69" cm="1">
        <f t="array" ref="F113">SUM(F110:F112)</f>
        <v>140.025</v>
      </c>
      <c r="G113" s="69" cm="1">
        <f t="array" ref="G113">SUM(G110:G112)</f>
        <v>148.233</v>
      </c>
      <c r="H113" s="70" cm="1">
        <f t="array" ref="H113">SUM(H110:H112)</f>
        <v>288.258</v>
      </c>
      <c r="I113" s="68" cm="1">
        <f t="array" ref="I113">SUM(I110:I112)</f>
        <v>0</v>
      </c>
      <c r="J113" s="69" cm="1">
        <f t="array" ref="J113">SUM(J110:J112)</f>
        <v>273.29</v>
      </c>
      <c r="K113" s="69" cm="1">
        <f t="array" ref="K113">SUM(K110:K112)</f>
        <v>290.271</v>
      </c>
      <c r="L113" s="70" cm="1">
        <f t="array" ref="L113">SUM(L110:L112)</f>
        <v>563.561</v>
      </c>
      <c r="M113" s="71"/>
      <c r="N113" t="s" s="74">
        <v>40</v>
      </c>
      <c r="O113" s="72"/>
    </row>
    <row r="114" ht="9" customHeight="1">
      <c r="A114" s="68"/>
      <c r="B114" s="69"/>
      <c r="C114" s="69"/>
      <c r="D114" s="70"/>
      <c r="E114" s="68"/>
      <c r="F114" s="69"/>
      <c r="G114" s="69"/>
      <c r="H114" s="70"/>
      <c r="I114" s="68"/>
      <c r="J114" s="69"/>
      <c r="K114" s="69"/>
      <c r="L114" s="70"/>
      <c r="M114" s="71"/>
      <c r="N114" s="74"/>
      <c r="O114" s="72"/>
    </row>
    <row r="115" ht="14.25" customHeight="1">
      <c r="A115" s="68">
        <v>0</v>
      </c>
      <c r="B115" s="69">
        <v>46.247</v>
      </c>
      <c r="C115" s="69">
        <v>59.089</v>
      </c>
      <c r="D115" s="70" cm="1">
        <f t="array" ref="D115">SUM(A115:C115)</f>
        <v>105.336</v>
      </c>
      <c r="E115" s="68">
        <v>0</v>
      </c>
      <c r="F115" s="69">
        <v>51.46</v>
      </c>
      <c r="G115" s="69">
        <v>60.256</v>
      </c>
      <c r="H115" s="70" cm="1">
        <f t="array" ref="H115">SUM(E115:G115)</f>
        <v>111.716</v>
      </c>
      <c r="I115" s="68" cm="1">
        <f t="array" ref="I115">A115+E115</f>
        <v>0</v>
      </c>
      <c r="J115" s="69" cm="1">
        <f t="array" ref="J115">B115+F115</f>
        <v>97.70699999999999</v>
      </c>
      <c r="K115" s="69" cm="1">
        <f t="array" ref="K115">C115+G115</f>
        <v>119.345</v>
      </c>
      <c r="L115" s="70" cm="1">
        <f t="array" ref="L115">D115+H115</f>
        <v>217.052</v>
      </c>
      <c r="M115" s="71"/>
      <c r="N115" t="s" s="74">
        <v>41</v>
      </c>
      <c r="O115" s="72">
        <v>2012</v>
      </c>
    </row>
    <row r="116" ht="14.25" customHeight="1">
      <c r="A116" s="68">
        <v>0</v>
      </c>
      <c r="B116" s="69">
        <v>42.641</v>
      </c>
      <c r="C116" s="69">
        <v>50.913</v>
      </c>
      <c r="D116" s="70" cm="1">
        <f t="array" ref="D116">SUM(A116:C116)</f>
        <v>93.554</v>
      </c>
      <c r="E116" s="68">
        <v>0</v>
      </c>
      <c r="F116" s="69">
        <v>44.026</v>
      </c>
      <c r="G116" s="69">
        <v>53.76</v>
      </c>
      <c r="H116" s="70" cm="1">
        <f t="array" ref="H116">SUM(E116:G116)</f>
        <v>97.786</v>
      </c>
      <c r="I116" s="68" cm="1">
        <f t="array" ref="I116">A116+E116</f>
        <v>0</v>
      </c>
      <c r="J116" s="69" cm="1">
        <f t="array" ref="J116">B116+F116</f>
        <v>86.667</v>
      </c>
      <c r="K116" s="69" cm="1">
        <f t="array" ref="K116">C116+G116</f>
        <v>104.673</v>
      </c>
      <c r="L116" s="70" cm="1">
        <f t="array" ref="L116">D116+H116</f>
        <v>191.34</v>
      </c>
      <c r="M116" s="71"/>
      <c r="N116" t="s" s="74">
        <v>42</v>
      </c>
      <c r="O116" s="72"/>
    </row>
    <row r="117" ht="14.25" customHeight="1">
      <c r="A117" s="68">
        <v>0</v>
      </c>
      <c r="B117" s="69">
        <v>51.776</v>
      </c>
      <c r="C117" s="69">
        <v>66.465</v>
      </c>
      <c r="D117" s="70" cm="1">
        <f t="array" ref="D117">SUM(A117:C117)</f>
        <v>118.241</v>
      </c>
      <c r="E117" s="68">
        <v>0</v>
      </c>
      <c r="F117" s="69">
        <v>51.845</v>
      </c>
      <c r="G117" s="69">
        <v>67.044</v>
      </c>
      <c r="H117" s="70" cm="1">
        <f t="array" ref="H117">SUM(E117:G117)</f>
        <v>118.889</v>
      </c>
      <c r="I117" s="68" cm="1">
        <f t="array" ref="I117">A117+E117</f>
        <v>0</v>
      </c>
      <c r="J117" s="69" cm="1">
        <f t="array" ref="J117">B117+F117</f>
        <v>103.621</v>
      </c>
      <c r="K117" s="69" cm="1">
        <f t="array" ref="K117">C117+G117</f>
        <v>133.509</v>
      </c>
      <c r="L117" s="70" cm="1">
        <f t="array" ref="L117">D117+H117</f>
        <v>237.13</v>
      </c>
      <c r="M117" s="71"/>
      <c r="N117" t="s" s="74">
        <v>43</v>
      </c>
      <c r="O117" s="72"/>
    </row>
    <row r="118" ht="14.25" customHeight="1">
      <c r="A118" s="68" cm="1">
        <f t="array" ref="A118">SUM(A115:A117)</f>
        <v>0</v>
      </c>
      <c r="B118" s="69" cm="1">
        <f t="array" ref="B118">SUM(B115:B117)</f>
        <v>140.664</v>
      </c>
      <c r="C118" s="69" cm="1">
        <f t="array" ref="C118">SUM(C115:C117)</f>
        <v>176.467</v>
      </c>
      <c r="D118" s="70" cm="1">
        <f t="array" ref="D118">SUM(D115:D117)</f>
        <v>317.131</v>
      </c>
      <c r="E118" s="68" cm="1">
        <f t="array" ref="E118">SUM(E115:E117)</f>
        <v>0</v>
      </c>
      <c r="F118" s="69" cm="1">
        <f t="array" ref="F118">SUM(F115:F117)</f>
        <v>147.331</v>
      </c>
      <c r="G118" s="69" cm="1">
        <f t="array" ref="G118">SUM(G115:G117)</f>
        <v>181.06</v>
      </c>
      <c r="H118" s="70" cm="1">
        <f t="array" ref="H118">SUM(H115:H117)</f>
        <v>328.391</v>
      </c>
      <c r="I118" s="68" cm="1">
        <f t="array" ref="I118">SUM(I115:I117)</f>
        <v>0</v>
      </c>
      <c r="J118" s="69" cm="1">
        <f t="array" ref="J118">SUM(J115:J117)</f>
        <v>287.995</v>
      </c>
      <c r="K118" s="69" cm="1">
        <f t="array" ref="K118">SUM(K115:K117)</f>
        <v>357.527</v>
      </c>
      <c r="L118" s="70" cm="1">
        <f t="array" ref="L118">SUM(L115:L117)</f>
        <v>645.522</v>
      </c>
      <c r="M118" s="71"/>
      <c r="N118" t="s" s="74">
        <v>37</v>
      </c>
      <c r="O118" s="72">
        <v>2012</v>
      </c>
    </row>
    <row r="119" ht="14.25" customHeight="1">
      <c r="A119" s="68">
        <v>0</v>
      </c>
      <c r="B119" s="69">
        <v>54.996</v>
      </c>
      <c r="C119" s="69">
        <v>62.41</v>
      </c>
      <c r="D119" s="70" cm="1">
        <f t="array" ref="D119">SUM(A119:C119)</f>
        <v>117.406</v>
      </c>
      <c r="E119" s="68">
        <v>0</v>
      </c>
      <c r="F119" s="69">
        <v>51.087</v>
      </c>
      <c r="G119" s="69">
        <v>64.20399999999999</v>
      </c>
      <c r="H119" s="70" cm="1">
        <f t="array" ref="H119">SUM(E119:G119)</f>
        <v>115.291</v>
      </c>
      <c r="I119" s="68" cm="1">
        <f t="array" ref="I119">A119+E119</f>
        <v>0</v>
      </c>
      <c r="J119" s="69" cm="1">
        <f t="array" ref="J119">B119+F119</f>
        <v>106.083</v>
      </c>
      <c r="K119" s="69" cm="1">
        <f t="array" ref="K119">C119+G119</f>
        <v>126.614</v>
      </c>
      <c r="L119" s="70" cm="1">
        <f t="array" ref="L119">D119+H119</f>
        <v>232.697</v>
      </c>
      <c r="M119" s="71"/>
      <c r="N119" t="s" s="74">
        <v>44</v>
      </c>
      <c r="O119" s="72"/>
    </row>
    <row r="120" ht="14.25" customHeight="1">
      <c r="A120" s="68">
        <v>0</v>
      </c>
      <c r="B120" s="69">
        <v>57.291</v>
      </c>
      <c r="C120" s="69">
        <v>63.682</v>
      </c>
      <c r="D120" s="70" cm="1">
        <f t="array" ref="D120">SUM(A120:C120)</f>
        <v>120.973</v>
      </c>
      <c r="E120" s="68">
        <v>0</v>
      </c>
      <c r="F120" s="69">
        <v>53.795</v>
      </c>
      <c r="G120" s="69">
        <v>61.343</v>
      </c>
      <c r="H120" s="70" cm="1">
        <f t="array" ref="H120">SUM(E120:G120)</f>
        <v>115.138</v>
      </c>
      <c r="I120" s="68" cm="1">
        <f t="array" ref="I120">A120+E120</f>
        <v>0</v>
      </c>
      <c r="J120" s="69" cm="1">
        <f t="array" ref="J120">B120+F120</f>
        <v>111.086</v>
      </c>
      <c r="K120" s="69" cm="1">
        <f t="array" ref="K120">C120+G120</f>
        <v>125.025</v>
      </c>
      <c r="L120" s="70" cm="1">
        <f t="array" ref="L120">D120+H120</f>
        <v>236.111</v>
      </c>
      <c r="M120" s="71"/>
      <c r="N120" t="s" s="74">
        <v>45</v>
      </c>
      <c r="O120" s="72"/>
    </row>
    <row r="121" ht="14.25" customHeight="1">
      <c r="A121" s="68">
        <v>0</v>
      </c>
      <c r="B121" s="69">
        <v>50.841</v>
      </c>
      <c r="C121" s="69">
        <v>59.985</v>
      </c>
      <c r="D121" s="70" cm="1">
        <f t="array" ref="D121">SUM(A121:C121)</f>
        <v>110.826</v>
      </c>
      <c r="E121" s="68">
        <v>0</v>
      </c>
      <c r="F121" s="69">
        <v>50.013</v>
      </c>
      <c r="G121" s="69">
        <v>50.566</v>
      </c>
      <c r="H121" s="70" cm="1">
        <f t="array" ref="H121">SUM(E121:G121)</f>
        <v>100.579</v>
      </c>
      <c r="I121" s="68" cm="1">
        <f t="array" ref="I121">A121+E121</f>
        <v>0</v>
      </c>
      <c r="J121" s="69" cm="1">
        <f t="array" ref="J121">B121+F121</f>
        <v>100.854</v>
      </c>
      <c r="K121" s="69" cm="1">
        <f t="array" ref="K121">C121+G121</f>
        <v>110.551</v>
      </c>
      <c r="L121" s="70" cm="1">
        <f t="array" ref="L121">D121+H121</f>
        <v>211.405</v>
      </c>
      <c r="M121" s="71"/>
      <c r="N121" t="s" s="74">
        <v>46</v>
      </c>
      <c r="O121" s="72"/>
    </row>
    <row r="122" ht="14.25" customHeight="1">
      <c r="A122" s="68" cm="1">
        <f t="array" ref="A122">SUM(A119:A121)</f>
        <v>0</v>
      </c>
      <c r="B122" s="69" cm="1">
        <f t="array" ref="B122">SUM(B119:B121)</f>
        <v>163.128</v>
      </c>
      <c r="C122" s="69" cm="1">
        <f t="array" ref="C122">SUM(C119:C121)</f>
        <v>186.077</v>
      </c>
      <c r="D122" s="70" cm="1">
        <f t="array" ref="D122">SUM(D119:D121)</f>
        <v>349.205</v>
      </c>
      <c r="E122" s="68" cm="1">
        <f t="array" ref="E122">SUM(E119:E121)</f>
        <v>0</v>
      </c>
      <c r="F122" s="69" cm="1">
        <f t="array" ref="F122">SUM(F119:F121)</f>
        <v>154.895</v>
      </c>
      <c r="G122" s="69" cm="1">
        <f t="array" ref="G122">SUM(G119:G121)</f>
        <v>176.113</v>
      </c>
      <c r="H122" s="70" cm="1">
        <f t="array" ref="H122">SUM(H119:H121)</f>
        <v>331.008</v>
      </c>
      <c r="I122" s="68" cm="1">
        <f t="array" ref="I122">SUM(I119:I121)</f>
        <v>0</v>
      </c>
      <c r="J122" s="69" cm="1">
        <f t="array" ref="J122">SUM(J119:J121)</f>
        <v>318.023</v>
      </c>
      <c r="K122" s="69" cm="1">
        <f t="array" ref="K122">SUM(K119:K121)</f>
        <v>362.19</v>
      </c>
      <c r="L122" s="70" cm="1">
        <f t="array" ref="L122">SUM(L119:L121)</f>
        <v>680.213</v>
      </c>
      <c r="M122" s="71"/>
      <c r="N122" t="s" s="74">
        <v>38</v>
      </c>
      <c r="O122" s="72"/>
    </row>
    <row r="123" ht="14.25" customHeight="1">
      <c r="A123" s="68">
        <v>0</v>
      </c>
      <c r="B123" s="69">
        <v>52.461</v>
      </c>
      <c r="C123" s="69">
        <v>58.588</v>
      </c>
      <c r="D123" s="70" cm="1">
        <f t="array" ref="D123">SUM(A123:C123)</f>
        <v>111.049</v>
      </c>
      <c r="E123" s="68">
        <v>0</v>
      </c>
      <c r="F123" s="69">
        <v>58.287</v>
      </c>
      <c r="G123" s="69">
        <v>56.305</v>
      </c>
      <c r="H123" s="70" cm="1">
        <f t="array" ref="H123">SUM(E123:G123)</f>
        <v>114.592</v>
      </c>
      <c r="I123" s="68" cm="1">
        <f t="array" ref="I123">A123+E123</f>
        <v>0</v>
      </c>
      <c r="J123" s="69" cm="1">
        <f t="array" ref="J123">B123+F123</f>
        <v>110.748</v>
      </c>
      <c r="K123" s="69" cm="1">
        <f t="array" ref="K123">C123+G123</f>
        <v>114.893</v>
      </c>
      <c r="L123" s="70" cm="1">
        <f t="array" ref="L123">D123+H123</f>
        <v>225.641</v>
      </c>
      <c r="M123" s="71"/>
      <c r="N123" t="s" s="74">
        <v>47</v>
      </c>
      <c r="O123" s="72"/>
    </row>
    <row r="124" ht="14.25" customHeight="1">
      <c r="A124" s="68">
        <v>0</v>
      </c>
      <c r="B124" s="69">
        <v>49.165</v>
      </c>
      <c r="C124" s="69">
        <v>56.966</v>
      </c>
      <c r="D124" s="70" cm="1">
        <f t="array" ref="D124">SUM(A124:C124)</f>
        <v>106.131</v>
      </c>
      <c r="E124" s="68">
        <v>0</v>
      </c>
      <c r="F124" s="69">
        <v>48.753</v>
      </c>
      <c r="G124" s="69">
        <v>52.534</v>
      </c>
      <c r="H124" s="70" cm="1">
        <f t="array" ref="H124">SUM(E124:G124)</f>
        <v>101.287</v>
      </c>
      <c r="I124" s="68" cm="1">
        <f t="array" ref="I124">A124+E124</f>
        <v>0</v>
      </c>
      <c r="J124" s="69" cm="1">
        <f t="array" ref="J124">B124+F124</f>
        <v>97.91800000000001</v>
      </c>
      <c r="K124" s="69" cm="1">
        <f t="array" ref="K124">C124+G124</f>
        <v>109.5</v>
      </c>
      <c r="L124" s="70" cm="1">
        <f t="array" ref="L124">D124+H124</f>
        <v>207.418</v>
      </c>
      <c r="M124" s="71"/>
      <c r="N124" t="s" s="74">
        <v>48</v>
      </c>
      <c r="O124" s="72"/>
    </row>
    <row r="125" ht="14.25" customHeight="1">
      <c r="A125" s="68">
        <v>0</v>
      </c>
      <c r="B125" s="69">
        <v>39.196</v>
      </c>
      <c r="C125" s="69">
        <v>49.345</v>
      </c>
      <c r="D125" s="70" cm="1">
        <f t="array" ref="D125">SUM(A125:C125)</f>
        <v>88.541</v>
      </c>
      <c r="E125" s="68">
        <v>0</v>
      </c>
      <c r="F125" s="69">
        <v>43.321</v>
      </c>
      <c r="G125" s="69">
        <v>48.543</v>
      </c>
      <c r="H125" s="70" cm="1">
        <f t="array" ref="H125">SUM(E125:G125)</f>
        <v>91.864</v>
      </c>
      <c r="I125" s="68" cm="1">
        <f t="array" ref="I125">A125+E125</f>
        <v>0</v>
      </c>
      <c r="J125" s="69" cm="1">
        <f t="array" ref="J125">B125+F125</f>
        <v>82.517</v>
      </c>
      <c r="K125" s="69" cm="1">
        <f t="array" ref="K125">C125+G125</f>
        <v>97.88800000000001</v>
      </c>
      <c r="L125" s="70" cm="1">
        <f t="array" ref="L125">D125+H125</f>
        <v>180.405</v>
      </c>
      <c r="M125" s="71"/>
      <c r="N125" t="s" s="74">
        <v>49</v>
      </c>
      <c r="O125" s="72"/>
    </row>
    <row r="126" ht="14.25" customHeight="1">
      <c r="A126" s="68" cm="1">
        <f t="array" ref="A126">SUM(A123:A125)</f>
        <v>0</v>
      </c>
      <c r="B126" s="69" cm="1">
        <f t="array" ref="B126">SUM(B123:B125)</f>
        <v>140.822</v>
      </c>
      <c r="C126" s="69" cm="1">
        <f t="array" ref="C126">SUM(C123:C125)</f>
        <v>164.899</v>
      </c>
      <c r="D126" s="70" cm="1">
        <f t="array" ref="D126">SUM(D123:D125)</f>
        <v>305.721</v>
      </c>
      <c r="E126" s="68" cm="1">
        <f t="array" ref="E126">SUM(E123:E125)</f>
        <v>0</v>
      </c>
      <c r="F126" s="69" cm="1">
        <f t="array" ref="F126">SUM(F123:F125)</f>
        <v>150.361</v>
      </c>
      <c r="G126" s="69" cm="1">
        <f t="array" ref="G126">SUM(G123:G125)</f>
        <v>157.382</v>
      </c>
      <c r="H126" s="70" cm="1">
        <f t="array" ref="H126">SUM(H123:H125)</f>
        <v>307.743</v>
      </c>
      <c r="I126" s="68" cm="1">
        <f t="array" ref="I126">SUM(I123:I125)</f>
        <v>0</v>
      </c>
      <c r="J126" s="69" cm="1">
        <f t="array" ref="J126">SUM(J123:J125)</f>
        <v>291.183</v>
      </c>
      <c r="K126" s="69" cm="1">
        <f t="array" ref="K126">SUM(K123:K125)</f>
        <v>322.281</v>
      </c>
      <c r="L126" s="70" cm="1">
        <f t="array" ref="L126">SUM(L123:L125)</f>
        <v>613.4640000000001</v>
      </c>
      <c r="M126" s="71"/>
      <c r="N126" t="s" s="74">
        <v>39</v>
      </c>
      <c r="O126" s="72"/>
    </row>
    <row r="127" ht="14.25" customHeight="1">
      <c r="A127" s="68">
        <v>0</v>
      </c>
      <c r="B127" s="69">
        <v>49.066</v>
      </c>
      <c r="C127" s="69">
        <v>52.309</v>
      </c>
      <c r="D127" s="70" cm="1">
        <f t="array" ref="D127">SUM(A127:C127)</f>
        <v>101.375</v>
      </c>
      <c r="E127" s="68">
        <v>0</v>
      </c>
      <c r="F127" s="69">
        <v>48.348</v>
      </c>
      <c r="G127" s="69">
        <v>53.481</v>
      </c>
      <c r="H127" s="70" cm="1">
        <f t="array" ref="H127">SUM(E127:G127)</f>
        <v>101.829</v>
      </c>
      <c r="I127" s="68" cm="1">
        <f t="array" ref="I127">A127+E127</f>
        <v>0</v>
      </c>
      <c r="J127" s="69" cm="1">
        <f t="array" ref="J127">B127+F127</f>
        <v>97.414</v>
      </c>
      <c r="K127" s="69" cm="1">
        <f t="array" ref="K127">C127+G127</f>
        <v>105.79</v>
      </c>
      <c r="L127" s="70" cm="1">
        <f t="array" ref="L127">D127+H127</f>
        <v>203.204</v>
      </c>
      <c r="M127" s="71"/>
      <c r="N127" t="s" s="74">
        <v>50</v>
      </c>
      <c r="O127" s="72"/>
    </row>
    <row r="128" ht="14.25" customHeight="1">
      <c r="A128" s="68">
        <v>0.001</v>
      </c>
      <c r="B128" s="69">
        <v>43.348</v>
      </c>
      <c r="C128" s="69">
        <v>53.179</v>
      </c>
      <c r="D128" s="70" cm="1">
        <f t="array" ref="D128">SUM(A128:C128)</f>
        <v>96.52800000000001</v>
      </c>
      <c r="E128" s="68">
        <v>0</v>
      </c>
      <c r="F128" s="69">
        <v>42.584</v>
      </c>
      <c r="G128" s="69">
        <v>53.254</v>
      </c>
      <c r="H128" s="70" cm="1">
        <f t="array" ref="H128">SUM(E128:G128)</f>
        <v>95.83799999999999</v>
      </c>
      <c r="I128" s="68" cm="1">
        <f t="array" ref="I128">A128+E128</f>
        <v>0.001</v>
      </c>
      <c r="J128" s="69" cm="1">
        <f t="array" ref="J128">B128+F128</f>
        <v>85.932</v>
      </c>
      <c r="K128" s="69" cm="1">
        <f t="array" ref="K128">C128+G128</f>
        <v>106.433</v>
      </c>
      <c r="L128" s="70" cm="1">
        <f t="array" ref="L128">D128+H128</f>
        <v>192.366</v>
      </c>
      <c r="M128" s="71"/>
      <c r="N128" t="s" s="74">
        <v>51</v>
      </c>
      <c r="O128" s="72"/>
    </row>
    <row r="129" ht="14.25" customHeight="1">
      <c r="A129" s="68">
        <v>0</v>
      </c>
      <c r="B129" s="69">
        <v>43.233</v>
      </c>
      <c r="C129" s="69">
        <v>57.41</v>
      </c>
      <c r="D129" s="70" cm="1">
        <f t="array" ref="D129">SUM(A129:C129)</f>
        <v>100.643</v>
      </c>
      <c r="E129" s="68">
        <v>0</v>
      </c>
      <c r="F129" s="69">
        <v>46.671</v>
      </c>
      <c r="G129" s="69">
        <v>58.99</v>
      </c>
      <c r="H129" s="70" cm="1">
        <f t="array" ref="H129">SUM(E129:G129)</f>
        <v>105.661</v>
      </c>
      <c r="I129" s="68" cm="1">
        <f t="array" ref="I129">A129+E129</f>
        <v>0</v>
      </c>
      <c r="J129" s="69" cm="1">
        <f t="array" ref="J129">B129+F129</f>
        <v>89.904</v>
      </c>
      <c r="K129" s="69" cm="1">
        <f t="array" ref="K129">C129+G129</f>
        <v>116.4</v>
      </c>
      <c r="L129" s="70" cm="1">
        <f t="array" ref="L129">D129+H129</f>
        <v>206.304</v>
      </c>
      <c r="M129" s="71"/>
      <c r="N129" t="s" s="74">
        <v>52</v>
      </c>
      <c r="O129" s="72"/>
    </row>
    <row r="130" ht="14.25" customHeight="1">
      <c r="A130" s="68" cm="1">
        <f t="array" ref="A130">SUM(A127:A129)</f>
        <v>0.001</v>
      </c>
      <c r="B130" s="69" cm="1">
        <f t="array" ref="B130">SUM(B127:B129)</f>
        <v>135.647</v>
      </c>
      <c r="C130" s="69" cm="1">
        <f t="array" ref="C130">SUM(C127:C129)</f>
        <v>162.898</v>
      </c>
      <c r="D130" s="70" cm="1">
        <f t="array" ref="D130">SUM(D127:D129)</f>
        <v>298.546</v>
      </c>
      <c r="E130" s="68" cm="1">
        <f t="array" ref="E130">SUM(E127:E129)</f>
        <v>0</v>
      </c>
      <c r="F130" s="69" cm="1">
        <f t="array" ref="F130">SUM(F127:F129)</f>
        <v>137.603</v>
      </c>
      <c r="G130" s="69" cm="1">
        <f t="array" ref="G130">SUM(G127:G129)</f>
        <v>165.725</v>
      </c>
      <c r="H130" s="70" cm="1">
        <f t="array" ref="H130">SUM(H127:H129)</f>
        <v>303.328</v>
      </c>
      <c r="I130" s="68" cm="1">
        <f t="array" ref="I130">SUM(I127:I129)</f>
        <v>0.001</v>
      </c>
      <c r="J130" s="69" cm="1">
        <f t="array" ref="J130">SUM(J127:J129)</f>
        <v>273.25</v>
      </c>
      <c r="K130" s="69" cm="1">
        <f t="array" ref="K130">SUM(K127:K129)</f>
        <v>328.623</v>
      </c>
      <c r="L130" s="70" cm="1">
        <f t="array" ref="L130">SUM(L127:L129)</f>
        <v>601.874</v>
      </c>
      <c r="M130" s="71"/>
      <c r="N130" t="s" s="74">
        <v>40</v>
      </c>
      <c r="O130" s="72"/>
    </row>
    <row r="131" ht="8.25" customHeight="1">
      <c r="A131" s="68"/>
      <c r="B131" s="69"/>
      <c r="C131" s="69"/>
      <c r="D131" s="70"/>
      <c r="E131" s="68"/>
      <c r="F131" s="69"/>
      <c r="G131" s="69"/>
      <c r="H131" s="70"/>
      <c r="I131" s="68"/>
      <c r="J131" s="69"/>
      <c r="K131" s="69"/>
      <c r="L131" s="70"/>
      <c r="M131" s="71"/>
      <c r="N131" s="74"/>
      <c r="O131" s="72"/>
    </row>
    <row r="132" ht="14.25" customHeight="1">
      <c r="A132" s="68">
        <v>0</v>
      </c>
      <c r="B132" s="69">
        <v>43.605</v>
      </c>
      <c r="C132" s="69">
        <v>64.729</v>
      </c>
      <c r="D132" s="70" cm="1">
        <f t="array" ref="D132">SUM(A132:C132)</f>
        <v>108.334</v>
      </c>
      <c r="E132" s="68">
        <v>0</v>
      </c>
      <c r="F132" s="69">
        <v>46.321</v>
      </c>
      <c r="G132" s="69">
        <v>66.965</v>
      </c>
      <c r="H132" s="70" cm="1">
        <f t="array" ref="H132">SUM(E132:G132)</f>
        <v>113.286</v>
      </c>
      <c r="I132" s="68" cm="1">
        <f t="array" ref="I132">A132+E132</f>
        <v>0</v>
      </c>
      <c r="J132" s="69" cm="1">
        <f t="array" ref="J132">B132+F132</f>
        <v>89.926</v>
      </c>
      <c r="K132" s="69" cm="1">
        <f t="array" ref="K132">C132+G132</f>
        <v>131.694</v>
      </c>
      <c r="L132" s="70" cm="1">
        <f t="array" ref="L132">D132+H132</f>
        <v>221.62</v>
      </c>
      <c r="M132" s="71"/>
      <c r="N132" t="s" s="74">
        <v>41</v>
      </c>
      <c r="O132" s="72">
        <v>2013</v>
      </c>
    </row>
    <row r="133" ht="14.25" customHeight="1">
      <c r="A133" s="68">
        <v>0.051</v>
      </c>
      <c r="B133" s="69">
        <v>46.773</v>
      </c>
      <c r="C133" s="69">
        <v>56.106</v>
      </c>
      <c r="D133" s="70" cm="1">
        <f t="array" ref="D133">SUM(A133:C133)</f>
        <v>102.93</v>
      </c>
      <c r="E133" s="68">
        <v>0</v>
      </c>
      <c r="F133" s="69">
        <v>49.755</v>
      </c>
      <c r="G133" s="69">
        <v>61.806</v>
      </c>
      <c r="H133" s="70" cm="1">
        <f t="array" ref="H133">SUM(E133:G133)</f>
        <v>111.561</v>
      </c>
      <c r="I133" s="68" cm="1">
        <f t="array" ref="I133">A133+E133</f>
        <v>0.051</v>
      </c>
      <c r="J133" s="69" cm="1">
        <f t="array" ref="J133">B133+F133</f>
        <v>96.52800000000001</v>
      </c>
      <c r="K133" s="69" cm="1">
        <f t="array" ref="K133">C133+G133</f>
        <v>117.912</v>
      </c>
      <c r="L133" s="70" cm="1">
        <f t="array" ref="L133">D133+H133</f>
        <v>214.491</v>
      </c>
      <c r="M133" s="71"/>
      <c r="N133" t="s" s="74">
        <v>42</v>
      </c>
      <c r="O133" s="72"/>
    </row>
    <row r="134" ht="14.25" customHeight="1">
      <c r="A134" s="68">
        <v>0.016</v>
      </c>
      <c r="B134" s="69">
        <v>45.936</v>
      </c>
      <c r="C134" s="69">
        <v>69.121</v>
      </c>
      <c r="D134" s="70" cm="1">
        <f t="array" ref="D134">SUM(A134:C134)</f>
        <v>115.073</v>
      </c>
      <c r="E134" s="68">
        <v>0.054</v>
      </c>
      <c r="F134" s="69">
        <v>45.946</v>
      </c>
      <c r="G134" s="69">
        <v>61.768</v>
      </c>
      <c r="H134" s="70" cm="1">
        <f t="array" ref="H134">SUM(E134:G134)</f>
        <v>107.768</v>
      </c>
      <c r="I134" s="68" cm="1">
        <f t="array" ref="I134">A134+E134</f>
        <v>0.07000000000000001</v>
      </c>
      <c r="J134" s="69" cm="1">
        <f t="array" ref="J134">B134+F134</f>
        <v>91.88200000000001</v>
      </c>
      <c r="K134" s="69" cm="1">
        <f t="array" ref="K134">C134+G134</f>
        <v>130.889</v>
      </c>
      <c r="L134" s="70" cm="1">
        <f t="array" ref="L134">D134+H134</f>
        <v>222.841</v>
      </c>
      <c r="M134" s="71"/>
      <c r="N134" t="s" s="74">
        <v>43</v>
      </c>
      <c r="O134" s="72"/>
    </row>
    <row r="135" ht="14.25" customHeight="1">
      <c r="A135" s="68" cm="1">
        <f t="array" ref="A135">SUM(A132:A134)</f>
        <v>0.067</v>
      </c>
      <c r="B135" s="69" cm="1">
        <f t="array" ref="B135">SUM(B132:B134)</f>
        <v>136.314</v>
      </c>
      <c r="C135" s="69" cm="1">
        <f t="array" ref="C135">SUM(C132:C134)</f>
        <v>189.956</v>
      </c>
      <c r="D135" s="70" cm="1">
        <f t="array" ref="D135">SUM(D132:D134)</f>
        <v>326.337</v>
      </c>
      <c r="E135" s="68" cm="1">
        <f t="array" ref="E135">SUM(E132:E134)</f>
        <v>0.054</v>
      </c>
      <c r="F135" s="69" cm="1">
        <f t="array" ref="F135">SUM(F132:F134)</f>
        <v>142.022</v>
      </c>
      <c r="G135" s="69" cm="1">
        <f t="array" ref="G135">SUM(G132:G134)</f>
        <v>190.539</v>
      </c>
      <c r="H135" s="70" cm="1">
        <f t="array" ref="H135">SUM(H132:H134)</f>
        <v>332.615</v>
      </c>
      <c r="I135" s="68" cm="1">
        <f t="array" ref="I135">SUM(I132:I134)</f>
        <v>0.121</v>
      </c>
      <c r="J135" s="69" cm="1">
        <f t="array" ref="J135">SUM(J132:J134)</f>
        <v>278.336</v>
      </c>
      <c r="K135" s="69" cm="1">
        <f t="array" ref="K135">SUM(K132:K134)</f>
        <v>380.495</v>
      </c>
      <c r="L135" s="70" cm="1">
        <f t="array" ref="L135">SUM(L132:L134)</f>
        <v>658.952</v>
      </c>
      <c r="M135" s="71"/>
      <c r="N135" t="s" s="74">
        <v>37</v>
      </c>
      <c r="O135" s="72">
        <v>2013</v>
      </c>
    </row>
    <row r="136" ht="14.25" customHeight="1">
      <c r="A136" s="68">
        <v>0.032</v>
      </c>
      <c r="B136" s="69">
        <v>55.204</v>
      </c>
      <c r="C136" s="69">
        <v>65.51600000000001</v>
      </c>
      <c r="D136" s="70" cm="1">
        <f t="array" ref="D136">SUM(A136:C136)</f>
        <v>120.752</v>
      </c>
      <c r="E136" s="68">
        <v>0</v>
      </c>
      <c r="F136" s="69">
        <v>49.075</v>
      </c>
      <c r="G136" s="69">
        <v>68.27500000000001</v>
      </c>
      <c r="H136" s="70" cm="1">
        <f t="array" ref="H136">SUM(E136:G136)</f>
        <v>117.35</v>
      </c>
      <c r="I136" s="68" cm="1">
        <f t="array" ref="I136">A136+E136</f>
        <v>0.032</v>
      </c>
      <c r="J136" s="69" cm="1">
        <f t="array" ref="J136">B136+F136</f>
        <v>104.279</v>
      </c>
      <c r="K136" s="69" cm="1">
        <f t="array" ref="K136">C136+G136</f>
        <v>133.791</v>
      </c>
      <c r="L136" s="70" cm="1">
        <f t="array" ref="L136">D136+H136</f>
        <v>238.102</v>
      </c>
      <c r="M136" s="71"/>
      <c r="N136" t="s" s="74">
        <v>44</v>
      </c>
      <c r="O136" s="72"/>
    </row>
    <row r="137" ht="14.25" customHeight="1">
      <c r="A137" s="68">
        <v>0</v>
      </c>
      <c r="B137" s="69">
        <v>56.517</v>
      </c>
      <c r="C137" s="69">
        <v>67.462</v>
      </c>
      <c r="D137" s="70" cm="1">
        <f t="array" ref="D137">SUM(A137:C137)</f>
        <v>123.979</v>
      </c>
      <c r="E137" s="68">
        <v>0</v>
      </c>
      <c r="F137" s="69">
        <v>55.197</v>
      </c>
      <c r="G137" s="69">
        <v>65.261</v>
      </c>
      <c r="H137" s="70" cm="1">
        <f t="array" ref="H137">SUM(E137:G137)</f>
        <v>120.458</v>
      </c>
      <c r="I137" s="68" cm="1">
        <f t="array" ref="I137">A137+E137</f>
        <v>0</v>
      </c>
      <c r="J137" s="69" cm="1">
        <f t="array" ref="J137">B137+F137</f>
        <v>111.714</v>
      </c>
      <c r="K137" s="69" cm="1">
        <f t="array" ref="K137">C137+G137</f>
        <v>132.723</v>
      </c>
      <c r="L137" s="70" cm="1">
        <f t="array" ref="L137">D137+H137</f>
        <v>244.437</v>
      </c>
      <c r="M137" s="71"/>
      <c r="N137" t="s" s="74">
        <v>45</v>
      </c>
      <c r="O137" s="72"/>
    </row>
    <row r="138" ht="14.25" customHeight="1">
      <c r="A138" s="68">
        <v>0</v>
      </c>
      <c r="B138" s="69">
        <v>47.948</v>
      </c>
      <c r="C138" s="69">
        <v>59.534</v>
      </c>
      <c r="D138" s="70" cm="1">
        <f t="array" ref="D138">SUM(A138:C138)</f>
        <v>107.482</v>
      </c>
      <c r="E138" s="68">
        <v>0.001</v>
      </c>
      <c r="F138" s="69">
        <v>53.744</v>
      </c>
      <c r="G138" s="69">
        <v>59.851</v>
      </c>
      <c r="H138" s="70" cm="1">
        <f t="array" ref="H138">SUM(E138:G138)</f>
        <v>113.596</v>
      </c>
      <c r="I138" s="68" cm="1">
        <f t="array" ref="I138">A138+E138</f>
        <v>0.001</v>
      </c>
      <c r="J138" s="69" cm="1">
        <f t="array" ref="J138">B138+F138</f>
        <v>101.692</v>
      </c>
      <c r="K138" s="69" cm="1">
        <f t="array" ref="K138">C138+G138</f>
        <v>119.385</v>
      </c>
      <c r="L138" s="70" cm="1">
        <f t="array" ref="L138">D138+H138</f>
        <v>221.078</v>
      </c>
      <c r="M138" s="71"/>
      <c r="N138" t="s" s="74">
        <v>46</v>
      </c>
      <c r="O138" s="72"/>
    </row>
    <row r="139" ht="14.25" customHeight="1">
      <c r="A139" s="68" cm="1">
        <f t="array" ref="A139">SUM(A136:A138)</f>
        <v>0.032</v>
      </c>
      <c r="B139" s="69" cm="1">
        <f t="array" ref="B139">SUM(B136:B138)</f>
        <v>159.669</v>
      </c>
      <c r="C139" s="69" cm="1">
        <f t="array" ref="C139">SUM(C136:C138)</f>
        <v>192.512</v>
      </c>
      <c r="D139" s="70" cm="1">
        <f t="array" ref="D139">SUM(D136:D138)</f>
        <v>352.213</v>
      </c>
      <c r="E139" s="68" cm="1">
        <f t="array" ref="E139">SUM(E136:E138)</f>
        <v>0.001</v>
      </c>
      <c r="F139" s="69" cm="1">
        <f t="array" ref="F139">SUM(F136:F138)</f>
        <v>158.016</v>
      </c>
      <c r="G139" s="69" cm="1">
        <f t="array" ref="G139">SUM(G136:G138)</f>
        <v>193.387</v>
      </c>
      <c r="H139" s="70" cm="1">
        <f t="array" ref="H139">SUM(H136:H138)</f>
        <v>351.404</v>
      </c>
      <c r="I139" s="68" cm="1">
        <f t="array" ref="I139">SUM(I136:I138)</f>
        <v>0.033</v>
      </c>
      <c r="J139" s="69" cm="1">
        <f t="array" ref="J139">SUM(J136:J138)</f>
        <v>317.685</v>
      </c>
      <c r="K139" s="69" cm="1">
        <f t="array" ref="K139">SUM(K136:K138)</f>
        <v>385.899</v>
      </c>
      <c r="L139" s="70" cm="1">
        <f t="array" ref="L139">SUM(L136:L138)</f>
        <v>703.617</v>
      </c>
      <c r="M139" s="71"/>
      <c r="N139" t="s" s="74">
        <v>38</v>
      </c>
      <c r="O139" s="72"/>
    </row>
    <row r="140" ht="14.25" customHeight="1">
      <c r="A140" s="68">
        <v>0.014</v>
      </c>
      <c r="B140" s="69">
        <v>51.213</v>
      </c>
      <c r="C140" s="69">
        <v>65.755</v>
      </c>
      <c r="D140" s="70" cm="1">
        <f t="array" ref="D140">SUM(A140:C140)</f>
        <v>116.982</v>
      </c>
      <c r="E140" s="68">
        <v>0.005</v>
      </c>
      <c r="F140" s="69">
        <v>57.376</v>
      </c>
      <c r="G140" s="69">
        <v>59.551</v>
      </c>
      <c r="H140" s="70" cm="1">
        <f t="array" ref="H140">SUM(E140:G140)</f>
        <v>116.932</v>
      </c>
      <c r="I140" s="68" cm="1">
        <f t="array" ref="I140">A140+E140</f>
        <v>0.019</v>
      </c>
      <c r="J140" s="69" cm="1">
        <f t="array" ref="J140">B140+F140</f>
        <v>108.589</v>
      </c>
      <c r="K140" s="69" cm="1">
        <f t="array" ref="K140">C140+G140</f>
        <v>125.306</v>
      </c>
      <c r="L140" s="70" cm="1">
        <f t="array" ref="L140">D140+H140</f>
        <v>233.914</v>
      </c>
      <c r="M140" s="71"/>
      <c r="N140" t="s" s="74">
        <v>47</v>
      </c>
      <c r="O140" s="72"/>
    </row>
    <row r="141" ht="14.25" customHeight="1">
      <c r="A141" s="68">
        <v>0.019</v>
      </c>
      <c r="B141" s="69">
        <v>54.393</v>
      </c>
      <c r="C141" s="69">
        <v>54.675</v>
      </c>
      <c r="D141" s="70" cm="1">
        <f t="array" ref="D141">SUM(A141:C141)</f>
        <v>109.087</v>
      </c>
      <c r="E141" s="68">
        <v>0</v>
      </c>
      <c r="F141" s="69">
        <v>52.913</v>
      </c>
      <c r="G141" s="69">
        <v>53.529</v>
      </c>
      <c r="H141" s="70" cm="1">
        <f t="array" ref="H141">SUM(E141:G141)</f>
        <v>106.442</v>
      </c>
      <c r="I141" s="68" cm="1">
        <f t="array" ref="I141">A141+E141</f>
        <v>0.019</v>
      </c>
      <c r="J141" s="69" cm="1">
        <f t="array" ref="J141">B141+F141</f>
        <v>107.306</v>
      </c>
      <c r="K141" s="69" cm="1">
        <f t="array" ref="K141">C141+G141</f>
        <v>108.204</v>
      </c>
      <c r="L141" s="70" cm="1">
        <f t="array" ref="L141">D141+H141</f>
        <v>215.529</v>
      </c>
      <c r="M141" s="71"/>
      <c r="N141" t="s" s="74">
        <v>48</v>
      </c>
      <c r="O141" s="72"/>
    </row>
    <row r="142" ht="14.25" customHeight="1">
      <c r="A142" s="68">
        <v>0</v>
      </c>
      <c r="B142" s="69">
        <v>39.699</v>
      </c>
      <c r="C142" s="69">
        <v>46.046</v>
      </c>
      <c r="D142" s="70" cm="1">
        <f t="array" ref="D142">SUM(A142:C142)</f>
        <v>85.745</v>
      </c>
      <c r="E142" s="68">
        <v>0.006</v>
      </c>
      <c r="F142" s="69">
        <v>45.372</v>
      </c>
      <c r="G142" s="69">
        <v>41.765</v>
      </c>
      <c r="H142" s="70" cm="1">
        <f t="array" ref="H142">SUM(E142:G142)</f>
        <v>87.143</v>
      </c>
      <c r="I142" s="68" cm="1">
        <f t="array" ref="I142">A142+E142</f>
        <v>0.006</v>
      </c>
      <c r="J142" s="69" cm="1">
        <f t="array" ref="J142">B142+F142</f>
        <v>85.071</v>
      </c>
      <c r="K142" s="69" cm="1">
        <f t="array" ref="K142">C142+G142</f>
        <v>87.81100000000001</v>
      </c>
      <c r="L142" s="70" cm="1">
        <f t="array" ref="L142">D142+H142</f>
        <v>172.888</v>
      </c>
      <c r="M142" s="71"/>
      <c r="N142" t="s" s="74">
        <v>49</v>
      </c>
      <c r="O142" s="72"/>
    </row>
    <row r="143" ht="14.25" customHeight="1">
      <c r="A143" s="68" cm="1">
        <f t="array" ref="A143">SUM(A140:A142)</f>
        <v>0.033</v>
      </c>
      <c r="B143" s="69" cm="1">
        <f t="array" ref="B143">SUM(B140:B142)</f>
        <v>145.305</v>
      </c>
      <c r="C143" s="69" cm="1">
        <f t="array" ref="C143">SUM(C140:C142)</f>
        <v>166.476</v>
      </c>
      <c r="D143" s="70" cm="1">
        <f t="array" ref="D143">SUM(D140:D142)</f>
        <v>311.814</v>
      </c>
      <c r="E143" s="68" cm="1">
        <f t="array" ref="E143">SUM(E140:E142)</f>
        <v>0.011</v>
      </c>
      <c r="F143" s="69" cm="1">
        <f t="array" ref="F143">SUM(F140:F142)</f>
        <v>155.661</v>
      </c>
      <c r="G143" s="69" cm="1">
        <f t="array" ref="G143">SUM(G140:G142)</f>
        <v>154.845</v>
      </c>
      <c r="H143" s="70" cm="1">
        <f t="array" ref="H143">SUM(H140:H142)</f>
        <v>310.517</v>
      </c>
      <c r="I143" s="68" cm="1">
        <f t="array" ref="I143">SUM(I140:I142)</f>
        <v>0.044</v>
      </c>
      <c r="J143" s="69" cm="1">
        <f t="array" ref="J143">SUM(J140:J142)</f>
        <v>300.966</v>
      </c>
      <c r="K143" s="69" cm="1">
        <f t="array" ref="K143">SUM(K140:K142)</f>
        <v>321.321</v>
      </c>
      <c r="L143" s="70" cm="1">
        <f t="array" ref="L143">SUM(L140:L142)</f>
        <v>622.331</v>
      </c>
      <c r="M143" s="71"/>
      <c r="N143" t="s" s="74">
        <v>39</v>
      </c>
      <c r="O143" s="72"/>
    </row>
    <row r="144" ht="14.25" customHeight="1">
      <c r="A144" s="68">
        <v>0.006</v>
      </c>
      <c r="B144" s="69">
        <v>51.691</v>
      </c>
      <c r="C144" s="69">
        <v>42.238</v>
      </c>
      <c r="D144" s="70" cm="1">
        <f t="array" ref="D144">SUM(A144:C144)</f>
        <v>93.935</v>
      </c>
      <c r="E144" s="68">
        <v>0.003</v>
      </c>
      <c r="F144" s="69">
        <v>49.695</v>
      </c>
      <c r="G144" s="69">
        <v>41.613</v>
      </c>
      <c r="H144" s="70" cm="1">
        <f t="array" ref="H144">SUM(E144:G144)</f>
        <v>91.31100000000001</v>
      </c>
      <c r="I144" s="68" cm="1">
        <f t="array" ref="I144">A144+E144</f>
        <v>0.008999999999999999</v>
      </c>
      <c r="J144" s="69" cm="1">
        <f t="array" ref="J144">B144+F144</f>
        <v>101.386</v>
      </c>
      <c r="K144" s="69" cm="1">
        <f t="array" ref="K144">C144+G144</f>
        <v>83.851</v>
      </c>
      <c r="L144" s="70" cm="1">
        <f t="array" ref="L144">D144+H144</f>
        <v>185.246</v>
      </c>
      <c r="M144" s="71"/>
      <c r="N144" t="s" s="74">
        <v>50</v>
      </c>
      <c r="O144" s="72"/>
    </row>
    <row r="145" ht="14.25" customHeight="1">
      <c r="A145" s="68">
        <v>0.014</v>
      </c>
      <c r="B145" s="69">
        <v>44.011</v>
      </c>
      <c r="C145" s="69">
        <v>40.642</v>
      </c>
      <c r="D145" s="70" cm="1">
        <f t="array" ref="D145">SUM(A145:C145)</f>
        <v>84.667</v>
      </c>
      <c r="E145" s="68">
        <v>0</v>
      </c>
      <c r="F145" s="69">
        <v>45.334</v>
      </c>
      <c r="G145" s="69">
        <v>41.832</v>
      </c>
      <c r="H145" s="70" cm="1">
        <f t="array" ref="H145">SUM(E145:G145)</f>
        <v>87.166</v>
      </c>
      <c r="I145" s="68" cm="1">
        <f t="array" ref="I145">A145+E145</f>
        <v>0.014</v>
      </c>
      <c r="J145" s="69" cm="1">
        <f t="array" ref="J145">B145+F145</f>
        <v>89.345</v>
      </c>
      <c r="K145" s="69" cm="1">
        <f t="array" ref="K145">C145+G145</f>
        <v>82.474</v>
      </c>
      <c r="L145" s="70" cm="1">
        <f t="array" ref="L145">D145+H145</f>
        <v>171.833</v>
      </c>
      <c r="M145" s="71"/>
      <c r="N145" t="s" s="74">
        <v>51</v>
      </c>
      <c r="O145" s="72"/>
    </row>
    <row r="146" ht="14.25" customHeight="1">
      <c r="A146" s="68">
        <v>0.007</v>
      </c>
      <c r="B146" s="69">
        <v>46.575</v>
      </c>
      <c r="C146" s="69">
        <v>50.139</v>
      </c>
      <c r="D146" s="70" cm="1">
        <f t="array" ref="D146">SUM(A146:C146)</f>
        <v>96.721</v>
      </c>
      <c r="E146" s="68">
        <v>0</v>
      </c>
      <c r="F146" s="69">
        <v>47.375</v>
      </c>
      <c r="G146" s="69">
        <v>52.81</v>
      </c>
      <c r="H146" s="70" cm="1">
        <f t="array" ref="H146">SUM(E146:G146)</f>
        <v>100.185</v>
      </c>
      <c r="I146" s="68" cm="1">
        <f t="array" ref="I146">A146+E146</f>
        <v>0.007</v>
      </c>
      <c r="J146" s="69" cm="1">
        <f t="array" ref="J146">B146+F146</f>
        <v>93.95</v>
      </c>
      <c r="K146" s="69" cm="1">
        <f t="array" ref="K146">C146+G146</f>
        <v>102.949</v>
      </c>
      <c r="L146" s="70" cm="1">
        <f t="array" ref="L146">D146+H146</f>
        <v>196.906</v>
      </c>
      <c r="M146" s="71"/>
      <c r="N146" t="s" s="74">
        <v>52</v>
      </c>
      <c r="O146" s="72"/>
    </row>
    <row r="147" ht="14.25" customHeight="1">
      <c r="A147" s="68" cm="1">
        <f t="array" ref="A147">SUM(A144:A146)</f>
        <v>0.027</v>
      </c>
      <c r="B147" s="69" cm="1">
        <f t="array" ref="B147">SUM(B144:B146)</f>
        <v>142.277</v>
      </c>
      <c r="C147" s="69" cm="1">
        <f t="array" ref="C147">SUM(C144:C146)</f>
        <v>133.019</v>
      </c>
      <c r="D147" s="70" cm="1">
        <f t="array" ref="D147">SUM(D144:D146)</f>
        <v>275.323</v>
      </c>
      <c r="E147" s="68" cm="1">
        <f t="array" ref="E147">SUM(E144:E146)</f>
        <v>0.003</v>
      </c>
      <c r="F147" s="69" cm="1">
        <f t="array" ref="F147">SUM(F144:F146)</f>
        <v>142.404</v>
      </c>
      <c r="G147" s="69" cm="1">
        <f t="array" ref="G147">SUM(G144:G146)</f>
        <v>136.255</v>
      </c>
      <c r="H147" s="70" cm="1">
        <f t="array" ref="H147">SUM(H144:H146)</f>
        <v>278.662</v>
      </c>
      <c r="I147" s="68" cm="1">
        <f t="array" ref="I147">SUM(I144:I146)</f>
        <v>0.03</v>
      </c>
      <c r="J147" s="69" cm="1">
        <f t="array" ref="J147">SUM(J144:J146)</f>
        <v>284.681</v>
      </c>
      <c r="K147" s="69" cm="1">
        <f t="array" ref="K147">SUM(K144:K146)</f>
        <v>269.274</v>
      </c>
      <c r="L147" s="70" cm="1">
        <f t="array" ref="L147">SUM(L144:L146)</f>
        <v>553.985</v>
      </c>
      <c r="M147" s="71"/>
      <c r="N147" t="s" s="74">
        <v>40</v>
      </c>
      <c r="O147" s="72"/>
    </row>
    <row r="148" ht="8" customHeight="1">
      <c r="A148" s="75"/>
      <c r="B148" s="76"/>
      <c r="C148" s="76"/>
      <c r="D148" s="77"/>
      <c r="E148" s="75"/>
      <c r="F148" s="76"/>
      <c r="G148" s="76"/>
      <c r="H148" s="77"/>
      <c r="I148" s="75"/>
      <c r="J148" s="76"/>
      <c r="K148" s="76"/>
      <c r="L148" s="77"/>
      <c r="M148" s="78"/>
      <c r="N148" s="79"/>
      <c r="O148" s="72"/>
    </row>
    <row r="149" ht="15.75" customHeight="1">
      <c r="A149" s="68">
        <v>0</v>
      </c>
      <c r="B149" s="69">
        <v>54.098</v>
      </c>
      <c r="C149" s="69">
        <v>48.834</v>
      </c>
      <c r="D149" s="70" cm="1">
        <f t="array" ref="D149">SUM(A149:C149)</f>
        <v>102.932</v>
      </c>
      <c r="E149" s="68">
        <v>0</v>
      </c>
      <c r="F149" s="69">
        <v>53.259</v>
      </c>
      <c r="G149" s="69">
        <v>46.159</v>
      </c>
      <c r="H149" s="70" cm="1">
        <f t="array" ref="H149">SUM(E149:G149)</f>
        <v>99.41800000000001</v>
      </c>
      <c r="I149" s="68" cm="1">
        <f t="array" ref="I149">A149+E149</f>
        <v>0</v>
      </c>
      <c r="J149" s="69" cm="1">
        <f t="array" ref="J149">B149+F149</f>
        <v>107.357</v>
      </c>
      <c r="K149" s="69" cm="1">
        <f t="array" ref="K149">C149+G149</f>
        <v>94.99299999999999</v>
      </c>
      <c r="L149" s="70" cm="1">
        <f t="array" ref="L149">D149+H149</f>
        <v>202.35</v>
      </c>
      <c r="M149" s="71"/>
      <c r="N149" t="s" s="74">
        <v>41</v>
      </c>
      <c r="O149" s="80">
        <v>2014</v>
      </c>
    </row>
    <row r="150" ht="14.25" customHeight="1">
      <c r="A150" s="68">
        <v>0.032</v>
      </c>
      <c r="B150" s="69">
        <v>51.412</v>
      </c>
      <c r="C150" s="69">
        <v>45.262</v>
      </c>
      <c r="D150" s="70" cm="1">
        <f t="array" ref="D150">SUM(A150:C150)</f>
        <v>96.706</v>
      </c>
      <c r="E150" s="68">
        <v>0</v>
      </c>
      <c r="F150" s="69">
        <v>56.687</v>
      </c>
      <c r="G150" s="69">
        <v>40.351</v>
      </c>
      <c r="H150" s="70" cm="1">
        <f t="array" ref="H150">SUM(E150:G150)</f>
        <v>97.038</v>
      </c>
      <c r="I150" s="68" cm="1">
        <f t="array" ref="I150">A150+E150</f>
        <v>0.032</v>
      </c>
      <c r="J150" s="69" cm="1">
        <f t="array" ref="J150">B150+F150</f>
        <v>108.099</v>
      </c>
      <c r="K150" s="69" cm="1">
        <f t="array" ref="K150">C150+G150</f>
        <v>85.613</v>
      </c>
      <c r="L150" s="70" cm="1">
        <f t="array" ref="L150">D150+H150</f>
        <v>193.744</v>
      </c>
      <c r="M150" s="71"/>
      <c r="N150" t="s" s="74">
        <v>42</v>
      </c>
      <c r="O150" s="80"/>
    </row>
    <row r="151" ht="16" customHeight="1">
      <c r="A151" s="75">
        <v>0.045</v>
      </c>
      <c r="B151" s="76">
        <v>44.959</v>
      </c>
      <c r="C151" s="76">
        <v>52.509</v>
      </c>
      <c r="D151" s="70" cm="1">
        <f t="array" ref="D151">SUM(A151:C151)</f>
        <v>97.51300000000001</v>
      </c>
      <c r="E151" s="75">
        <v>0</v>
      </c>
      <c r="F151" s="76">
        <v>57.667</v>
      </c>
      <c r="G151" s="76">
        <v>50.412</v>
      </c>
      <c r="H151" s="70" cm="1">
        <f t="array" ref="H151">SUM(E151:G151)</f>
        <v>108.079</v>
      </c>
      <c r="I151" s="68" cm="1">
        <f t="array" ref="I151">A151+E151</f>
        <v>0.045</v>
      </c>
      <c r="J151" s="69" cm="1">
        <f t="array" ref="J151">B151+F151</f>
        <v>102.626</v>
      </c>
      <c r="K151" s="69" cm="1">
        <f t="array" ref="K151">C151+G151</f>
        <v>102.921</v>
      </c>
      <c r="L151" s="70" cm="1">
        <f t="array" ref="L151">D151+H151</f>
        <v>205.592</v>
      </c>
      <c r="M151" s="78"/>
      <c r="N151" t="s" s="79">
        <v>43</v>
      </c>
      <c r="O151" s="80"/>
    </row>
    <row r="152" ht="14.25" customHeight="1">
      <c r="A152" s="68" cm="1">
        <f t="array" ref="A152">SUM(A149:A151)</f>
        <v>0.077</v>
      </c>
      <c r="B152" s="69" cm="1">
        <f t="array" ref="B152">SUM(B149:B151)</f>
        <v>150.469</v>
      </c>
      <c r="C152" s="69" cm="1">
        <f t="array" ref="C152">SUM(C149:C151)</f>
        <v>146.605</v>
      </c>
      <c r="D152" s="70" cm="1">
        <f t="array" ref="D152">SUM(D149:D151)</f>
        <v>297.151</v>
      </c>
      <c r="E152" s="68" cm="1">
        <f t="array" ref="E152">SUM(E149:E151)</f>
        <v>0</v>
      </c>
      <c r="F152" s="69" cm="1">
        <f t="array" ref="F152">SUM(F149:F151)</f>
        <v>167.613</v>
      </c>
      <c r="G152" s="69" cm="1">
        <f t="array" ref="G152">SUM(G149:G151)</f>
        <v>136.922</v>
      </c>
      <c r="H152" s="70" cm="1">
        <f t="array" ref="H152">SUM(H149:H151)</f>
        <v>304.535</v>
      </c>
      <c r="I152" s="68" cm="1">
        <f t="array" ref="I152">SUM(I149:I151)</f>
        <v>0.077</v>
      </c>
      <c r="J152" s="69" cm="1">
        <f t="array" ref="J152">SUM(J149:J151)</f>
        <v>318.082</v>
      </c>
      <c r="K152" s="69" cm="1">
        <f t="array" ref="K152">SUM(K149:K151)</f>
        <v>283.527</v>
      </c>
      <c r="L152" s="70" cm="1">
        <f t="array" ref="L152">SUM(L149:L151)</f>
        <v>601.686</v>
      </c>
      <c r="M152" s="71"/>
      <c r="N152" t="s" s="74">
        <v>37</v>
      </c>
      <c r="O152" s="72">
        <v>2014</v>
      </c>
    </row>
    <row r="153" ht="14.25" customHeight="1">
      <c r="A153" s="68">
        <v>0.005</v>
      </c>
      <c r="B153" s="69">
        <v>44.664</v>
      </c>
      <c r="C153" s="69">
        <v>50.713</v>
      </c>
      <c r="D153" s="70" cm="1">
        <f t="array" ref="D153">SUM(A153:C153)</f>
        <v>95.38200000000001</v>
      </c>
      <c r="E153" s="68">
        <v>0</v>
      </c>
      <c r="F153" s="69">
        <v>49.163</v>
      </c>
      <c r="G153" s="69">
        <v>55.383</v>
      </c>
      <c r="H153" s="70" cm="1">
        <f t="array" ref="H153">SUM(E153:G153)</f>
        <v>104.546</v>
      </c>
      <c r="I153" s="68" cm="1">
        <f t="array" ref="I153">A153+E153</f>
        <v>0.005</v>
      </c>
      <c r="J153" s="69" cm="1">
        <f t="array" ref="J153">B153+F153</f>
        <v>93.827</v>
      </c>
      <c r="K153" s="69" cm="1">
        <f t="array" ref="K153">C153+G153</f>
        <v>106.096</v>
      </c>
      <c r="L153" s="70" cm="1">
        <f t="array" ref="L153">D153+H153</f>
        <v>199.928</v>
      </c>
      <c r="M153" s="71"/>
      <c r="N153" t="s" s="74">
        <v>44</v>
      </c>
      <c r="O153" s="80"/>
    </row>
    <row r="154" ht="14.25" customHeight="1">
      <c r="A154" s="68">
        <v>0</v>
      </c>
      <c r="B154" s="69">
        <v>56.345</v>
      </c>
      <c r="C154" s="69">
        <v>55.303</v>
      </c>
      <c r="D154" s="70" cm="1">
        <f t="array" ref="D154">SUM(A154:C154)</f>
        <v>111.648</v>
      </c>
      <c r="E154" s="68">
        <v>0.002</v>
      </c>
      <c r="F154" s="69">
        <v>52.72</v>
      </c>
      <c r="G154" s="69">
        <v>46.776</v>
      </c>
      <c r="H154" s="70" cm="1">
        <f t="array" ref="H154">SUM(E154:G154)</f>
        <v>99.498</v>
      </c>
      <c r="I154" s="68" cm="1">
        <f t="array" ref="I154">A154+E154</f>
        <v>0.002</v>
      </c>
      <c r="J154" s="69" cm="1">
        <f t="array" ref="J154">B154+F154</f>
        <v>109.065</v>
      </c>
      <c r="K154" s="69" cm="1">
        <f t="array" ref="K154">C154+G154</f>
        <v>102.079</v>
      </c>
      <c r="L154" s="70" cm="1">
        <f t="array" ref="L154">D154+H154</f>
        <v>211.146</v>
      </c>
      <c r="M154" s="71"/>
      <c r="N154" t="s" s="74">
        <v>45</v>
      </c>
      <c r="O154" s="80"/>
    </row>
    <row r="155" ht="14.25" customHeight="1">
      <c r="A155" s="68">
        <v>0</v>
      </c>
      <c r="B155" s="69">
        <v>58.288</v>
      </c>
      <c r="C155" s="69">
        <v>51.332</v>
      </c>
      <c r="D155" s="70" cm="1">
        <f t="array" ref="D155">SUM(A155:C155)</f>
        <v>109.62</v>
      </c>
      <c r="E155" s="68">
        <v>0.003</v>
      </c>
      <c r="F155" s="69">
        <v>57.953</v>
      </c>
      <c r="G155" s="69">
        <v>49.566</v>
      </c>
      <c r="H155" s="70" cm="1">
        <f t="array" ref="H155">SUM(E155:G155)</f>
        <v>107.522</v>
      </c>
      <c r="I155" s="68" cm="1">
        <f t="array" ref="I155">A155+E155</f>
        <v>0.003</v>
      </c>
      <c r="J155" s="69" cm="1">
        <f t="array" ref="J155">B155+F155</f>
        <v>116.241</v>
      </c>
      <c r="K155" s="69" cm="1">
        <f t="array" ref="K155">C155+G155</f>
        <v>100.898</v>
      </c>
      <c r="L155" s="70" cm="1">
        <f t="array" ref="L155">D155+H155</f>
        <v>217.142</v>
      </c>
      <c r="M155" s="71"/>
      <c r="N155" t="s" s="74">
        <v>46</v>
      </c>
      <c r="O155" s="80"/>
    </row>
    <row r="156" ht="14.25" customHeight="1">
      <c r="A156" s="68" cm="1">
        <f t="array" ref="A156">SUM(A153:A155)</f>
        <v>0.005</v>
      </c>
      <c r="B156" s="69" cm="1">
        <f t="array" ref="B156">SUM(B153:B155)</f>
        <v>159.297</v>
      </c>
      <c r="C156" s="69" cm="1">
        <f t="array" ref="C156">SUM(C153:C155)</f>
        <v>157.348</v>
      </c>
      <c r="D156" s="70" cm="1">
        <f t="array" ref="D156">SUM(D153:D155)</f>
        <v>316.65</v>
      </c>
      <c r="E156" s="68" cm="1">
        <f t="array" ref="E156">SUM(E153:E155)</f>
        <v>0.005</v>
      </c>
      <c r="F156" s="69" cm="1">
        <f t="array" ref="F156">SUM(F153:F155)</f>
        <v>159.836</v>
      </c>
      <c r="G156" s="69" cm="1">
        <f t="array" ref="G156">SUM(G153:G155)</f>
        <v>151.725</v>
      </c>
      <c r="H156" s="70" cm="1">
        <f t="array" ref="H156">SUM(H153:H155)</f>
        <v>311.566</v>
      </c>
      <c r="I156" s="68" cm="1">
        <f t="array" ref="I156">SUM(I153:I155)</f>
        <v>0.01</v>
      </c>
      <c r="J156" s="69" cm="1">
        <f t="array" ref="J156">SUM(J153:J155)</f>
        <v>319.133</v>
      </c>
      <c r="K156" s="69" cm="1">
        <f t="array" ref="K156">SUM(K153:K155)</f>
        <v>309.073</v>
      </c>
      <c r="L156" s="70" cm="1">
        <f t="array" ref="L156">SUM(L153:L155)</f>
        <v>628.216</v>
      </c>
      <c r="M156" s="71"/>
      <c r="N156" t="s" s="74">
        <v>38</v>
      </c>
      <c r="O156" s="80"/>
    </row>
    <row r="157" ht="14.25" customHeight="1">
      <c r="A157" s="68">
        <v>0</v>
      </c>
      <c r="B157" s="69">
        <v>51.124</v>
      </c>
      <c r="C157" s="69">
        <v>54.66</v>
      </c>
      <c r="D157" s="70" cm="1">
        <f t="array" ref="D157">SUM(A157:C157)</f>
        <v>105.784</v>
      </c>
      <c r="E157" s="68">
        <v>0.002</v>
      </c>
      <c r="F157" s="69">
        <v>49.868</v>
      </c>
      <c r="G157" s="69">
        <v>61.182</v>
      </c>
      <c r="H157" s="70" cm="1">
        <f t="array" ref="H157">SUM(E157:G157)</f>
        <v>111.052</v>
      </c>
      <c r="I157" s="68" cm="1">
        <f t="array" ref="I157">A157+E157</f>
        <v>0.002</v>
      </c>
      <c r="J157" s="69" cm="1">
        <f t="array" ref="J157">B157+F157</f>
        <v>100.992</v>
      </c>
      <c r="K157" s="69" cm="1">
        <f t="array" ref="K157">C157+G157</f>
        <v>115.842</v>
      </c>
      <c r="L157" s="70" cm="1">
        <f t="array" ref="L157">D157+H157</f>
        <v>216.836</v>
      </c>
      <c r="M157" s="71"/>
      <c r="N157" t="s" s="74">
        <v>47</v>
      </c>
      <c r="O157" s="80"/>
    </row>
    <row r="158" ht="14.25" customHeight="1">
      <c r="A158" s="68">
        <v>0</v>
      </c>
      <c r="B158" s="69">
        <v>50.757</v>
      </c>
      <c r="C158" s="69">
        <v>52.065</v>
      </c>
      <c r="D158" s="70" cm="1">
        <f t="array" ref="D158">SUM(A158:C158)</f>
        <v>102.822</v>
      </c>
      <c r="E158" s="68">
        <v>0.026</v>
      </c>
      <c r="F158" s="69">
        <v>50.05</v>
      </c>
      <c r="G158" s="69">
        <v>49.43</v>
      </c>
      <c r="H158" s="70" cm="1">
        <f t="array" ref="H158">SUM(E158:G158)</f>
        <v>99.506</v>
      </c>
      <c r="I158" s="68" cm="1">
        <f t="array" ref="I158">A158+E158</f>
        <v>0.026</v>
      </c>
      <c r="J158" s="69" cm="1">
        <f t="array" ref="J158">B158+F158</f>
        <v>100.807</v>
      </c>
      <c r="K158" s="69" cm="1">
        <f t="array" ref="K158">C158+G158</f>
        <v>101.495</v>
      </c>
      <c r="L158" s="70" cm="1">
        <f t="array" ref="L158">D158+H158</f>
        <v>202.328</v>
      </c>
      <c r="M158" s="71"/>
      <c r="N158" t="s" s="74">
        <v>48</v>
      </c>
      <c r="O158" s="80"/>
    </row>
    <row r="159" ht="14.25" customHeight="1">
      <c r="A159" s="68">
        <v>0.03</v>
      </c>
      <c r="B159" s="69">
        <v>51.662</v>
      </c>
      <c r="C159" s="69">
        <v>51.015</v>
      </c>
      <c r="D159" s="70" cm="1">
        <f t="array" ref="D159">SUM(A159:C159)</f>
        <v>102.707</v>
      </c>
      <c r="E159" s="68">
        <v>0</v>
      </c>
      <c r="F159" s="69">
        <v>48.92</v>
      </c>
      <c r="G159" s="69">
        <v>46.085</v>
      </c>
      <c r="H159" s="70" cm="1">
        <f t="array" ref="H159">SUM(E159:G159)</f>
        <v>95.005</v>
      </c>
      <c r="I159" s="68" cm="1">
        <f t="array" ref="I159">A159+E159</f>
        <v>0.03</v>
      </c>
      <c r="J159" s="69" cm="1">
        <f t="array" ref="J159">B159+F159</f>
        <v>100.582</v>
      </c>
      <c r="K159" s="69" cm="1">
        <f t="array" ref="K159">C159+G159</f>
        <v>97.09999999999999</v>
      </c>
      <c r="L159" s="70" cm="1">
        <f t="array" ref="L159">D159+H159</f>
        <v>197.712</v>
      </c>
      <c r="M159" s="71"/>
      <c r="N159" t="s" s="74">
        <v>49</v>
      </c>
      <c r="O159" s="80"/>
    </row>
    <row r="160" ht="14.25" customHeight="1">
      <c r="A160" s="68" cm="1">
        <f t="array" ref="A160">SUM(A157:A159)</f>
        <v>0.03</v>
      </c>
      <c r="B160" s="69" cm="1">
        <f t="array" ref="B160">SUM(B157:B159)</f>
        <v>153.543</v>
      </c>
      <c r="C160" s="69" cm="1">
        <f t="array" ref="C160">SUM(C157:C159)</f>
        <v>157.74</v>
      </c>
      <c r="D160" s="70" cm="1">
        <f t="array" ref="D160">SUM(D157:D159)</f>
        <v>311.313</v>
      </c>
      <c r="E160" s="68" cm="1">
        <f t="array" ref="E160">SUM(E157:E159)</f>
        <v>0.028</v>
      </c>
      <c r="F160" s="69" cm="1">
        <f t="array" ref="F160">SUM(F157:F159)</f>
        <v>148.838</v>
      </c>
      <c r="G160" s="69" cm="1">
        <f t="array" ref="G160">SUM(G157:G159)</f>
        <v>156.697</v>
      </c>
      <c r="H160" s="70" cm="1">
        <f t="array" ref="H160">SUM(H157:H159)</f>
        <v>305.563</v>
      </c>
      <c r="I160" s="68" cm="1">
        <f t="array" ref="I160">SUM(I157:I159)</f>
        <v>0.058</v>
      </c>
      <c r="J160" s="69" cm="1">
        <f t="array" ref="J160">SUM(J157:J159)</f>
        <v>302.381</v>
      </c>
      <c r="K160" s="69" cm="1">
        <f t="array" ref="K160">SUM(K157:K159)</f>
        <v>314.437</v>
      </c>
      <c r="L160" s="70" cm="1">
        <f t="array" ref="L160">SUM(L157:L159)</f>
        <v>616.876</v>
      </c>
      <c r="M160" s="71"/>
      <c r="N160" t="s" s="74">
        <v>39</v>
      </c>
      <c r="O160" s="80"/>
    </row>
    <row r="161" ht="16" customHeight="1">
      <c r="A161" s="75">
        <v>0.013</v>
      </c>
      <c r="B161" s="76">
        <v>47.879</v>
      </c>
      <c r="C161" s="76">
        <v>50.121</v>
      </c>
      <c r="D161" s="77" cm="1">
        <f t="array" ref="D161">SUM(A161:C161)</f>
        <v>98.01300000000001</v>
      </c>
      <c r="E161" s="75">
        <v>0</v>
      </c>
      <c r="F161" s="76">
        <v>50.242</v>
      </c>
      <c r="G161" s="76">
        <v>49.588</v>
      </c>
      <c r="H161" s="77" cm="1">
        <f t="array" ref="H161">SUM(E161:G161)</f>
        <v>99.83</v>
      </c>
      <c r="I161" s="75" cm="1">
        <f t="array" ref="I161">A161+E161</f>
        <v>0.013</v>
      </c>
      <c r="J161" s="76" cm="1">
        <f t="array" ref="J161">B161+F161</f>
        <v>98.121</v>
      </c>
      <c r="K161" s="76" cm="1">
        <f t="array" ref="K161">C161+G161</f>
        <v>99.709</v>
      </c>
      <c r="L161" s="77" cm="1">
        <f t="array" ref="L161">D161+H161</f>
        <v>197.843</v>
      </c>
      <c r="M161" s="78"/>
      <c r="N161" t="s" s="79">
        <v>50</v>
      </c>
      <c r="O161" s="80"/>
    </row>
    <row r="162" ht="16" customHeight="1">
      <c r="A162" s="75">
        <v>0</v>
      </c>
      <c r="B162" s="76">
        <v>49.327</v>
      </c>
      <c r="C162" s="76">
        <v>46.963</v>
      </c>
      <c r="D162" s="77" cm="1">
        <f t="array" ref="D162">SUM(A162:C162)</f>
        <v>96.29000000000001</v>
      </c>
      <c r="E162" s="75">
        <v>0.002</v>
      </c>
      <c r="F162" s="76">
        <v>48.574</v>
      </c>
      <c r="G162" s="76">
        <v>41.931</v>
      </c>
      <c r="H162" s="77" cm="1">
        <f t="array" ref="H162">SUM(E162:G162)</f>
        <v>90.50700000000001</v>
      </c>
      <c r="I162" s="75" cm="1">
        <f t="array" ref="I162">A162+E162</f>
        <v>0.002</v>
      </c>
      <c r="J162" s="76" cm="1">
        <f t="array" ref="J162">B162+F162</f>
        <v>97.901</v>
      </c>
      <c r="K162" s="76" cm="1">
        <f t="array" ref="K162">C162+G162</f>
        <v>88.89400000000001</v>
      </c>
      <c r="L162" s="77" cm="1">
        <f t="array" ref="L162">D162+H162</f>
        <v>186.797</v>
      </c>
      <c r="M162" s="78"/>
      <c r="N162" t="s" s="79">
        <v>51</v>
      </c>
      <c r="O162" s="80"/>
    </row>
    <row r="163" ht="16" customHeight="1">
      <c r="A163" s="75">
        <v>0</v>
      </c>
      <c r="B163" s="76">
        <v>57.245</v>
      </c>
      <c r="C163" s="76">
        <v>48.324</v>
      </c>
      <c r="D163" s="77" cm="1">
        <f t="array" ref="D163">SUM(A163:C163)</f>
        <v>105.569</v>
      </c>
      <c r="E163" s="75">
        <v>0.02</v>
      </c>
      <c r="F163" s="76">
        <v>56.843</v>
      </c>
      <c r="G163" s="76">
        <v>52.28</v>
      </c>
      <c r="H163" s="77" cm="1">
        <f t="array" ref="H163">SUM(E163:G163)</f>
        <v>109.143</v>
      </c>
      <c r="I163" s="75" cm="1">
        <f t="array" ref="I163">A163+E163</f>
        <v>0.02</v>
      </c>
      <c r="J163" s="76" cm="1">
        <f t="array" ref="J163">B163+F163</f>
        <v>114.088</v>
      </c>
      <c r="K163" s="76" cm="1">
        <f t="array" ref="K163">C163+G163</f>
        <v>100.604</v>
      </c>
      <c r="L163" s="77" cm="1">
        <f t="array" ref="L163">D163+H163</f>
        <v>214.712</v>
      </c>
      <c r="M163" s="78"/>
      <c r="N163" t="s" s="79">
        <v>52</v>
      </c>
      <c r="O163" s="80"/>
    </row>
    <row r="164" ht="14.25" customHeight="1">
      <c r="A164" s="68" cm="1">
        <f t="array" ref="A164">SUM(A161:A163)</f>
        <v>0.013</v>
      </c>
      <c r="B164" s="69" cm="1">
        <f t="array" ref="B164">SUM(B161:B163)</f>
        <v>154.451</v>
      </c>
      <c r="C164" s="69" cm="1">
        <f t="array" ref="C164">SUM(C161:C163)</f>
        <v>145.408</v>
      </c>
      <c r="D164" s="70" cm="1">
        <f t="array" ref="D164">SUM(D161:D163)</f>
        <v>299.872</v>
      </c>
      <c r="E164" s="68" cm="1">
        <f t="array" ref="E164">SUM(E161:E163)</f>
        <v>0.022</v>
      </c>
      <c r="F164" s="69" cm="1">
        <f t="array" ref="F164">SUM(F161:F163)</f>
        <v>155.659</v>
      </c>
      <c r="G164" s="69" cm="1">
        <f t="array" ref="G164">SUM(G161:G163)</f>
        <v>143.799</v>
      </c>
      <c r="H164" s="70" cm="1">
        <f t="array" ref="H164">SUM(H161:H163)</f>
        <v>299.48</v>
      </c>
      <c r="I164" s="68" cm="1">
        <f t="array" ref="I164">SUM(I161:I163)</f>
        <v>0.035</v>
      </c>
      <c r="J164" s="69" cm="1">
        <f t="array" ref="J164">SUM(J161:J163)</f>
        <v>310.11</v>
      </c>
      <c r="K164" s="69" cm="1">
        <f t="array" ref="K164">SUM(K161:K163)</f>
        <v>289.207</v>
      </c>
      <c r="L164" s="70" cm="1">
        <f t="array" ref="L164">SUM(L161:L163)</f>
        <v>599.352</v>
      </c>
      <c r="M164" s="71"/>
      <c r="N164" t="s" s="74">
        <v>40</v>
      </c>
      <c r="O164" s="80"/>
    </row>
    <row r="165" ht="9" customHeight="1">
      <c r="A165" s="75"/>
      <c r="B165" s="29"/>
      <c r="C165" s="29"/>
      <c r="D165" s="77"/>
      <c r="E165" s="75"/>
      <c r="F165" s="29"/>
      <c r="G165" s="29"/>
      <c r="H165" s="77"/>
      <c r="I165" s="75"/>
      <c r="J165" s="76"/>
      <c r="K165" s="76"/>
      <c r="L165" s="77"/>
      <c r="M165" s="78"/>
      <c r="N165" s="79"/>
      <c r="O165" s="80"/>
    </row>
    <row r="166" ht="16" customHeight="1">
      <c r="A166" s="75">
        <v>0</v>
      </c>
      <c r="B166" s="76">
        <v>48.592</v>
      </c>
      <c r="C166" s="76">
        <v>48.528</v>
      </c>
      <c r="D166" s="77" cm="1">
        <f t="array" ref="D166">SUM(A166:C166)</f>
        <v>97.12</v>
      </c>
      <c r="E166" s="75">
        <v>0</v>
      </c>
      <c r="F166" s="76">
        <v>47.945</v>
      </c>
      <c r="G166" s="76">
        <v>51.695</v>
      </c>
      <c r="H166" s="77" cm="1">
        <f t="array" ref="H166">SUM(E166:G166)</f>
        <v>99.64</v>
      </c>
      <c r="I166" s="75" cm="1">
        <f t="array" ref="I166">A166+E166</f>
        <v>0</v>
      </c>
      <c r="J166" s="76" cm="1">
        <f t="array" ref="J166">B166+F166</f>
        <v>96.53700000000001</v>
      </c>
      <c r="K166" s="76" cm="1">
        <f t="array" ref="K166">C166+G166</f>
        <v>100.223</v>
      </c>
      <c r="L166" s="77" cm="1">
        <f t="array" ref="L166">D166+H166</f>
        <v>196.76</v>
      </c>
      <c r="M166" s="78"/>
      <c r="N166" t="s" s="79">
        <v>41</v>
      </c>
      <c r="O166" s="80">
        <v>2015</v>
      </c>
    </row>
    <row r="167" ht="16" customHeight="1">
      <c r="A167" s="75">
        <v>0.077</v>
      </c>
      <c r="B167" s="76">
        <v>40.251</v>
      </c>
      <c r="C167" s="76">
        <v>48.389</v>
      </c>
      <c r="D167" s="77" cm="1">
        <f t="array" ref="D167">SUM(A167:C167)</f>
        <v>88.717</v>
      </c>
      <c r="E167" s="75">
        <v>0</v>
      </c>
      <c r="F167" s="76">
        <v>46.933</v>
      </c>
      <c r="G167" s="76">
        <v>49.238</v>
      </c>
      <c r="H167" s="77" cm="1">
        <f t="array" ref="H167">SUM(E167:G167)</f>
        <v>96.17100000000001</v>
      </c>
      <c r="I167" s="75" cm="1">
        <f t="array" ref="I167">A167+E167</f>
        <v>0.077</v>
      </c>
      <c r="J167" s="76" cm="1">
        <f t="array" ref="J167">B167+F167</f>
        <v>87.184</v>
      </c>
      <c r="K167" s="76" cm="1">
        <f t="array" ref="K167">C167+G167</f>
        <v>97.627</v>
      </c>
      <c r="L167" s="77" cm="1">
        <f t="array" ref="L167">D167+H167</f>
        <v>184.888</v>
      </c>
      <c r="M167" s="78"/>
      <c r="N167" t="s" s="79">
        <v>42</v>
      </c>
      <c r="O167" s="80"/>
    </row>
    <row r="168" ht="16" customHeight="1">
      <c r="A168" s="75">
        <v>0</v>
      </c>
      <c r="B168" s="76">
        <v>58.906</v>
      </c>
      <c r="C168" s="76">
        <v>62.311</v>
      </c>
      <c r="D168" s="77" cm="1">
        <f t="array" ref="D168">SUM(A168:C168)</f>
        <v>121.217</v>
      </c>
      <c r="E168" s="75">
        <v>0</v>
      </c>
      <c r="F168" s="76">
        <v>63.535</v>
      </c>
      <c r="G168" s="76">
        <v>62.885</v>
      </c>
      <c r="H168" s="77" cm="1">
        <f t="array" ref="H168">SUM(E168:G168)</f>
        <v>126.42</v>
      </c>
      <c r="I168" s="75" cm="1">
        <f t="array" ref="I168">A168+E168</f>
        <v>0</v>
      </c>
      <c r="J168" s="76" cm="1">
        <f t="array" ref="J168">B168+F168</f>
        <v>122.441</v>
      </c>
      <c r="K168" s="76" cm="1">
        <f t="array" ref="K168">C168+G168</f>
        <v>125.196</v>
      </c>
      <c r="L168" s="77" cm="1">
        <f t="array" ref="L168">D168+H168</f>
        <v>247.637</v>
      </c>
      <c r="M168" s="78"/>
      <c r="N168" t="s" s="79">
        <v>43</v>
      </c>
      <c r="O168" s="80"/>
    </row>
    <row r="169" ht="14.25" customHeight="1">
      <c r="A169" s="68" cm="1">
        <f t="array" ref="A169">SUM(A166:A168)</f>
        <v>0.077</v>
      </c>
      <c r="B169" s="69" cm="1">
        <f t="array" ref="B169">SUM(B166:B168)</f>
        <v>147.749</v>
      </c>
      <c r="C169" s="69" cm="1">
        <f t="array" ref="C169">SUM(C166:C168)</f>
        <v>159.228</v>
      </c>
      <c r="D169" s="70" cm="1">
        <f t="array" ref="D169">SUM(D166:D168)</f>
        <v>307.054</v>
      </c>
      <c r="E169" s="68" cm="1">
        <f t="array" ref="E169">SUM(E166:E168)</f>
        <v>0</v>
      </c>
      <c r="F169" s="69" cm="1">
        <f t="array" ref="F169">SUM(F166:F168)</f>
        <v>158.413</v>
      </c>
      <c r="G169" s="69" cm="1">
        <f t="array" ref="G169">SUM(G166:G168)</f>
        <v>163.818</v>
      </c>
      <c r="H169" s="70" cm="1">
        <f t="array" ref="H169">SUM(H166:H168)</f>
        <v>322.231</v>
      </c>
      <c r="I169" s="68" cm="1">
        <f t="array" ref="I169">SUM(I166:I168)</f>
        <v>0.077</v>
      </c>
      <c r="J169" s="69" cm="1">
        <f t="array" ref="J169">SUM(J166:J168)</f>
        <v>306.162</v>
      </c>
      <c r="K169" s="69" cm="1">
        <f t="array" ref="K169">SUM(K166:K168)</f>
        <v>323.046</v>
      </c>
      <c r="L169" s="70" cm="1">
        <f t="array" ref="L169">SUM(L166:L168)</f>
        <v>629.285</v>
      </c>
      <c r="M169" s="71"/>
      <c r="N169" t="s" s="74">
        <v>37</v>
      </c>
      <c r="O169" s="72">
        <v>2015</v>
      </c>
    </row>
    <row r="170" ht="14.25" customHeight="1">
      <c r="A170" s="68">
        <v>0.008</v>
      </c>
      <c r="B170" s="69">
        <v>54.354</v>
      </c>
      <c r="C170" s="69">
        <v>51.622</v>
      </c>
      <c r="D170" s="70" cm="1">
        <f t="array" ref="D170">SUM(A170:C170)</f>
        <v>105.984</v>
      </c>
      <c r="E170" s="68">
        <v>0</v>
      </c>
      <c r="F170" s="69">
        <v>53.372</v>
      </c>
      <c r="G170" s="69">
        <v>52.33</v>
      </c>
      <c r="H170" s="70" cm="1">
        <f t="array" ref="H170">SUM(E170:G170)</f>
        <v>105.702</v>
      </c>
      <c r="I170" s="68" cm="1">
        <f t="array" ref="I170">A170+E170</f>
        <v>0.008</v>
      </c>
      <c r="J170" s="69" cm="1">
        <f t="array" ref="J170">B170+F170</f>
        <v>107.726</v>
      </c>
      <c r="K170" s="69" cm="1">
        <f t="array" ref="K170">C170+G170</f>
        <v>103.952</v>
      </c>
      <c r="L170" s="70" cm="1">
        <f t="array" ref="L170">D170+H170</f>
        <v>211.686</v>
      </c>
      <c r="M170" s="71"/>
      <c r="N170" t="s" s="74">
        <v>44</v>
      </c>
      <c r="O170" s="72"/>
    </row>
    <row r="171" ht="14.25" customHeight="1">
      <c r="A171" s="68">
        <v>0.027</v>
      </c>
      <c r="B171" s="69">
        <v>54.958</v>
      </c>
      <c r="C171" s="69">
        <v>51.588</v>
      </c>
      <c r="D171" s="70" cm="1">
        <f t="array" ref="D171">SUM(A171:C171)</f>
        <v>106.573</v>
      </c>
      <c r="E171" s="68">
        <v>0</v>
      </c>
      <c r="F171" s="69">
        <v>55.317</v>
      </c>
      <c r="G171" s="69">
        <v>44.742</v>
      </c>
      <c r="H171" s="70" cm="1">
        <f t="array" ref="H171">SUM(E171:G171)</f>
        <v>100.059</v>
      </c>
      <c r="I171" s="68" cm="1">
        <f t="array" ref="I171">A171+E171</f>
        <v>0.027</v>
      </c>
      <c r="J171" s="69" cm="1">
        <f t="array" ref="J171">B171+F171</f>
        <v>110.275</v>
      </c>
      <c r="K171" s="69" cm="1">
        <f t="array" ref="K171">C171+G171</f>
        <v>96.33</v>
      </c>
      <c r="L171" s="70" cm="1">
        <f t="array" ref="L171">D171+H171</f>
        <v>206.632</v>
      </c>
      <c r="M171" s="71"/>
      <c r="N171" t="s" s="74">
        <v>45</v>
      </c>
      <c r="O171" s="72"/>
    </row>
    <row r="172" ht="14.25" customHeight="1">
      <c r="A172" s="68">
        <v>0</v>
      </c>
      <c r="B172" s="69">
        <v>61.222</v>
      </c>
      <c r="C172" s="69">
        <v>53.51</v>
      </c>
      <c r="D172" s="70" cm="1">
        <f t="array" ref="D172">SUM(A172:C172)</f>
        <v>114.732</v>
      </c>
      <c r="E172" s="68">
        <v>0</v>
      </c>
      <c r="F172" s="69">
        <v>61.241</v>
      </c>
      <c r="G172" s="69">
        <v>54.328</v>
      </c>
      <c r="H172" s="70" cm="1">
        <f t="array" ref="H172">SUM(E172:G172)</f>
        <v>115.569</v>
      </c>
      <c r="I172" s="68" cm="1">
        <f t="array" ref="I172">A172+E172</f>
        <v>0</v>
      </c>
      <c r="J172" s="69" cm="1">
        <f t="array" ref="J172">B172+F172</f>
        <v>122.463</v>
      </c>
      <c r="K172" s="69" cm="1">
        <f t="array" ref="K172">C172+G172</f>
        <v>107.838</v>
      </c>
      <c r="L172" s="70" cm="1">
        <f t="array" ref="L172">D172+H172</f>
        <v>230.301</v>
      </c>
      <c r="M172" s="71"/>
      <c r="N172" t="s" s="74">
        <v>46</v>
      </c>
      <c r="O172" s="72"/>
    </row>
    <row r="173" ht="14.25" customHeight="1">
      <c r="A173" s="68" cm="1">
        <f t="array" ref="A173">SUM(A170:A172)</f>
        <v>0.035</v>
      </c>
      <c r="B173" s="69" cm="1">
        <f t="array" ref="B173">SUM(B170:B172)</f>
        <v>170.534</v>
      </c>
      <c r="C173" s="69" cm="1">
        <f t="array" ref="C173">SUM(C170:C172)</f>
        <v>156.72</v>
      </c>
      <c r="D173" s="70" cm="1">
        <f t="array" ref="D173">SUM(D170:D172)</f>
        <v>327.289</v>
      </c>
      <c r="E173" s="68" cm="1">
        <f t="array" ref="E173">SUM(E170:E172)</f>
        <v>0</v>
      </c>
      <c r="F173" s="69" cm="1">
        <f t="array" ref="F173">SUM(F170:F172)</f>
        <v>169.93</v>
      </c>
      <c r="G173" s="69" cm="1">
        <f t="array" ref="G173">SUM(G170:G172)</f>
        <v>151.4</v>
      </c>
      <c r="H173" s="70" cm="1">
        <f t="array" ref="H173">SUM(H170:H172)</f>
        <v>321.33</v>
      </c>
      <c r="I173" s="68" cm="1">
        <f t="array" ref="I173">SUM(I170:I172)</f>
        <v>0.035</v>
      </c>
      <c r="J173" s="69" cm="1">
        <f t="array" ref="J173">SUM(J170:J172)</f>
        <v>340.464</v>
      </c>
      <c r="K173" s="69" cm="1">
        <f t="array" ref="K173">SUM(K170:K172)</f>
        <v>308.12</v>
      </c>
      <c r="L173" s="70" cm="1">
        <f t="array" ref="L173">SUM(L170:L172)</f>
        <v>648.619</v>
      </c>
      <c r="M173" s="71"/>
      <c r="N173" t="s" s="74">
        <v>38</v>
      </c>
      <c r="O173" s="72"/>
    </row>
    <row r="174" ht="14.25" customHeight="1">
      <c r="A174" s="68">
        <v>0</v>
      </c>
      <c r="B174" s="69">
        <v>56.689</v>
      </c>
      <c r="C174" s="69">
        <v>55.603</v>
      </c>
      <c r="D174" s="70" cm="1">
        <f t="array" ref="D174">SUM(A174:C174)</f>
        <v>112.292</v>
      </c>
      <c r="E174" s="68">
        <v>0.007</v>
      </c>
      <c r="F174" s="69">
        <v>59.926</v>
      </c>
      <c r="G174" s="69">
        <v>48.269</v>
      </c>
      <c r="H174" s="70" cm="1">
        <f t="array" ref="H174">SUM(E174:G174)</f>
        <v>108.202</v>
      </c>
      <c r="I174" s="68" cm="1">
        <f t="array" ref="I174">A174+E174</f>
        <v>0.007</v>
      </c>
      <c r="J174" s="69" cm="1">
        <f t="array" ref="J174">B174+F174</f>
        <v>116.615</v>
      </c>
      <c r="K174" s="69" cm="1">
        <f t="array" ref="K174">C174+G174</f>
        <v>103.872</v>
      </c>
      <c r="L174" s="70" cm="1">
        <f t="array" ref="L174">D174+H174</f>
        <v>220.494</v>
      </c>
      <c r="M174" s="71"/>
      <c r="N174" t="s" s="74">
        <v>47</v>
      </c>
      <c r="O174" s="72"/>
    </row>
    <row r="175" ht="14.25" customHeight="1">
      <c r="A175" s="68">
        <v>0</v>
      </c>
      <c r="B175" s="69">
        <v>53.371</v>
      </c>
      <c r="C175" s="69">
        <v>42.172</v>
      </c>
      <c r="D175" s="70" cm="1">
        <f t="array" ref="D175">SUM(A175:C175)</f>
        <v>95.54300000000001</v>
      </c>
      <c r="E175" s="68">
        <v>0</v>
      </c>
      <c r="F175" s="69">
        <v>62.379</v>
      </c>
      <c r="G175" s="69">
        <v>43.386</v>
      </c>
      <c r="H175" s="70" cm="1">
        <f t="array" ref="H175">SUM(E175:G175)</f>
        <v>105.765</v>
      </c>
      <c r="I175" s="68" cm="1">
        <f t="array" ref="I175">A175+E175</f>
        <v>0</v>
      </c>
      <c r="J175" s="69" cm="1">
        <f t="array" ref="J175">B175+F175</f>
        <v>115.75</v>
      </c>
      <c r="K175" s="69" cm="1">
        <f t="array" ref="K175">C175+G175</f>
        <v>85.55800000000001</v>
      </c>
      <c r="L175" s="70" cm="1">
        <f t="array" ref="L175">D175+H175</f>
        <v>201.308</v>
      </c>
      <c r="M175" s="71"/>
      <c r="N175" t="s" s="74">
        <v>48</v>
      </c>
      <c r="O175" s="72"/>
    </row>
    <row r="176" ht="14.25" customHeight="1">
      <c r="A176" s="68">
        <v>0</v>
      </c>
      <c r="B176" s="69">
        <v>46.317</v>
      </c>
      <c r="C176" s="69">
        <v>44.981</v>
      </c>
      <c r="D176" s="70" cm="1">
        <f t="array" ref="D176">SUM(A176:C176)</f>
        <v>91.298</v>
      </c>
      <c r="E176" s="68">
        <v>0</v>
      </c>
      <c r="F176" s="69">
        <v>49.529</v>
      </c>
      <c r="G176" s="69">
        <v>47.999</v>
      </c>
      <c r="H176" s="70" cm="1">
        <f t="array" ref="H176">SUM(E176:G176)</f>
        <v>97.52800000000001</v>
      </c>
      <c r="I176" s="68" cm="1">
        <f t="array" ref="I176">A176+E176</f>
        <v>0</v>
      </c>
      <c r="J176" s="69" cm="1">
        <f t="array" ref="J176">B176+F176</f>
        <v>95.846</v>
      </c>
      <c r="K176" s="69" cm="1">
        <f t="array" ref="K176">C176+G176</f>
        <v>92.98</v>
      </c>
      <c r="L176" s="70" cm="1">
        <f t="array" ref="L176">D176+H176</f>
        <v>188.826</v>
      </c>
      <c r="M176" s="71"/>
      <c r="N176" t="s" s="74">
        <v>49</v>
      </c>
      <c r="O176" s="72"/>
    </row>
    <row r="177" ht="14.25" customHeight="1">
      <c r="A177" s="68" cm="1">
        <f t="array" ref="A177">SUM(A174:A176)</f>
        <v>0</v>
      </c>
      <c r="B177" s="69" cm="1">
        <f t="array" ref="B177">SUM(B174:B176)</f>
        <v>156.377</v>
      </c>
      <c r="C177" s="69" cm="1">
        <f t="array" ref="C177">SUM(C174:C176)</f>
        <v>142.756</v>
      </c>
      <c r="D177" s="70" cm="1">
        <f t="array" ref="D177">SUM(D174:D176)</f>
        <v>299.133</v>
      </c>
      <c r="E177" s="68" cm="1">
        <f t="array" ref="E177">SUM(E174:E176)</f>
        <v>0.007</v>
      </c>
      <c r="F177" s="69" cm="1">
        <f t="array" ref="F177">SUM(F174:F176)</f>
        <v>171.834</v>
      </c>
      <c r="G177" s="69" cm="1">
        <f t="array" ref="G177">SUM(G174:G176)</f>
        <v>139.654</v>
      </c>
      <c r="H177" s="70" cm="1">
        <f t="array" ref="H177">SUM(H174:H176)</f>
        <v>311.495</v>
      </c>
      <c r="I177" s="68" cm="1">
        <f t="array" ref="I177">SUM(I174:I176)</f>
        <v>0.007</v>
      </c>
      <c r="J177" s="69" cm="1">
        <f t="array" ref="J177">SUM(J174:J176)</f>
        <v>328.211</v>
      </c>
      <c r="K177" s="69" cm="1">
        <f t="array" ref="K177">SUM(K174:K176)</f>
        <v>282.41</v>
      </c>
      <c r="L177" s="70" cm="1">
        <f t="array" ref="L177">SUM(L174:L176)</f>
        <v>610.628</v>
      </c>
      <c r="M177" s="71"/>
      <c r="N177" t="s" s="74">
        <v>39</v>
      </c>
      <c r="O177" s="72"/>
    </row>
    <row r="178" ht="14.25" customHeight="1">
      <c r="A178" s="68">
        <v>0.068</v>
      </c>
      <c r="B178" s="69">
        <v>56.893</v>
      </c>
      <c r="C178" s="69">
        <v>50.763</v>
      </c>
      <c r="D178" s="70" cm="1">
        <f t="array" ref="D178">SUM(A178:C178)</f>
        <v>107.724</v>
      </c>
      <c r="E178" s="68">
        <v>0.026</v>
      </c>
      <c r="F178" s="69">
        <v>57.291</v>
      </c>
      <c r="G178" s="69">
        <v>49.523</v>
      </c>
      <c r="H178" s="70" cm="1">
        <f t="array" ref="H178">SUM(E178:G178)</f>
        <v>106.84</v>
      </c>
      <c r="I178" s="68" cm="1">
        <f t="array" ref="I178">A178+E178</f>
        <v>0.094</v>
      </c>
      <c r="J178" s="69" cm="1">
        <f t="array" ref="J178">B178+F178</f>
        <v>114.184</v>
      </c>
      <c r="K178" s="69" cm="1">
        <f t="array" ref="K178">C178+G178</f>
        <v>100.286</v>
      </c>
      <c r="L178" s="70" cm="1">
        <f t="array" ref="L178">D178+H178</f>
        <v>214.564</v>
      </c>
      <c r="M178" s="71"/>
      <c r="N178" t="s" s="74">
        <v>50</v>
      </c>
      <c r="O178" s="72"/>
    </row>
    <row r="179" ht="14.25" customHeight="1">
      <c r="A179" s="68">
        <v>0</v>
      </c>
      <c r="B179" s="69">
        <v>52.032</v>
      </c>
      <c r="C179" s="69">
        <v>50.079</v>
      </c>
      <c r="D179" s="70" cm="1">
        <f t="array" ref="D179">SUM(A179:C179)</f>
        <v>102.111</v>
      </c>
      <c r="E179" s="68">
        <v>0</v>
      </c>
      <c r="F179" s="69">
        <v>52.961</v>
      </c>
      <c r="G179" s="69">
        <v>49.104</v>
      </c>
      <c r="H179" s="70" cm="1">
        <f t="array" ref="H179">SUM(E179:G179)</f>
        <v>102.065</v>
      </c>
      <c r="I179" s="68" cm="1">
        <f t="array" ref="I179">A179+E179</f>
        <v>0</v>
      </c>
      <c r="J179" s="69" cm="1">
        <f t="array" ref="J179">B179+F179</f>
        <v>104.993</v>
      </c>
      <c r="K179" s="69" cm="1">
        <f t="array" ref="K179">C179+G179</f>
        <v>99.18300000000001</v>
      </c>
      <c r="L179" s="70" cm="1">
        <f t="array" ref="L179">D179+H179</f>
        <v>204.176</v>
      </c>
      <c r="M179" s="71"/>
      <c r="N179" t="s" s="74">
        <v>51</v>
      </c>
      <c r="O179" s="72"/>
    </row>
    <row r="180" ht="14.25" customHeight="1">
      <c r="A180" s="68">
        <v>0.035</v>
      </c>
      <c r="B180" s="69">
        <v>54.066</v>
      </c>
      <c r="C180" s="69">
        <v>51.282</v>
      </c>
      <c r="D180" s="70" cm="1">
        <f t="array" ref="D180">SUM(A180:C180)</f>
        <v>105.383</v>
      </c>
      <c r="E180" s="68">
        <v>0.016</v>
      </c>
      <c r="F180" s="69">
        <v>58.687</v>
      </c>
      <c r="G180" s="69">
        <v>50.248</v>
      </c>
      <c r="H180" s="70" cm="1">
        <f t="array" ref="H180">SUM(E180:G180)</f>
        <v>108.951</v>
      </c>
      <c r="I180" s="68" cm="1">
        <f t="array" ref="I180">A180+E180</f>
        <v>0.051</v>
      </c>
      <c r="J180" s="69" cm="1">
        <f t="array" ref="J180">B180+F180</f>
        <v>112.753</v>
      </c>
      <c r="K180" s="69" cm="1">
        <f t="array" ref="K180">C180+G180</f>
        <v>101.53</v>
      </c>
      <c r="L180" s="70" cm="1">
        <f t="array" ref="L180">D180+H180</f>
        <v>214.334</v>
      </c>
      <c r="M180" s="71"/>
      <c r="N180" t="s" s="74">
        <v>52</v>
      </c>
      <c r="O180" s="72"/>
    </row>
    <row r="181" ht="14.25" customHeight="1">
      <c r="A181" s="68" cm="1">
        <f t="array" ref="A181">SUM(A178:A180)</f>
        <v>0.103</v>
      </c>
      <c r="B181" s="69" cm="1">
        <f t="array" ref="B181">SUM(B178:B180)</f>
        <v>162.991</v>
      </c>
      <c r="C181" s="69" cm="1">
        <f t="array" ref="C181">SUM(C178:C180)</f>
        <v>152.124</v>
      </c>
      <c r="D181" s="70" cm="1">
        <f t="array" ref="D181">SUM(D178:D180)</f>
        <v>315.218</v>
      </c>
      <c r="E181" s="68" cm="1">
        <f t="array" ref="E181">SUM(E178:E180)</f>
        <v>0.042</v>
      </c>
      <c r="F181" s="69" cm="1">
        <f t="array" ref="F181">SUM(F178:F180)</f>
        <v>168.939</v>
      </c>
      <c r="G181" s="69" cm="1">
        <f t="array" ref="G181">SUM(G178:G180)</f>
        <v>148.875</v>
      </c>
      <c r="H181" s="70" cm="1">
        <f t="array" ref="H181">SUM(H178:H180)</f>
        <v>317.856</v>
      </c>
      <c r="I181" s="68" cm="1">
        <f t="array" ref="I181">SUM(I178:I180)</f>
        <v>0.145</v>
      </c>
      <c r="J181" s="69" cm="1">
        <f t="array" ref="J181">SUM(J178:J180)</f>
        <v>331.93</v>
      </c>
      <c r="K181" s="69" cm="1">
        <f t="array" ref="K181">SUM(K178:K180)</f>
        <v>300.999</v>
      </c>
      <c r="L181" s="70" cm="1">
        <f t="array" ref="L181">SUM(L178:L180)</f>
        <v>633.074</v>
      </c>
      <c r="M181" s="71"/>
      <c r="N181" t="s" s="74">
        <v>40</v>
      </c>
      <c r="O181" s="72"/>
    </row>
    <row r="182" ht="8" customHeight="1">
      <c r="A182" s="75"/>
      <c r="B182" s="76"/>
      <c r="C182" s="76"/>
      <c r="D182" s="77"/>
      <c r="E182" s="75"/>
      <c r="F182" s="76"/>
      <c r="G182" s="76"/>
      <c r="H182" s="77"/>
      <c r="I182" s="75"/>
      <c r="J182" s="76"/>
      <c r="K182" s="76"/>
      <c r="L182" s="77"/>
      <c r="M182" s="78"/>
      <c r="N182" s="79"/>
      <c r="O182" s="80"/>
    </row>
    <row r="183" ht="13.5" customHeight="1">
      <c r="A183" s="75">
        <v>0</v>
      </c>
      <c r="B183" s="76">
        <v>52.545</v>
      </c>
      <c r="C183" s="76">
        <v>50.3</v>
      </c>
      <c r="D183" s="77" cm="1">
        <f t="array" ref="D183">SUM(A183:C183)</f>
        <v>102.845</v>
      </c>
      <c r="E183" s="75">
        <v>0</v>
      </c>
      <c r="F183" s="76">
        <v>55.04</v>
      </c>
      <c r="G183" s="76">
        <v>53.129</v>
      </c>
      <c r="H183" s="77" cm="1">
        <f t="array" ref="H183">SUM(E183:G183)</f>
        <v>108.169</v>
      </c>
      <c r="I183" s="75" cm="1">
        <f t="array" ref="I183">A183+E183</f>
        <v>0</v>
      </c>
      <c r="J183" s="76" cm="1">
        <f t="array" ref="J183">B183+F183</f>
        <v>107.585</v>
      </c>
      <c r="K183" s="76" cm="1">
        <f t="array" ref="K183">C183+G183</f>
        <v>103.429</v>
      </c>
      <c r="L183" s="77" cm="1">
        <f t="array" ref="L183">D183+H183</f>
        <v>211.014</v>
      </c>
      <c r="M183" s="78"/>
      <c r="N183" t="s" s="79">
        <v>41</v>
      </c>
      <c r="O183" s="80">
        <v>2016</v>
      </c>
    </row>
    <row r="184" ht="13.5" customHeight="1">
      <c r="A184" s="75">
        <v>0</v>
      </c>
      <c r="B184" s="76">
        <v>57.068</v>
      </c>
      <c r="C184" s="76">
        <v>56.112</v>
      </c>
      <c r="D184" s="77" cm="1">
        <f t="array" ref="D184">SUM(A184:C184)</f>
        <v>113.18</v>
      </c>
      <c r="E184" s="75">
        <v>0</v>
      </c>
      <c r="F184" s="76">
        <v>61.473</v>
      </c>
      <c r="G184" s="76">
        <v>53.708</v>
      </c>
      <c r="H184" s="77" cm="1">
        <f t="array" ref="H184">SUM(E184:G184)</f>
        <v>115.181</v>
      </c>
      <c r="I184" s="75" cm="1">
        <f t="array" ref="I184">A184+E184</f>
        <v>0</v>
      </c>
      <c r="J184" s="76" cm="1">
        <f t="array" ref="J184">B184+F184</f>
        <v>118.541</v>
      </c>
      <c r="K184" s="76" cm="1">
        <f t="array" ref="K184">C184+G184</f>
        <v>109.82</v>
      </c>
      <c r="L184" s="77" cm="1">
        <f t="array" ref="L184">D184+H184</f>
        <v>228.361</v>
      </c>
      <c r="M184" s="78"/>
      <c r="N184" t="s" s="79">
        <v>42</v>
      </c>
      <c r="O184" s="80"/>
    </row>
    <row r="185" ht="13.5" customHeight="1">
      <c r="A185" s="75">
        <v>0</v>
      </c>
      <c r="B185" s="76">
        <v>63.854</v>
      </c>
      <c r="C185" s="76">
        <v>61.709</v>
      </c>
      <c r="D185" s="77" cm="1">
        <f t="array" ref="D185">SUM(A185:C185)</f>
        <v>125.563</v>
      </c>
      <c r="E185" s="75">
        <v>0.024</v>
      </c>
      <c r="F185" s="76">
        <v>63.193</v>
      </c>
      <c r="G185" s="76">
        <v>62.697</v>
      </c>
      <c r="H185" s="77" cm="1">
        <f t="array" ref="H185">SUM(E185:G185)</f>
        <v>125.914</v>
      </c>
      <c r="I185" s="75" cm="1">
        <f t="array" ref="I185">A185+E185</f>
        <v>0.024</v>
      </c>
      <c r="J185" s="76" cm="1">
        <f t="array" ref="J185">B185+F185</f>
        <v>127.047</v>
      </c>
      <c r="K185" s="76" cm="1">
        <f t="array" ref="K185">C185+G185</f>
        <v>124.406</v>
      </c>
      <c r="L185" s="77" cm="1">
        <f t="array" ref="L185">D185+H185</f>
        <v>251.477</v>
      </c>
      <c r="M185" s="78"/>
      <c r="N185" t="s" s="79">
        <v>43</v>
      </c>
      <c r="O185" s="80"/>
    </row>
    <row r="186" ht="13.5" customHeight="1">
      <c r="A186" s="68" cm="1">
        <f t="array" ref="A186">SUM(A183:A185)</f>
        <v>0</v>
      </c>
      <c r="B186" s="69" cm="1">
        <f t="array" ref="B186">SUM(B183:B185)</f>
        <v>173.467</v>
      </c>
      <c r="C186" s="69" cm="1">
        <f t="array" ref="C186">SUM(C183:C185)</f>
        <v>168.121</v>
      </c>
      <c r="D186" s="70" cm="1">
        <f t="array" ref="D186">SUM(D183:D185)</f>
        <v>341.588</v>
      </c>
      <c r="E186" s="68" cm="1">
        <f t="array" ref="E186">SUM(E183:E185)</f>
        <v>0.024</v>
      </c>
      <c r="F186" s="69" cm="1">
        <f t="array" ref="F186">SUM(F183:F185)</f>
        <v>179.706</v>
      </c>
      <c r="G186" s="69" cm="1">
        <f t="array" ref="G186">SUM(G183:G185)</f>
        <v>169.534</v>
      </c>
      <c r="H186" s="70" cm="1">
        <f t="array" ref="H186">SUM(H183:H185)</f>
        <v>349.264</v>
      </c>
      <c r="I186" s="68" cm="1">
        <f t="array" ref="I186">SUM(I183:I185)</f>
        <v>0.024</v>
      </c>
      <c r="J186" s="69" cm="1">
        <f t="array" ref="J186">SUM(J183:J185)</f>
        <v>353.173</v>
      </c>
      <c r="K186" s="69" cm="1">
        <f t="array" ref="K186">SUM(K183:K185)</f>
        <v>337.655</v>
      </c>
      <c r="L186" s="70" cm="1">
        <f t="array" ref="L186">SUM(L183:L185)</f>
        <v>690.852</v>
      </c>
      <c r="M186" s="71"/>
      <c r="N186" t="s" s="74">
        <v>37</v>
      </c>
      <c r="O186" s="72">
        <v>2016</v>
      </c>
    </row>
    <row r="187" ht="13.5" customHeight="1">
      <c r="A187" s="68">
        <v>0</v>
      </c>
      <c r="B187" s="69">
        <v>54.606</v>
      </c>
      <c r="C187" s="69">
        <v>50.174</v>
      </c>
      <c r="D187" s="70" cm="1">
        <f t="array" ref="D187">SUM(A187:C187)</f>
        <v>104.78</v>
      </c>
      <c r="E187" s="68">
        <v>0</v>
      </c>
      <c r="F187" s="69">
        <v>58.564</v>
      </c>
      <c r="G187" s="69">
        <v>49.43</v>
      </c>
      <c r="H187" s="70" cm="1">
        <f t="array" ref="H187">SUM(E187:G187)</f>
        <v>107.994</v>
      </c>
      <c r="I187" s="68" cm="1">
        <f t="array" ref="I187">A187+E187</f>
        <v>0</v>
      </c>
      <c r="J187" s="69" cm="1">
        <f t="array" ref="J187">B187+F187</f>
        <v>113.17</v>
      </c>
      <c r="K187" s="69" cm="1">
        <f t="array" ref="K187">C187+G187</f>
        <v>99.604</v>
      </c>
      <c r="L187" s="70" cm="1">
        <f t="array" ref="L187">D187+H187</f>
        <v>212.774</v>
      </c>
      <c r="M187" s="71"/>
      <c r="N187" t="s" s="74">
        <v>44</v>
      </c>
      <c r="O187" s="72"/>
    </row>
    <row r="188" ht="13.5" customHeight="1">
      <c r="A188" s="68">
        <v>0.015</v>
      </c>
      <c r="B188" s="69">
        <v>64.649</v>
      </c>
      <c r="C188" s="69">
        <v>53.64</v>
      </c>
      <c r="D188" s="70" cm="1">
        <f t="array" ref="D188">SUM(A188:C188)</f>
        <v>118.304</v>
      </c>
      <c r="E188" s="68">
        <v>0</v>
      </c>
      <c r="F188" s="69">
        <v>69.928</v>
      </c>
      <c r="G188" s="69">
        <v>54.021</v>
      </c>
      <c r="H188" s="70" cm="1">
        <f t="array" ref="H188">SUM(E188:G188)</f>
        <v>123.949</v>
      </c>
      <c r="I188" s="68" cm="1">
        <f t="array" ref="I188">A188+E188</f>
        <v>0.015</v>
      </c>
      <c r="J188" s="69" cm="1">
        <f t="array" ref="J188">B188+F188</f>
        <v>134.577</v>
      </c>
      <c r="K188" s="69" cm="1">
        <f t="array" ref="K188">C188+G188</f>
        <v>107.661</v>
      </c>
      <c r="L188" s="70" cm="1">
        <f t="array" ref="L188">D188+H188</f>
        <v>242.253</v>
      </c>
      <c r="M188" s="71"/>
      <c r="N188" t="s" s="74">
        <v>45</v>
      </c>
      <c r="O188" s="72"/>
    </row>
    <row r="189" ht="13.5" customHeight="1">
      <c r="A189" s="68">
        <v>0.08599999999999999</v>
      </c>
      <c r="B189" s="69">
        <v>60.896</v>
      </c>
      <c r="C189" s="69">
        <v>59.061</v>
      </c>
      <c r="D189" s="70" cm="1">
        <f t="array" ref="D189">SUM(A189:C189)</f>
        <v>120.043</v>
      </c>
      <c r="E189" s="68">
        <v>0</v>
      </c>
      <c r="F189" s="69">
        <v>64.063</v>
      </c>
      <c r="G189" s="69">
        <v>52.36</v>
      </c>
      <c r="H189" s="70" cm="1">
        <f t="array" ref="H189">SUM(E189:G189)</f>
        <v>116.423</v>
      </c>
      <c r="I189" s="68" cm="1">
        <f t="array" ref="I189">A189+E189</f>
        <v>0.08599999999999999</v>
      </c>
      <c r="J189" s="69" cm="1">
        <f t="array" ref="J189">B189+F189</f>
        <v>124.959</v>
      </c>
      <c r="K189" s="69" cm="1">
        <f t="array" ref="K189">C189+G189</f>
        <v>111.421</v>
      </c>
      <c r="L189" s="70" cm="1">
        <f t="array" ref="L189">D189+H189</f>
        <v>236.466</v>
      </c>
      <c r="M189" s="71"/>
      <c r="N189" t="s" s="74">
        <v>46</v>
      </c>
      <c r="O189" s="72"/>
    </row>
    <row r="190" ht="13.5" customHeight="1">
      <c r="A190" s="68" cm="1">
        <f t="array" ref="A190">SUM(A187:A189)</f>
        <v>0.101</v>
      </c>
      <c r="B190" s="69" cm="1">
        <f t="array" ref="B190">SUM(B187:B189)</f>
        <v>180.151</v>
      </c>
      <c r="C190" s="69" cm="1">
        <f t="array" ref="C190">SUM(C187:C189)</f>
        <v>162.875</v>
      </c>
      <c r="D190" s="70" cm="1">
        <f t="array" ref="D190">SUM(D187:D189)</f>
        <v>343.127</v>
      </c>
      <c r="E190" s="68" cm="1">
        <f t="array" ref="E190">SUM(E187:E189)</f>
        <v>0</v>
      </c>
      <c r="F190" s="69" cm="1">
        <f t="array" ref="F190">SUM(F187:F189)</f>
        <v>192.555</v>
      </c>
      <c r="G190" s="69" cm="1">
        <f t="array" ref="G190">SUM(G187:G189)</f>
        <v>155.811</v>
      </c>
      <c r="H190" s="70" cm="1">
        <f t="array" ref="H190">SUM(H187:H189)</f>
        <v>348.366</v>
      </c>
      <c r="I190" s="68" cm="1">
        <f t="array" ref="I190">SUM(I187:I189)</f>
        <v>0.101</v>
      </c>
      <c r="J190" s="69" cm="1">
        <f t="array" ref="J190">SUM(J187:J189)</f>
        <v>372.706</v>
      </c>
      <c r="K190" s="69" cm="1">
        <f t="array" ref="K190">SUM(K187:K189)</f>
        <v>318.686</v>
      </c>
      <c r="L190" s="70" cm="1">
        <f t="array" ref="L190">SUM(L187:L189)</f>
        <v>691.4930000000001</v>
      </c>
      <c r="M190" s="71"/>
      <c r="N190" t="s" s="74">
        <v>38</v>
      </c>
      <c r="O190" s="72"/>
    </row>
    <row r="191" ht="13.5" customHeight="1">
      <c r="A191" s="68">
        <v>0</v>
      </c>
      <c r="B191" s="69">
        <v>73.851</v>
      </c>
      <c r="C191" s="69">
        <v>49.792</v>
      </c>
      <c r="D191" s="70" cm="1">
        <f t="array" ref="D191">SUM(A191:C191)</f>
        <v>123.643</v>
      </c>
      <c r="E191" s="68">
        <v>0.008</v>
      </c>
      <c r="F191" s="69">
        <v>58.882</v>
      </c>
      <c r="G191" s="69">
        <v>52.386</v>
      </c>
      <c r="H191" s="70" cm="1">
        <f t="array" ref="H191">SUM(E191:G191)</f>
        <v>111.276</v>
      </c>
      <c r="I191" s="68" cm="1">
        <f t="array" ref="I191">A191+E191</f>
        <v>0.008</v>
      </c>
      <c r="J191" s="69" cm="1">
        <f t="array" ref="J191">B191+F191</f>
        <v>132.733</v>
      </c>
      <c r="K191" s="69" cm="1">
        <f t="array" ref="K191">C191+G191</f>
        <v>102.178</v>
      </c>
      <c r="L191" s="70" cm="1">
        <f t="array" ref="L191">D191+H191</f>
        <v>234.919</v>
      </c>
      <c r="M191" s="71"/>
      <c r="N191" t="s" s="74">
        <v>47</v>
      </c>
      <c r="O191" s="72"/>
    </row>
    <row r="192" ht="13.5" customHeight="1">
      <c r="A192" s="68">
        <v>0</v>
      </c>
      <c r="B192" s="69">
        <v>64.79600000000001</v>
      </c>
      <c r="C192" s="69">
        <v>53.025</v>
      </c>
      <c r="D192" s="70" cm="1">
        <f t="array" ref="D192">SUM(A192:C192)</f>
        <v>117.821</v>
      </c>
      <c r="E192" s="68">
        <v>0</v>
      </c>
      <c r="F192" s="69">
        <v>70.491</v>
      </c>
      <c r="G192" s="69">
        <v>53.527</v>
      </c>
      <c r="H192" s="70" cm="1">
        <f t="array" ref="H192">SUM(E192:G192)</f>
        <v>124.018</v>
      </c>
      <c r="I192" s="68" cm="1">
        <f t="array" ref="I192">A192+E192</f>
        <v>0</v>
      </c>
      <c r="J192" s="69" cm="1">
        <f t="array" ref="J192">B192+F192</f>
        <v>135.287</v>
      </c>
      <c r="K192" s="69" cm="1">
        <f t="array" ref="K192">C192+G192</f>
        <v>106.552</v>
      </c>
      <c r="L192" s="70" cm="1">
        <f t="array" ref="L192">D192+H192</f>
        <v>241.839</v>
      </c>
      <c r="M192" s="71"/>
      <c r="N192" t="s" s="74">
        <v>48</v>
      </c>
      <c r="O192" s="72"/>
    </row>
    <row r="193" ht="13.5" customHeight="1">
      <c r="A193" s="68">
        <v>0.012</v>
      </c>
      <c r="B193" s="69">
        <v>63.142</v>
      </c>
      <c r="C193" s="69">
        <v>53.602</v>
      </c>
      <c r="D193" s="70" cm="1">
        <f t="array" ref="D193">SUM(A193:C193)</f>
        <v>116.756</v>
      </c>
      <c r="E193" s="68">
        <v>0.013</v>
      </c>
      <c r="F193" s="69">
        <v>56.386</v>
      </c>
      <c r="G193" s="69">
        <v>51.275</v>
      </c>
      <c r="H193" s="70" cm="1">
        <f t="array" ref="H193">SUM(E193:G193)</f>
        <v>107.674</v>
      </c>
      <c r="I193" s="68" cm="1">
        <f t="array" ref="I193">A193+E193</f>
        <v>0.025</v>
      </c>
      <c r="J193" s="69" cm="1">
        <f t="array" ref="J193">B193+F193</f>
        <v>119.528</v>
      </c>
      <c r="K193" s="69" cm="1">
        <f t="array" ref="K193">C193+G193</f>
        <v>104.877</v>
      </c>
      <c r="L193" s="70" cm="1">
        <f t="array" ref="L193">D193+H193</f>
        <v>224.43</v>
      </c>
      <c r="M193" s="71"/>
      <c r="N193" t="s" s="74">
        <v>49</v>
      </c>
      <c r="O193" s="72"/>
    </row>
    <row r="194" ht="13.5" customHeight="1">
      <c r="A194" s="68" cm="1">
        <f t="array" ref="A194">SUM(A191:A193)</f>
        <v>0.012</v>
      </c>
      <c r="B194" s="69" cm="1">
        <f t="array" ref="B194">SUM(B191:B193)</f>
        <v>201.789</v>
      </c>
      <c r="C194" s="69" cm="1">
        <f t="array" ref="C194">SUM(C191:C193)</f>
        <v>156.419</v>
      </c>
      <c r="D194" s="70" cm="1">
        <f t="array" ref="D194">SUM(D191:D193)</f>
        <v>358.22</v>
      </c>
      <c r="E194" s="68" cm="1">
        <f t="array" ref="E194">SUM(E191:E193)</f>
        <v>0.021</v>
      </c>
      <c r="F194" s="69" cm="1">
        <f t="array" ref="F194">SUM(F191:F193)</f>
        <v>185.759</v>
      </c>
      <c r="G194" s="69" cm="1">
        <f t="array" ref="G194">SUM(G191:G193)</f>
        <v>157.188</v>
      </c>
      <c r="H194" s="70" cm="1">
        <f t="array" ref="H194">SUM(H191:H193)</f>
        <v>342.968</v>
      </c>
      <c r="I194" s="68" cm="1">
        <f t="array" ref="I194">SUM(I191:I193)</f>
        <v>0.033</v>
      </c>
      <c r="J194" s="69" cm="1">
        <f t="array" ref="J194">SUM(J191:J193)</f>
        <v>387.548</v>
      </c>
      <c r="K194" s="69" cm="1">
        <f t="array" ref="K194">SUM(K191:K193)</f>
        <v>313.607</v>
      </c>
      <c r="L194" s="70" cm="1">
        <f t="array" ref="L194">SUM(L191:L193)</f>
        <v>701.188</v>
      </c>
      <c r="M194" s="71"/>
      <c r="N194" t="s" s="74">
        <v>39</v>
      </c>
      <c r="O194" s="72"/>
    </row>
    <row r="195" ht="13.5" customHeight="1">
      <c r="A195" s="68">
        <v>0.036</v>
      </c>
      <c r="B195" s="69">
        <v>40.61</v>
      </c>
      <c r="C195" s="69">
        <v>42.854</v>
      </c>
      <c r="D195" s="70" cm="1">
        <f t="array" ref="D195">SUM(A195:C195)</f>
        <v>83.5</v>
      </c>
      <c r="E195" s="68">
        <v>0</v>
      </c>
      <c r="F195" s="69">
        <v>54.807</v>
      </c>
      <c r="G195" s="69">
        <v>52.012</v>
      </c>
      <c r="H195" s="70" cm="1">
        <f t="array" ref="H195">SUM(E195:G195)</f>
        <v>106.819</v>
      </c>
      <c r="I195" s="68" cm="1">
        <f t="array" ref="I195">A195+E195</f>
        <v>0.036</v>
      </c>
      <c r="J195" s="69" cm="1">
        <f t="array" ref="J195">B195+F195</f>
        <v>95.417</v>
      </c>
      <c r="K195" s="69" cm="1">
        <f t="array" ref="K195">C195+G195</f>
        <v>94.866</v>
      </c>
      <c r="L195" s="70" cm="1">
        <f t="array" ref="L195">D195+H195</f>
        <v>190.319</v>
      </c>
      <c r="M195" s="71"/>
      <c r="N195" t="s" s="74">
        <v>50</v>
      </c>
      <c r="O195" s="72"/>
    </row>
    <row r="196" ht="13.5" customHeight="1">
      <c r="A196" s="68">
        <v>0</v>
      </c>
      <c r="B196" s="69">
        <v>65.041</v>
      </c>
      <c r="C196" s="69">
        <v>52.795</v>
      </c>
      <c r="D196" s="70" cm="1">
        <f t="array" ref="D196">SUM(A196:C196)</f>
        <v>117.836</v>
      </c>
      <c r="E196" s="68">
        <v>0</v>
      </c>
      <c r="F196" s="69">
        <v>55.537</v>
      </c>
      <c r="G196" s="69">
        <v>48.083</v>
      </c>
      <c r="H196" s="70" cm="1">
        <f t="array" ref="H196">SUM(E196:G196)</f>
        <v>103.62</v>
      </c>
      <c r="I196" s="68" cm="1">
        <f t="array" ref="I196">A196+E196</f>
        <v>0</v>
      </c>
      <c r="J196" s="69" cm="1">
        <f t="array" ref="J196">B196+F196</f>
        <v>120.578</v>
      </c>
      <c r="K196" s="69" cm="1">
        <f t="array" ref="K196">C196+G196</f>
        <v>100.878</v>
      </c>
      <c r="L196" s="70" cm="1">
        <f t="array" ref="L196">D196+H196</f>
        <v>221.456</v>
      </c>
      <c r="M196" s="71"/>
      <c r="N196" t="s" s="74">
        <v>51</v>
      </c>
      <c r="O196" s="72"/>
    </row>
    <row r="197" ht="13.5" customHeight="1">
      <c r="A197" s="68">
        <v>0.094</v>
      </c>
      <c r="B197" s="69">
        <v>54.387</v>
      </c>
      <c r="C197" s="69">
        <v>51.44</v>
      </c>
      <c r="D197" s="70" cm="1">
        <f t="array" ref="D197">SUM(A197:C197)</f>
        <v>105.921</v>
      </c>
      <c r="E197" s="68">
        <v>0.006</v>
      </c>
      <c r="F197" s="69">
        <v>59.267</v>
      </c>
      <c r="G197" s="69">
        <v>50.806</v>
      </c>
      <c r="H197" s="70" cm="1">
        <f t="array" ref="H197">SUM(E197:G197)</f>
        <v>110.079</v>
      </c>
      <c r="I197" s="68" cm="1">
        <f t="array" ref="I197">A197+E197</f>
        <v>0.1</v>
      </c>
      <c r="J197" s="69" cm="1">
        <f t="array" ref="J197">B197+F197</f>
        <v>113.654</v>
      </c>
      <c r="K197" s="69" cm="1">
        <f t="array" ref="K197">C197+G197</f>
        <v>102.246</v>
      </c>
      <c r="L197" s="70" cm="1">
        <f t="array" ref="L197">D197+H197</f>
        <v>216</v>
      </c>
      <c r="M197" s="71"/>
      <c r="N197" t="s" s="74">
        <v>52</v>
      </c>
      <c r="O197" s="72"/>
    </row>
    <row r="198" ht="13.5" customHeight="1">
      <c r="A198" s="68" cm="1">
        <f t="array" ref="A198">SUM(A195:A197)</f>
        <v>0.13</v>
      </c>
      <c r="B198" s="69" cm="1">
        <f t="array" ref="B198">SUM(B195:B197)</f>
        <v>160.038</v>
      </c>
      <c r="C198" s="69" cm="1">
        <f t="array" ref="C198">SUM(C195:C197)</f>
        <v>147.089</v>
      </c>
      <c r="D198" s="70" cm="1">
        <f t="array" ref="D198">SUM(D195:D197)</f>
        <v>307.257</v>
      </c>
      <c r="E198" s="68" cm="1">
        <f t="array" ref="E198">SUM(E195:E197)</f>
        <v>0.006</v>
      </c>
      <c r="F198" s="69" cm="1">
        <f t="array" ref="F198">SUM(F195:F197)</f>
        <v>169.611</v>
      </c>
      <c r="G198" s="69" cm="1">
        <f t="array" ref="G198">SUM(G195:G197)</f>
        <v>150.901</v>
      </c>
      <c r="H198" s="70" cm="1">
        <f t="array" ref="H198">SUM(H195:H197)</f>
        <v>320.518</v>
      </c>
      <c r="I198" s="68" cm="1">
        <f t="array" ref="I198">SUM(I195:I197)</f>
        <v>0.136</v>
      </c>
      <c r="J198" s="69" cm="1">
        <f t="array" ref="J198">SUM(J195:J197)</f>
        <v>329.649</v>
      </c>
      <c r="K198" s="69" cm="1">
        <f t="array" ref="K198">SUM(K195:K197)</f>
        <v>297.99</v>
      </c>
      <c r="L198" s="70" cm="1">
        <f t="array" ref="L198">SUM(L195:L197)</f>
        <v>627.775</v>
      </c>
      <c r="M198" s="71"/>
      <c r="N198" t="s" s="74">
        <v>40</v>
      </c>
      <c r="O198" s="72"/>
    </row>
    <row r="199" ht="13.5" customHeight="1">
      <c r="A199" s="75"/>
      <c r="B199" s="76"/>
      <c r="C199" s="76"/>
      <c r="D199" s="77"/>
      <c r="E199" s="75"/>
      <c r="F199" s="76"/>
      <c r="G199" s="76"/>
      <c r="H199" s="77"/>
      <c r="I199" s="75"/>
      <c r="J199" s="76"/>
      <c r="K199" s="76"/>
      <c r="L199" s="77"/>
      <c r="M199" s="78"/>
      <c r="N199" s="79"/>
      <c r="O199" s="80"/>
    </row>
    <row r="200" ht="13.5" customHeight="1">
      <c r="A200" s="75">
        <v>0</v>
      </c>
      <c r="B200" s="76">
        <v>61.785</v>
      </c>
      <c r="C200" s="76">
        <v>59.289</v>
      </c>
      <c r="D200" s="77" cm="1">
        <f t="array" ref="D200">SUM(A200:C200)</f>
        <v>121.074</v>
      </c>
      <c r="E200" s="75">
        <v>0.037</v>
      </c>
      <c r="F200" s="76">
        <v>65.19799999999999</v>
      </c>
      <c r="G200" s="76">
        <v>57.513</v>
      </c>
      <c r="H200" s="77" cm="1">
        <f t="array" ref="H200">SUM(E200:G200)</f>
        <v>122.748</v>
      </c>
      <c r="I200" s="75" cm="1">
        <f t="array" ref="I200">A200+E200</f>
        <v>0.037</v>
      </c>
      <c r="J200" s="76" cm="1">
        <f t="array" ref="J200">B200+F200</f>
        <v>126.983</v>
      </c>
      <c r="K200" s="76" cm="1">
        <f t="array" ref="K200">C200+G200</f>
        <v>116.802</v>
      </c>
      <c r="L200" s="77" cm="1">
        <f t="array" ref="L200">D200+H200</f>
        <v>243.822</v>
      </c>
      <c r="M200" s="78"/>
      <c r="N200" t="s" s="79">
        <v>41</v>
      </c>
      <c r="O200" s="80">
        <v>2017</v>
      </c>
    </row>
    <row r="201" ht="13.5" customHeight="1">
      <c r="A201" s="75">
        <v>0.02</v>
      </c>
      <c r="B201" s="76">
        <v>56.738</v>
      </c>
      <c r="C201" s="76">
        <v>57.114</v>
      </c>
      <c r="D201" s="77" cm="1">
        <f t="array" ref="D201">SUM(A201:C201)</f>
        <v>113.872</v>
      </c>
      <c r="E201" s="75">
        <v>0.004</v>
      </c>
      <c r="F201" s="76">
        <v>60.905</v>
      </c>
      <c r="G201" s="76">
        <v>51.923</v>
      </c>
      <c r="H201" s="77" cm="1">
        <f t="array" ref="H201">SUM(E201:G201)</f>
        <v>112.832</v>
      </c>
      <c r="I201" s="75" cm="1">
        <f t="array" ref="I201">A201+E201</f>
        <v>0.024</v>
      </c>
      <c r="J201" s="76" cm="1">
        <f t="array" ref="J201">B201+F201</f>
        <v>117.643</v>
      </c>
      <c r="K201" s="76" cm="1">
        <f t="array" ref="K201">C201+G201</f>
        <v>109.037</v>
      </c>
      <c r="L201" s="77" cm="1">
        <f t="array" ref="L201">D201+H201</f>
        <v>226.704</v>
      </c>
      <c r="M201" s="78"/>
      <c r="N201" t="s" s="79">
        <v>42</v>
      </c>
      <c r="O201" s="80"/>
    </row>
    <row r="202" ht="13.5" customHeight="1">
      <c r="A202" s="75">
        <v>0</v>
      </c>
      <c r="B202" s="76">
        <v>62.97</v>
      </c>
      <c r="C202" s="76">
        <v>60.869</v>
      </c>
      <c r="D202" s="77" cm="1">
        <f t="array" ref="D202">SUM(A202:C202)</f>
        <v>123.839</v>
      </c>
      <c r="E202" s="75">
        <v>0</v>
      </c>
      <c r="F202" s="76">
        <v>63.817</v>
      </c>
      <c r="G202" s="76">
        <v>63.478</v>
      </c>
      <c r="H202" s="77" cm="1">
        <f t="array" ref="H202">SUM(E202:G202)</f>
        <v>127.295</v>
      </c>
      <c r="I202" s="75" cm="1">
        <f t="array" ref="I202">A202+E202</f>
        <v>0</v>
      </c>
      <c r="J202" s="76" cm="1">
        <f t="array" ref="J202">B202+F202</f>
        <v>126.787</v>
      </c>
      <c r="K202" s="76" cm="1">
        <f t="array" ref="K202">C202+G202</f>
        <v>124.347</v>
      </c>
      <c r="L202" s="77" cm="1">
        <f t="array" ref="L202">D202+H202</f>
        <v>251.134</v>
      </c>
      <c r="M202" s="78"/>
      <c r="N202" t="s" s="79">
        <v>43</v>
      </c>
      <c r="O202" s="80"/>
    </row>
    <row r="203" ht="13.5" customHeight="1">
      <c r="A203" s="68" cm="1">
        <f t="array" ref="A203">SUM(A200:A202)</f>
        <v>0.02</v>
      </c>
      <c r="B203" s="69" cm="1">
        <f t="array" ref="B203">SUM(B200:B202)</f>
        <v>181.493</v>
      </c>
      <c r="C203" s="69" cm="1">
        <f t="array" ref="C203">SUM(C200:C202)</f>
        <v>177.272</v>
      </c>
      <c r="D203" s="70" cm="1">
        <f t="array" ref="D203">SUM(D200:D202)</f>
        <v>358.785</v>
      </c>
      <c r="E203" s="68" cm="1">
        <f t="array" ref="E203">SUM(E200:E202)</f>
        <v>0.041</v>
      </c>
      <c r="F203" s="69" cm="1">
        <f t="array" ref="F203">SUM(F200:F202)</f>
        <v>189.92</v>
      </c>
      <c r="G203" s="69" cm="1">
        <f t="array" ref="G203">SUM(G200:G202)</f>
        <v>172.914</v>
      </c>
      <c r="H203" s="70" cm="1">
        <f t="array" ref="H203">SUM(H200:H202)</f>
        <v>362.875</v>
      </c>
      <c r="I203" s="68" cm="1">
        <f t="array" ref="I203">SUM(I200:I202)</f>
        <v>0.061</v>
      </c>
      <c r="J203" s="69" cm="1">
        <f t="array" ref="J203">SUM(J200:J202)</f>
        <v>371.413</v>
      </c>
      <c r="K203" s="69" cm="1">
        <f t="array" ref="K203">SUM(K200:K202)</f>
        <v>350.186</v>
      </c>
      <c r="L203" s="70" cm="1">
        <f t="array" ref="L203">SUM(L200:L202)</f>
        <v>721.66</v>
      </c>
      <c r="M203" s="71"/>
      <c r="N203" t="s" s="74">
        <v>37</v>
      </c>
      <c r="O203" s="72">
        <v>2017</v>
      </c>
    </row>
    <row r="204" ht="13.5" customHeight="1">
      <c r="A204" s="68">
        <v>0</v>
      </c>
      <c r="B204" s="69">
        <v>54.336</v>
      </c>
      <c r="C204" s="69">
        <v>62.82</v>
      </c>
      <c r="D204" s="70" cm="1">
        <f t="array" ref="D204">SUM(A204:C204)</f>
        <v>117.156</v>
      </c>
      <c r="E204" s="68">
        <v>0</v>
      </c>
      <c r="F204" s="69">
        <v>67.003</v>
      </c>
      <c r="G204" s="69">
        <v>58.084</v>
      </c>
      <c r="H204" s="70" cm="1">
        <f t="array" ref="H204">SUM(E204:G204)</f>
        <v>125.087</v>
      </c>
      <c r="I204" s="68" cm="1">
        <f t="array" ref="I204">A204+E204</f>
        <v>0</v>
      </c>
      <c r="J204" s="69" cm="1">
        <f t="array" ref="J204">B204+F204</f>
        <v>121.339</v>
      </c>
      <c r="K204" s="69" cm="1">
        <f t="array" ref="K204">C204+G204</f>
        <v>120.904</v>
      </c>
      <c r="L204" s="70" cm="1">
        <f t="array" ref="L204">D204+H204</f>
        <v>242.243</v>
      </c>
      <c r="M204" s="71"/>
      <c r="N204" t="s" s="74">
        <v>44</v>
      </c>
      <c r="O204" s="72"/>
    </row>
    <row r="205" ht="13.5" customHeight="1">
      <c r="A205" s="68">
        <v>0.012</v>
      </c>
      <c r="B205" s="69">
        <v>66.387</v>
      </c>
      <c r="C205" s="69">
        <v>63.582</v>
      </c>
      <c r="D205" s="70" cm="1">
        <f t="array" ref="D205">SUM(A205:C205)</f>
        <v>129.981</v>
      </c>
      <c r="E205" s="68">
        <v>0</v>
      </c>
      <c r="F205" s="69">
        <v>73.34999999999999</v>
      </c>
      <c r="G205" s="69">
        <v>57.993</v>
      </c>
      <c r="H205" s="70" cm="1">
        <f t="array" ref="H205">SUM(E205:G205)</f>
        <v>131.343</v>
      </c>
      <c r="I205" s="68" cm="1">
        <f t="array" ref="I205">A205+E205</f>
        <v>0.012</v>
      </c>
      <c r="J205" s="69" cm="1">
        <f t="array" ref="J205">B205+F205</f>
        <v>139.737</v>
      </c>
      <c r="K205" s="69" cm="1">
        <f t="array" ref="K205">C205+G205</f>
        <v>121.575</v>
      </c>
      <c r="L205" s="70" cm="1">
        <f t="array" ref="L205">D205+H205</f>
        <v>261.324</v>
      </c>
      <c r="M205" s="71"/>
      <c r="N205" t="s" s="74">
        <v>45</v>
      </c>
      <c r="O205" s="72"/>
    </row>
    <row r="206" ht="13.5" customHeight="1">
      <c r="A206" s="68">
        <v>0</v>
      </c>
      <c r="B206" s="69">
        <v>72.262</v>
      </c>
      <c r="C206" s="69">
        <v>65.253</v>
      </c>
      <c r="D206" s="70" cm="1">
        <f t="array" ref="D206">SUM(A206:C206)</f>
        <v>137.515</v>
      </c>
      <c r="E206" s="68">
        <v>0</v>
      </c>
      <c r="F206" s="69">
        <v>68.72499999999999</v>
      </c>
      <c r="G206" s="69">
        <v>56.007</v>
      </c>
      <c r="H206" s="70" cm="1">
        <f t="array" ref="H206">SUM(E206:G206)</f>
        <v>124.732</v>
      </c>
      <c r="I206" s="68" cm="1">
        <f t="array" ref="I206">A206+E206</f>
        <v>0</v>
      </c>
      <c r="J206" s="69" cm="1">
        <f t="array" ref="J206">B206+F206</f>
        <v>140.987</v>
      </c>
      <c r="K206" s="69" cm="1">
        <f t="array" ref="K206">C206+G206</f>
        <v>121.26</v>
      </c>
      <c r="L206" s="70" cm="1">
        <f t="array" ref="L206">D206+H206</f>
        <v>262.247</v>
      </c>
      <c r="M206" s="71"/>
      <c r="N206" t="s" s="74">
        <v>46</v>
      </c>
      <c r="O206" s="72"/>
    </row>
    <row r="207" ht="13.5" customHeight="1">
      <c r="A207" s="68" cm="1">
        <f t="array" ref="A207">SUM(A204:A206)</f>
        <v>0.012</v>
      </c>
      <c r="B207" s="69" cm="1">
        <f t="array" ref="B207">SUM(B204:B206)</f>
        <v>192.985</v>
      </c>
      <c r="C207" s="69" cm="1">
        <f t="array" ref="C207">SUM(C204:C206)</f>
        <v>191.655</v>
      </c>
      <c r="D207" s="70" cm="1">
        <f t="array" ref="D207">SUM(D204:D206)</f>
        <v>384.652</v>
      </c>
      <c r="E207" s="68" cm="1">
        <f t="array" ref="E207">SUM(E204:E206)</f>
        <v>0</v>
      </c>
      <c r="F207" s="69" cm="1">
        <f t="array" ref="F207">SUM(F204:F206)</f>
        <v>209.078</v>
      </c>
      <c r="G207" s="69" cm="1">
        <f t="array" ref="G207">SUM(G204:G206)</f>
        <v>172.084</v>
      </c>
      <c r="H207" s="70" cm="1">
        <f t="array" ref="H207">SUM(H204:H206)</f>
        <v>381.162</v>
      </c>
      <c r="I207" s="68" cm="1">
        <f t="array" ref="I207">SUM(I204:I206)</f>
        <v>0.012</v>
      </c>
      <c r="J207" s="69" cm="1">
        <f t="array" ref="J207">SUM(J204:J206)</f>
        <v>402.063</v>
      </c>
      <c r="K207" s="69" cm="1">
        <f t="array" ref="K207">SUM(K204:K206)</f>
        <v>363.739</v>
      </c>
      <c r="L207" s="70" cm="1">
        <f t="array" ref="L207">SUM(L204:L206)</f>
        <v>765.814</v>
      </c>
      <c r="M207" s="71"/>
      <c r="N207" t="s" s="74">
        <v>38</v>
      </c>
      <c r="O207" s="72"/>
    </row>
    <row r="208" ht="13.5" customHeight="1">
      <c r="A208" s="68">
        <v>0</v>
      </c>
      <c r="B208" s="69">
        <v>67.764</v>
      </c>
      <c r="C208" s="69">
        <v>57.013</v>
      </c>
      <c r="D208" s="70" cm="1">
        <f t="array" ref="D208">SUM(A208:C208)</f>
        <v>124.777</v>
      </c>
      <c r="E208" s="68">
        <v>0</v>
      </c>
      <c r="F208" s="69">
        <v>65.44</v>
      </c>
      <c r="G208" s="69">
        <v>52.38</v>
      </c>
      <c r="H208" s="70" cm="1">
        <f t="array" ref="H208">SUM(E208:G208)</f>
        <v>117.82</v>
      </c>
      <c r="I208" s="68" cm="1">
        <f t="array" ref="I208">A208+E208</f>
        <v>0</v>
      </c>
      <c r="J208" s="69" cm="1">
        <f t="array" ref="J208">B208+F208</f>
        <v>133.204</v>
      </c>
      <c r="K208" s="69" cm="1">
        <f t="array" ref="K208">C208+G208</f>
        <v>109.393</v>
      </c>
      <c r="L208" s="70" cm="1">
        <f t="array" ref="L208">D208+H208</f>
        <v>242.597</v>
      </c>
      <c r="M208" s="71"/>
      <c r="N208" t="s" s="74">
        <v>47</v>
      </c>
      <c r="O208" s="72"/>
    </row>
    <row r="209" ht="13.5" customHeight="1">
      <c r="A209" s="68">
        <v>0.013</v>
      </c>
      <c r="B209" s="69">
        <v>60.403</v>
      </c>
      <c r="C209" s="69">
        <v>58.249</v>
      </c>
      <c r="D209" s="70" cm="1">
        <f t="array" ref="D209">SUM(A209:C209)</f>
        <v>118.665</v>
      </c>
      <c r="E209" s="68">
        <v>0</v>
      </c>
      <c r="F209" s="69">
        <v>70.19199999999999</v>
      </c>
      <c r="G209" s="69">
        <v>52.201</v>
      </c>
      <c r="H209" s="70" cm="1">
        <f t="array" ref="H209">SUM(E209:G209)</f>
        <v>122.393</v>
      </c>
      <c r="I209" s="68" cm="1">
        <f t="array" ref="I209">A209+E209</f>
        <v>0.013</v>
      </c>
      <c r="J209" s="69" cm="1">
        <f t="array" ref="J209">B209+F209</f>
        <v>130.595</v>
      </c>
      <c r="K209" s="69" cm="1">
        <f t="array" ref="K209">C209+G209</f>
        <v>110.45</v>
      </c>
      <c r="L209" s="70" cm="1">
        <f t="array" ref="L209">D209+H209</f>
        <v>241.058</v>
      </c>
      <c r="M209" s="71"/>
      <c r="N209" t="s" s="74">
        <v>48</v>
      </c>
      <c r="O209" s="72"/>
    </row>
    <row r="210" ht="13.5" customHeight="1">
      <c r="A210" s="68">
        <v>0.014</v>
      </c>
      <c r="B210" s="69">
        <v>56.916</v>
      </c>
      <c r="C210" s="69">
        <v>51.637</v>
      </c>
      <c r="D210" s="70" cm="1">
        <f t="array" ref="D210">SUM(A210:C210)</f>
        <v>108.567</v>
      </c>
      <c r="E210" s="68">
        <v>0</v>
      </c>
      <c r="F210" s="69">
        <v>58.491</v>
      </c>
      <c r="G210" s="69">
        <v>46.937</v>
      </c>
      <c r="H210" s="70" cm="1">
        <f t="array" ref="H210">SUM(E210:G210)</f>
        <v>105.428</v>
      </c>
      <c r="I210" s="68" cm="1">
        <f t="array" ref="I210">A210+E210</f>
        <v>0.014</v>
      </c>
      <c r="J210" s="69" cm="1">
        <f t="array" ref="J210">B210+F210</f>
        <v>115.407</v>
      </c>
      <c r="K210" s="69" cm="1">
        <f t="array" ref="K210">C210+G210</f>
        <v>98.574</v>
      </c>
      <c r="L210" s="70" cm="1">
        <f t="array" ref="L210">D210+H210</f>
        <v>213.995</v>
      </c>
      <c r="M210" s="71"/>
      <c r="N210" t="s" s="74">
        <v>49</v>
      </c>
      <c r="O210" s="72"/>
    </row>
    <row r="211" ht="13.5" customHeight="1">
      <c r="A211" s="68" cm="1">
        <f t="array" ref="A211">SUM(A208:A210)</f>
        <v>0.027</v>
      </c>
      <c r="B211" s="69" cm="1">
        <f t="array" ref="B211">SUM(B208:B210)</f>
        <v>185.083</v>
      </c>
      <c r="C211" s="69" cm="1">
        <f t="array" ref="C211">SUM(C208:C210)</f>
        <v>166.899</v>
      </c>
      <c r="D211" s="70" cm="1">
        <f t="array" ref="D211">SUM(D208:D210)</f>
        <v>352.009</v>
      </c>
      <c r="E211" s="68" cm="1">
        <f t="array" ref="E211">SUM(E208:E210)</f>
        <v>0</v>
      </c>
      <c r="F211" s="69" cm="1">
        <f t="array" ref="F211">SUM(F208:F210)</f>
        <v>194.123</v>
      </c>
      <c r="G211" s="69" cm="1">
        <f t="array" ref="G211">SUM(G208:G210)</f>
        <v>151.518</v>
      </c>
      <c r="H211" s="70" cm="1">
        <f t="array" ref="H211">SUM(H208:H210)</f>
        <v>345.641</v>
      </c>
      <c r="I211" s="68" cm="1">
        <f t="array" ref="I211">SUM(I208:I210)</f>
        <v>0.027</v>
      </c>
      <c r="J211" s="69" cm="1">
        <f t="array" ref="J211">SUM(J208:J210)</f>
        <v>379.206</v>
      </c>
      <c r="K211" s="69" cm="1">
        <f t="array" ref="K211">SUM(K208:K210)</f>
        <v>318.417</v>
      </c>
      <c r="L211" s="70" cm="1">
        <f t="array" ref="L211">SUM(L208:L210)</f>
        <v>697.65</v>
      </c>
      <c r="M211" s="71"/>
      <c r="N211" t="s" s="74">
        <v>39</v>
      </c>
      <c r="O211" s="72"/>
    </row>
    <row r="212" ht="13.5" customHeight="1">
      <c r="A212" s="68">
        <v>0.061</v>
      </c>
      <c r="B212" s="69">
        <v>57.627</v>
      </c>
      <c r="C212" s="69">
        <v>54.169</v>
      </c>
      <c r="D212" s="70" cm="1">
        <f t="array" ref="D212">SUM(A212:C212)</f>
        <v>111.857</v>
      </c>
      <c r="E212" s="68">
        <v>0</v>
      </c>
      <c r="F212" s="69">
        <v>64.447</v>
      </c>
      <c r="G212" s="69">
        <v>49.053</v>
      </c>
      <c r="H212" s="70" cm="1">
        <f t="array" ref="H212">SUM(E212:G212)</f>
        <v>113.5</v>
      </c>
      <c r="I212" s="68" cm="1">
        <f t="array" ref="I212">A212+E212</f>
        <v>0.061</v>
      </c>
      <c r="J212" s="69" cm="1">
        <f t="array" ref="J212">B212+F212</f>
        <v>122.074</v>
      </c>
      <c r="K212" s="69" cm="1">
        <f t="array" ref="K212">C212+G212</f>
        <v>103.222</v>
      </c>
      <c r="L212" s="70" cm="1">
        <f t="array" ref="L212">D212+H212</f>
        <v>225.357</v>
      </c>
      <c r="M212" s="71"/>
      <c r="N212" t="s" s="74">
        <v>50</v>
      </c>
      <c r="O212" s="72"/>
    </row>
    <row r="213" ht="13.5" customHeight="1">
      <c r="A213" s="68">
        <v>0.015</v>
      </c>
      <c r="B213" s="69">
        <v>63.211</v>
      </c>
      <c r="C213" s="69">
        <v>53.872</v>
      </c>
      <c r="D213" s="70" cm="1">
        <f t="array" ref="D213">SUM(A213:C213)</f>
        <v>117.098</v>
      </c>
      <c r="E213" s="68">
        <v>0.013</v>
      </c>
      <c r="F213" s="69">
        <v>60.756</v>
      </c>
      <c r="G213" s="69">
        <v>50.558</v>
      </c>
      <c r="H213" s="70" cm="1">
        <f t="array" ref="H213">SUM(E213:G213)</f>
        <v>111.327</v>
      </c>
      <c r="I213" s="68" cm="1">
        <f t="array" ref="I213">A213+E213</f>
        <v>0.028</v>
      </c>
      <c r="J213" s="69" cm="1">
        <f t="array" ref="J213">B213+F213</f>
        <v>123.967</v>
      </c>
      <c r="K213" s="69" cm="1">
        <f t="array" ref="K213">C213+G213</f>
        <v>104.43</v>
      </c>
      <c r="L213" s="70" cm="1">
        <f t="array" ref="L213">D213+H213</f>
        <v>228.425</v>
      </c>
      <c r="M213" s="71"/>
      <c r="N213" t="s" s="74">
        <v>51</v>
      </c>
      <c r="O213" s="72"/>
    </row>
    <row r="214" ht="13.5" customHeight="1">
      <c r="A214" s="68">
        <v>0.026</v>
      </c>
      <c r="B214" s="69">
        <v>58.893</v>
      </c>
      <c r="C214" s="69">
        <v>52.707</v>
      </c>
      <c r="D214" s="70" cm="1">
        <f t="array" ref="D214">SUM(A214:C214)</f>
        <v>111.626</v>
      </c>
      <c r="E214" s="68">
        <v>0.008999999999999999</v>
      </c>
      <c r="F214" s="69">
        <v>67.85599999999999</v>
      </c>
      <c r="G214" s="69">
        <v>50.604</v>
      </c>
      <c r="H214" s="70" cm="1">
        <f t="array" ref="H214">SUM(E214:G214)</f>
        <v>118.469</v>
      </c>
      <c r="I214" s="68" cm="1">
        <f t="array" ref="I214">A214+E214</f>
        <v>0.035</v>
      </c>
      <c r="J214" s="69" cm="1">
        <f t="array" ref="J214">B214+F214</f>
        <v>126.749</v>
      </c>
      <c r="K214" s="69" cm="1">
        <f t="array" ref="K214">C214+G214</f>
        <v>103.311</v>
      </c>
      <c r="L214" s="70" cm="1">
        <f t="array" ref="L214">D214+H214</f>
        <v>230.095</v>
      </c>
      <c r="M214" s="71"/>
      <c r="N214" t="s" s="74">
        <v>52</v>
      </c>
      <c r="O214" s="72"/>
    </row>
    <row r="215" ht="13.5" customHeight="1">
      <c r="A215" s="68" cm="1">
        <f t="array" ref="A215">SUM(A212:A214)</f>
        <v>0.102</v>
      </c>
      <c r="B215" s="69" cm="1">
        <f t="array" ref="B215">SUM(B212:B214)</f>
        <v>179.731</v>
      </c>
      <c r="C215" s="69" cm="1">
        <f t="array" ref="C215">SUM(C212:C214)</f>
        <v>160.748</v>
      </c>
      <c r="D215" s="70" cm="1">
        <f t="array" ref="D215">SUM(D212:D214)</f>
        <v>340.581</v>
      </c>
      <c r="E215" s="68" cm="1">
        <f t="array" ref="E215">SUM(E212:E214)</f>
        <v>0.022</v>
      </c>
      <c r="F215" s="69" cm="1">
        <f t="array" ref="F215">SUM(F212:F214)</f>
        <v>193.059</v>
      </c>
      <c r="G215" s="69" cm="1">
        <f t="array" ref="G215">SUM(G212:G214)</f>
        <v>150.215</v>
      </c>
      <c r="H215" s="70" cm="1">
        <f t="array" ref="H215">SUM(H212:H214)</f>
        <v>343.296</v>
      </c>
      <c r="I215" s="68" cm="1">
        <f t="array" ref="I215">SUM(I212:I214)</f>
        <v>0.124</v>
      </c>
      <c r="J215" s="69" cm="1">
        <f t="array" ref="J215">SUM(J212:J214)</f>
        <v>372.79</v>
      </c>
      <c r="K215" s="69" cm="1">
        <f t="array" ref="K215">SUM(K212:K214)</f>
        <v>310.963</v>
      </c>
      <c r="L215" s="70" cm="1">
        <f t="array" ref="L215">SUM(L212:L214)</f>
        <v>683.877</v>
      </c>
      <c r="M215" s="71"/>
      <c r="N215" t="s" s="74">
        <v>40</v>
      </c>
      <c r="O215" s="72"/>
    </row>
    <row r="216" ht="9" customHeight="1">
      <c r="A216" s="75"/>
      <c r="B216" s="76"/>
      <c r="C216" s="76"/>
      <c r="D216" s="77"/>
      <c r="E216" s="75"/>
      <c r="F216" s="76"/>
      <c r="G216" s="76"/>
      <c r="H216" s="77"/>
      <c r="I216" s="75"/>
      <c r="J216" s="76"/>
      <c r="K216" s="76"/>
      <c r="L216" s="77"/>
      <c r="M216" s="78"/>
      <c r="N216" s="79"/>
      <c r="O216" s="80"/>
    </row>
    <row r="217" ht="13.5" customHeight="1">
      <c r="A217" s="68">
        <v>0</v>
      </c>
      <c r="B217" s="69">
        <v>54.944</v>
      </c>
      <c r="C217" s="69">
        <v>58.412</v>
      </c>
      <c r="D217" s="70" cm="1">
        <f t="array" ref="D217">SUM(A217:C217)</f>
        <v>113.356</v>
      </c>
      <c r="E217" s="68">
        <v>0</v>
      </c>
      <c r="F217" s="69">
        <v>66.84</v>
      </c>
      <c r="G217" s="69">
        <v>53.991</v>
      </c>
      <c r="H217" s="70" cm="1">
        <f t="array" ref="H217">SUM(E217:G217)</f>
        <v>120.831</v>
      </c>
      <c r="I217" s="68" cm="1">
        <f t="array" ref="I217">A217+E217</f>
        <v>0</v>
      </c>
      <c r="J217" s="69" cm="1">
        <f t="array" ref="J217">B217+F217</f>
        <v>121.784</v>
      </c>
      <c r="K217" s="69" cm="1">
        <f t="array" ref="K217">C217+G217</f>
        <v>112.403</v>
      </c>
      <c r="L217" s="70" cm="1">
        <f t="array" ref="L217">D217+H217</f>
        <v>234.187</v>
      </c>
      <c r="M217" s="71"/>
      <c r="N217" t="s" s="74">
        <v>41</v>
      </c>
      <c r="O217" s="72">
        <v>2018</v>
      </c>
    </row>
    <row r="218" ht="13.5" customHeight="1">
      <c r="A218" s="68">
        <v>0</v>
      </c>
      <c r="B218" s="69">
        <v>47.941</v>
      </c>
      <c r="C218" s="69">
        <v>58.192</v>
      </c>
      <c r="D218" s="70" cm="1">
        <f t="array" ref="D218">SUM(A218:C218)</f>
        <v>106.133</v>
      </c>
      <c r="E218" s="68">
        <v>0</v>
      </c>
      <c r="F218" s="81">
        <v>60.944</v>
      </c>
      <c r="G218" s="69">
        <v>54.446</v>
      </c>
      <c r="H218" s="70" cm="1">
        <f t="array" ref="H218">SUM(E218:G218)</f>
        <v>115.39</v>
      </c>
      <c r="I218" s="68" cm="1">
        <f t="array" ref="I218">A218+E218</f>
        <v>0</v>
      </c>
      <c r="J218" s="69" cm="1">
        <f t="array" ref="J218">B218+F218</f>
        <v>108.885</v>
      </c>
      <c r="K218" s="69" cm="1">
        <f t="array" ref="K218">C218+G218</f>
        <v>112.638</v>
      </c>
      <c r="L218" s="70" cm="1">
        <f t="array" ref="L218">D218+H218</f>
        <v>221.523</v>
      </c>
      <c r="M218" s="71"/>
      <c r="N218" t="s" s="74">
        <v>42</v>
      </c>
      <c r="O218" s="72"/>
    </row>
    <row r="219" ht="13.5" customHeight="1">
      <c r="A219" s="68">
        <v>0.015</v>
      </c>
      <c r="B219" s="69">
        <v>57.614</v>
      </c>
      <c r="C219" s="69">
        <v>64.395</v>
      </c>
      <c r="D219" s="70" cm="1">
        <f t="array" ref="D219">SUM(A219:C219)</f>
        <v>122.024</v>
      </c>
      <c r="E219" s="68">
        <v>0</v>
      </c>
      <c r="F219" s="69">
        <v>65.05200000000001</v>
      </c>
      <c r="G219" s="69">
        <v>62.404</v>
      </c>
      <c r="H219" s="70" cm="1">
        <f t="array" ref="H219">SUM(E219:G219)</f>
        <v>127.456</v>
      </c>
      <c r="I219" s="68" cm="1">
        <f t="array" ref="I219">A219+E219</f>
        <v>0.015</v>
      </c>
      <c r="J219" s="69" cm="1">
        <f t="array" ref="J219">B219+F219</f>
        <v>122.666</v>
      </c>
      <c r="K219" s="69" cm="1">
        <f t="array" ref="K219">C219+G219</f>
        <v>126.799</v>
      </c>
      <c r="L219" s="70" cm="1">
        <f t="array" ref="L219">D219+H219</f>
        <v>249.48</v>
      </c>
      <c r="M219" s="71"/>
      <c r="N219" t="s" s="74">
        <v>43</v>
      </c>
      <c r="O219" s="72"/>
    </row>
    <row r="220" ht="13.5" customHeight="1">
      <c r="A220" s="68" cm="1">
        <f t="array" ref="A220">SUM(A217:A219)</f>
        <v>0.015</v>
      </c>
      <c r="B220" s="69" cm="1">
        <f t="array" ref="B220">SUM(B217:B219)</f>
        <v>160.499</v>
      </c>
      <c r="C220" s="69" cm="1">
        <f t="array" ref="C220">SUM(C217:C219)</f>
        <v>180.999</v>
      </c>
      <c r="D220" s="70" cm="1">
        <f t="array" ref="D220">SUM(D217:D219)</f>
        <v>341.513</v>
      </c>
      <c r="E220" s="68" cm="1">
        <f t="array" ref="E220">SUM(E217:E219)</f>
        <v>0</v>
      </c>
      <c r="F220" s="69" cm="1">
        <f t="array" ref="F220">SUM(F217:F219)</f>
        <v>192.836</v>
      </c>
      <c r="G220" s="69" cm="1">
        <f t="array" ref="G220">SUM(G217:G219)</f>
        <v>170.841</v>
      </c>
      <c r="H220" s="70" cm="1">
        <f t="array" ref="H220">SUM(H217:H219)</f>
        <v>363.677</v>
      </c>
      <c r="I220" s="68" cm="1">
        <f t="array" ref="I220">SUM(I217:I219)</f>
        <v>0.015</v>
      </c>
      <c r="J220" s="69" cm="1">
        <f t="array" ref="J220">SUM(J217:J219)</f>
        <v>353.335</v>
      </c>
      <c r="K220" s="69" cm="1">
        <f t="array" ref="K220">SUM(K217:K219)</f>
        <v>351.84</v>
      </c>
      <c r="L220" s="70" cm="1">
        <f t="array" ref="L220">SUM(L217:L219)</f>
        <v>705.1900000000001</v>
      </c>
      <c r="M220" s="71"/>
      <c r="N220" t="s" s="74">
        <v>37</v>
      </c>
      <c r="O220" s="72">
        <v>2018</v>
      </c>
    </row>
    <row r="221" ht="13.5" customHeight="1">
      <c r="A221" s="68">
        <v>0</v>
      </c>
      <c r="B221" s="69">
        <v>55.61</v>
      </c>
      <c r="C221" s="69">
        <v>65.404</v>
      </c>
      <c r="D221" s="70" cm="1">
        <f t="array" ref="D221">SUM(A221:C221)</f>
        <v>121.014</v>
      </c>
      <c r="E221" s="68">
        <v>0.002</v>
      </c>
      <c r="F221" s="69">
        <v>61.535</v>
      </c>
      <c r="G221" s="69">
        <v>65.279</v>
      </c>
      <c r="H221" s="70" cm="1">
        <f t="array" ref="H221">SUM(E221:G221)</f>
        <v>126.816</v>
      </c>
      <c r="I221" s="68" cm="1">
        <f t="array" ref="I221">A221+E221</f>
        <v>0.002</v>
      </c>
      <c r="J221" s="69" cm="1">
        <f t="array" ref="J221">B221+F221</f>
        <v>117.145</v>
      </c>
      <c r="K221" s="69" cm="1">
        <f t="array" ref="K221">C221+G221</f>
        <v>130.683</v>
      </c>
      <c r="L221" s="70" cm="1">
        <f t="array" ref="L221">D221+H221</f>
        <v>247.83</v>
      </c>
      <c r="M221" s="71"/>
      <c r="N221" t="s" s="74">
        <v>44</v>
      </c>
      <c r="O221" s="72"/>
    </row>
    <row r="222" ht="13.5" customHeight="1">
      <c r="A222" s="68">
        <v>0</v>
      </c>
      <c r="B222" s="69">
        <v>46.749</v>
      </c>
      <c r="C222" s="69">
        <v>65.39400000000001</v>
      </c>
      <c r="D222" s="70" cm="1">
        <f t="array" ref="D222">SUM(A222:C222)</f>
        <v>112.143</v>
      </c>
      <c r="E222" s="68">
        <v>0</v>
      </c>
      <c r="F222" s="69">
        <v>62.689</v>
      </c>
      <c r="G222" s="69">
        <v>62.485</v>
      </c>
      <c r="H222" s="70" cm="1">
        <f t="array" ref="H222">SUM(E222:G222)</f>
        <v>125.174</v>
      </c>
      <c r="I222" s="68" cm="1">
        <f t="array" ref="I222">A222+E222</f>
        <v>0</v>
      </c>
      <c r="J222" s="69" cm="1">
        <f t="array" ref="J222">B222+F222</f>
        <v>109.438</v>
      </c>
      <c r="K222" s="69" cm="1">
        <f t="array" ref="K222">C222+G222</f>
        <v>127.879</v>
      </c>
      <c r="L222" s="70" cm="1">
        <f t="array" ref="L222">D222+H222</f>
        <v>237.317</v>
      </c>
      <c r="M222" s="71"/>
      <c r="N222" t="s" s="74">
        <v>45</v>
      </c>
      <c r="O222" s="72"/>
    </row>
    <row r="223" ht="13.5" customHeight="1">
      <c r="A223" s="68">
        <v>0</v>
      </c>
      <c r="B223" s="69">
        <v>66.063</v>
      </c>
      <c r="C223" s="69">
        <v>68.51000000000001</v>
      </c>
      <c r="D223" s="70" cm="1">
        <f t="array" ref="D223">SUM(A223:C223)</f>
        <v>134.573</v>
      </c>
      <c r="E223" s="68">
        <v>0</v>
      </c>
      <c r="F223" s="69">
        <v>66.154</v>
      </c>
      <c r="G223" s="69">
        <v>63.048</v>
      </c>
      <c r="H223" s="70" cm="1">
        <f t="array" ref="H223">SUM(E223:G223)</f>
        <v>129.202</v>
      </c>
      <c r="I223" s="68" cm="1">
        <f t="array" ref="I223">A223+E223</f>
        <v>0</v>
      </c>
      <c r="J223" s="69" cm="1">
        <f t="array" ref="J223">B223+F223</f>
        <v>132.217</v>
      </c>
      <c r="K223" s="69" cm="1">
        <f t="array" ref="K223">C223+G223</f>
        <v>131.558</v>
      </c>
      <c r="L223" s="70" cm="1">
        <f t="array" ref="L223">D223+H223</f>
        <v>263.775</v>
      </c>
      <c r="M223" s="71"/>
      <c r="N223" t="s" s="74">
        <v>46</v>
      </c>
      <c r="O223" s="72"/>
    </row>
    <row r="224" ht="13.5" customHeight="1">
      <c r="A224" s="82" cm="1">
        <f t="array" ref="A224">SUM(A221:A223)</f>
        <v>0</v>
      </c>
      <c r="B224" s="69" cm="1">
        <f t="array" ref="B224">SUM(B221:B223)</f>
        <v>168.422</v>
      </c>
      <c r="C224" s="69" cm="1">
        <f t="array" ref="C224">SUM(C221:C223)</f>
        <v>199.308</v>
      </c>
      <c r="D224" s="70" cm="1">
        <f t="array" ref="D224">SUM(D221:D223)</f>
        <v>367.73</v>
      </c>
      <c r="E224" s="68" cm="1">
        <f t="array" ref="E224">SUM(E221:E223)</f>
        <v>0.002</v>
      </c>
      <c r="F224" s="69" cm="1">
        <f t="array" ref="F224">SUM(F221:F223)</f>
        <v>190.378</v>
      </c>
      <c r="G224" s="69" cm="1">
        <f t="array" ref="G224">SUM(G221:G223)</f>
        <v>190.812</v>
      </c>
      <c r="H224" s="70" cm="1">
        <f t="array" ref="H224">SUM(H221:H223)</f>
        <v>381.192</v>
      </c>
      <c r="I224" s="68" cm="1">
        <f t="array" ref="I224">SUM(I221:I223)</f>
        <v>0.002</v>
      </c>
      <c r="J224" s="69" cm="1">
        <f t="array" ref="J224">SUM(J221:J223)</f>
        <v>358.8</v>
      </c>
      <c r="K224" s="69" cm="1">
        <f t="array" ref="K224">SUM(K221:K223)</f>
        <v>390.12</v>
      </c>
      <c r="L224" s="70" cm="1">
        <f t="array" ref="L224">SUM(L221:L223)</f>
        <v>748.922</v>
      </c>
      <c r="M224" s="71"/>
      <c r="N224" t="s" s="74">
        <v>38</v>
      </c>
      <c r="O224" s="72"/>
    </row>
    <row r="225" ht="13.5" customHeight="1">
      <c r="A225" s="82">
        <v>0.018</v>
      </c>
      <c r="B225" s="69">
        <v>73.40300000000001</v>
      </c>
      <c r="C225" s="69">
        <v>72.958</v>
      </c>
      <c r="D225" s="70" cm="1">
        <f t="array" ref="D225">SUM(A225:C225)</f>
        <v>146.379</v>
      </c>
      <c r="E225" s="68">
        <v>0</v>
      </c>
      <c r="F225" s="69">
        <v>68.91500000000001</v>
      </c>
      <c r="G225" s="69">
        <v>62.956</v>
      </c>
      <c r="H225" s="70" cm="1">
        <f t="array" ref="H225">SUM(E225:G225)</f>
        <v>131.871</v>
      </c>
      <c r="I225" s="68" cm="1">
        <f t="array" ref="I225">A225+E225</f>
        <v>0.018</v>
      </c>
      <c r="J225" s="69" cm="1">
        <f t="array" ref="J225">B225+F225</f>
        <v>142.318</v>
      </c>
      <c r="K225" s="69" cm="1">
        <f t="array" ref="K225">C225+G225</f>
        <v>135.914</v>
      </c>
      <c r="L225" s="70" cm="1">
        <f t="array" ref="L225">D225+H225</f>
        <v>278.25</v>
      </c>
      <c r="M225" s="71"/>
      <c r="N225" t="s" s="74">
        <v>47</v>
      </c>
      <c r="O225" s="72"/>
    </row>
    <row r="226" ht="13.5" customHeight="1">
      <c r="A226" s="82">
        <v>0.1</v>
      </c>
      <c r="B226" s="69">
        <v>70.14700000000001</v>
      </c>
      <c r="C226" s="69">
        <v>64.843</v>
      </c>
      <c r="D226" s="70" cm="1">
        <f t="array" ref="D226">SUM(A226:C226)</f>
        <v>135.09</v>
      </c>
      <c r="E226" s="68">
        <v>0.001</v>
      </c>
      <c r="F226" s="69">
        <v>66.494</v>
      </c>
      <c r="G226" s="69">
        <v>62.858</v>
      </c>
      <c r="H226" s="70" cm="1">
        <f t="array" ref="H226">SUM(E226:G226)</f>
        <v>129.353</v>
      </c>
      <c r="I226" s="68" cm="1">
        <f t="array" ref="I226">A226+E226</f>
        <v>0.101</v>
      </c>
      <c r="J226" s="69" cm="1">
        <f t="array" ref="J226">B226+F226</f>
        <v>136.641</v>
      </c>
      <c r="K226" s="69" cm="1">
        <f t="array" ref="K226">C226+G226</f>
        <v>127.701</v>
      </c>
      <c r="L226" s="70" cm="1">
        <f t="array" ref="L226">D226+H226</f>
        <v>264.443</v>
      </c>
      <c r="M226" s="71"/>
      <c r="N226" t="s" s="74">
        <v>48</v>
      </c>
      <c r="O226" s="72"/>
    </row>
    <row r="227" ht="13.5" customHeight="1">
      <c r="A227" s="82">
        <v>0.027</v>
      </c>
      <c r="B227" s="69">
        <v>44.237</v>
      </c>
      <c r="C227" s="69">
        <v>55.527</v>
      </c>
      <c r="D227" s="70" cm="1">
        <f t="array" ref="D227">SUM(A227:C227)</f>
        <v>99.791</v>
      </c>
      <c r="E227" s="68">
        <v>0</v>
      </c>
      <c r="F227" s="69">
        <v>51.719</v>
      </c>
      <c r="G227" s="69">
        <v>55.525</v>
      </c>
      <c r="H227" s="70" cm="1">
        <f t="array" ref="H227">SUM(E227:G227)</f>
        <v>107.244</v>
      </c>
      <c r="I227" s="68" cm="1">
        <f t="array" ref="I227">A227+E227</f>
        <v>0.027</v>
      </c>
      <c r="J227" s="69" cm="1">
        <f t="array" ref="J227">B227+F227</f>
        <v>95.956</v>
      </c>
      <c r="K227" s="69" cm="1">
        <f t="array" ref="K227">C227+G227</f>
        <v>111.052</v>
      </c>
      <c r="L227" s="70" cm="1">
        <f t="array" ref="L227">D227+H227</f>
        <v>207.035</v>
      </c>
      <c r="M227" s="71"/>
      <c r="N227" t="s" s="74">
        <v>49</v>
      </c>
      <c r="O227" s="72"/>
    </row>
    <row r="228" ht="13.5" customHeight="1">
      <c r="A228" s="82" cm="1">
        <f t="array" ref="A228">SUM(A225:A227)</f>
        <v>0.145</v>
      </c>
      <c r="B228" s="69" cm="1">
        <f t="array" ref="B228">SUM(B225:B227)</f>
        <v>187.787</v>
      </c>
      <c r="C228" s="69" cm="1">
        <f t="array" ref="C228">SUM(C225:C227)</f>
        <v>193.328</v>
      </c>
      <c r="D228" s="70" cm="1">
        <f t="array" ref="D228">SUM(D225:D227)</f>
        <v>381.26</v>
      </c>
      <c r="E228" s="68" cm="1">
        <f t="array" ref="E228">SUM(E225:E227)</f>
        <v>0.001</v>
      </c>
      <c r="F228" s="69" cm="1">
        <f t="array" ref="F228">SUM(F225:F227)</f>
        <v>187.128</v>
      </c>
      <c r="G228" s="69" cm="1">
        <f t="array" ref="G228">SUM(G225:G227)</f>
        <v>181.339</v>
      </c>
      <c r="H228" s="70" cm="1">
        <f t="array" ref="H228">SUM(H225:H227)</f>
        <v>368.468</v>
      </c>
      <c r="I228" s="68" cm="1">
        <f t="array" ref="I228">SUM(I225:I227)</f>
        <v>0.146</v>
      </c>
      <c r="J228" s="69" cm="1">
        <f t="array" ref="J228">SUM(J225:J227)</f>
        <v>374.915</v>
      </c>
      <c r="K228" s="69" cm="1">
        <f t="array" ref="K228">SUM(K225:K227)</f>
        <v>374.667</v>
      </c>
      <c r="L228" s="70" cm="1">
        <f t="array" ref="L228">SUM(L225:L227)</f>
        <v>749.728</v>
      </c>
      <c r="M228" s="71"/>
      <c r="N228" t="s" s="74">
        <v>39</v>
      </c>
      <c r="O228" s="72"/>
    </row>
    <row r="229" ht="13.5" customHeight="1">
      <c r="A229" s="82">
        <v>0</v>
      </c>
      <c r="B229" s="69">
        <v>67.31399999999999</v>
      </c>
      <c r="C229" s="69">
        <v>64.55200000000001</v>
      </c>
      <c r="D229" s="70" cm="1">
        <f t="array" ref="D229">SUM(A229:C229)</f>
        <v>131.866</v>
      </c>
      <c r="E229" s="68">
        <v>0.002</v>
      </c>
      <c r="F229" s="69">
        <v>69.794</v>
      </c>
      <c r="G229" s="69">
        <v>57</v>
      </c>
      <c r="H229" s="70" cm="1">
        <f t="array" ref="H229">SUM(E229:G229)</f>
        <v>126.796</v>
      </c>
      <c r="I229" s="68" cm="1">
        <f t="array" ref="I229">A229+E229</f>
        <v>0.002</v>
      </c>
      <c r="J229" s="69" cm="1">
        <f t="array" ref="J229">B229+F229</f>
        <v>137.108</v>
      </c>
      <c r="K229" s="69" cm="1">
        <f t="array" ref="K229">C229+G229</f>
        <v>121.552</v>
      </c>
      <c r="L229" s="70" cm="1">
        <f t="array" ref="L229">D229+H229</f>
        <v>258.662</v>
      </c>
      <c r="M229" s="71"/>
      <c r="N229" t="s" s="74">
        <v>50</v>
      </c>
      <c r="O229" s="72"/>
    </row>
    <row r="230" ht="13.5" customHeight="1">
      <c r="A230" s="82">
        <v>0</v>
      </c>
      <c r="B230" s="69">
        <v>68.626</v>
      </c>
      <c r="C230" s="69">
        <v>63.482</v>
      </c>
      <c r="D230" s="70" cm="1">
        <f t="array" ref="D230">SUM(A230:C230)</f>
        <v>132.108</v>
      </c>
      <c r="E230" s="68">
        <v>0</v>
      </c>
      <c r="F230" s="69">
        <v>61.946</v>
      </c>
      <c r="G230" s="69">
        <v>55.542</v>
      </c>
      <c r="H230" s="70" cm="1">
        <f t="array" ref="H230">SUM(E230:G230)</f>
        <v>117.488</v>
      </c>
      <c r="I230" s="68" cm="1">
        <f t="array" ref="I230">A230+E230</f>
        <v>0</v>
      </c>
      <c r="J230" s="69" cm="1">
        <f t="array" ref="J230">B230+F230</f>
        <v>130.572</v>
      </c>
      <c r="K230" s="69" cm="1">
        <f t="array" ref="K230">C230+G230</f>
        <v>119.024</v>
      </c>
      <c r="L230" s="70" cm="1">
        <f t="array" ref="L230">D230+H230</f>
        <v>249.596</v>
      </c>
      <c r="M230" s="71"/>
      <c r="N230" t="s" s="74">
        <v>51</v>
      </c>
      <c r="O230" s="72"/>
    </row>
    <row r="231" ht="13.5" customHeight="1">
      <c r="A231" s="82">
        <v>0.055</v>
      </c>
      <c r="B231" s="69">
        <v>56.804</v>
      </c>
      <c r="C231" s="69">
        <v>58.982</v>
      </c>
      <c r="D231" s="70" cm="1">
        <f t="array" ref="D231">SUM(A231:C231)</f>
        <v>115.841</v>
      </c>
      <c r="E231" s="68">
        <v>0</v>
      </c>
      <c r="F231" s="69">
        <v>65.67700000000001</v>
      </c>
      <c r="G231" s="69">
        <v>52.965</v>
      </c>
      <c r="H231" s="70" cm="1">
        <f t="array" ref="H231">SUM(E231:G231)</f>
        <v>118.642</v>
      </c>
      <c r="I231" s="68" cm="1">
        <f t="array" ref="I231">A231+E231</f>
        <v>0.055</v>
      </c>
      <c r="J231" s="69" cm="1">
        <f t="array" ref="J231">B231+F231</f>
        <v>122.481</v>
      </c>
      <c r="K231" s="69" cm="1">
        <f t="array" ref="K231">C231+G231</f>
        <v>111.947</v>
      </c>
      <c r="L231" s="70" cm="1">
        <f t="array" ref="L231">D231+H231</f>
        <v>234.483</v>
      </c>
      <c r="M231" s="71"/>
      <c r="N231" t="s" s="74">
        <v>52</v>
      </c>
      <c r="O231" s="72"/>
    </row>
    <row r="232" ht="13.5" customHeight="1">
      <c r="A232" s="82" cm="1">
        <f t="array" ref="A232">SUM(A229:A231)</f>
        <v>0.055</v>
      </c>
      <c r="B232" s="69" cm="1">
        <f t="array" ref="B232">SUM(B229:B231)</f>
        <v>192.744</v>
      </c>
      <c r="C232" s="69" cm="1">
        <f t="array" ref="C232">SUM(C229:C231)</f>
        <v>187.016</v>
      </c>
      <c r="D232" s="70" cm="1">
        <f t="array" ref="D232">SUM(D229:D231)</f>
        <v>379.815</v>
      </c>
      <c r="E232" s="68" cm="1">
        <f t="array" ref="E232">SUM(E229:E231)</f>
        <v>0.002</v>
      </c>
      <c r="F232" s="69" cm="1">
        <f t="array" ref="F232">SUM(F229:F231)</f>
        <v>197.417</v>
      </c>
      <c r="G232" s="69" cm="1">
        <f t="array" ref="G232">SUM(G229:G231)</f>
        <v>165.507</v>
      </c>
      <c r="H232" s="70" cm="1">
        <f t="array" ref="H232">SUM(H229:H231)</f>
        <v>362.926</v>
      </c>
      <c r="I232" s="68" cm="1">
        <f t="array" ref="I232">SUM(I229:I231)</f>
        <v>0.057</v>
      </c>
      <c r="J232" s="69" cm="1">
        <f t="array" ref="J232">SUM(J229:J231)</f>
        <v>390.161</v>
      </c>
      <c r="K232" s="69" cm="1">
        <f t="array" ref="K232">SUM(K229:K231)</f>
        <v>352.523</v>
      </c>
      <c r="L232" s="70" cm="1">
        <f t="array" ref="L232">SUM(L229:L231)</f>
        <v>742.741</v>
      </c>
      <c r="M232" s="71"/>
      <c r="N232" t="s" s="74">
        <v>40</v>
      </c>
      <c r="O232" s="72"/>
    </row>
    <row r="233" ht="13.5" customHeight="1">
      <c r="A233" s="83"/>
      <c r="B233" s="76"/>
      <c r="C233" s="76"/>
      <c r="D233" s="77"/>
      <c r="E233" s="75"/>
      <c r="F233" s="76"/>
      <c r="G233" s="76"/>
      <c r="H233" s="77"/>
      <c r="I233" s="75"/>
      <c r="J233" s="76"/>
      <c r="K233" s="76"/>
      <c r="L233" s="77"/>
      <c r="M233" s="78"/>
      <c r="N233" s="79"/>
      <c r="O233" s="80"/>
    </row>
    <row r="234" ht="13.5" customHeight="1">
      <c r="A234" s="83">
        <v>0.016</v>
      </c>
      <c r="B234" s="76">
        <v>57.287</v>
      </c>
      <c r="C234" s="76">
        <v>63.492</v>
      </c>
      <c r="D234" s="77" cm="1">
        <f t="array" ref="D234">SUM(A234:C234)</f>
        <v>120.795</v>
      </c>
      <c r="E234" s="75">
        <v>0</v>
      </c>
      <c r="F234" s="76">
        <v>65.696</v>
      </c>
      <c r="G234" s="76">
        <v>59.521</v>
      </c>
      <c r="H234" s="77" cm="1">
        <f t="array" ref="H234">SUM(E234:G234)</f>
        <v>125.217</v>
      </c>
      <c r="I234" s="75" cm="1">
        <f t="array" ref="I234">A234+E234</f>
        <v>0.016</v>
      </c>
      <c r="J234" s="76" cm="1">
        <f t="array" ref="J234">B234+F234</f>
        <v>122.983</v>
      </c>
      <c r="K234" s="76" cm="1">
        <f t="array" ref="K234">C234+G234</f>
        <v>123.013</v>
      </c>
      <c r="L234" s="77" cm="1">
        <f t="array" ref="L234">D234+H234</f>
        <v>246.012</v>
      </c>
      <c r="M234" s="78"/>
      <c r="N234" t="s" s="79">
        <v>41</v>
      </c>
      <c r="O234" s="80">
        <v>2019</v>
      </c>
    </row>
    <row r="235" ht="13.5" customHeight="1">
      <c r="A235" s="83">
        <v>0</v>
      </c>
      <c r="B235" s="76">
        <v>65.08499999999999</v>
      </c>
      <c r="C235" s="76">
        <v>58.509</v>
      </c>
      <c r="D235" s="77" cm="1">
        <f t="array" ref="D235">SUM(A235:C235)</f>
        <v>123.594</v>
      </c>
      <c r="E235" s="75">
        <v>0</v>
      </c>
      <c r="F235" s="76">
        <v>69.715</v>
      </c>
      <c r="G235" s="76">
        <v>47.934</v>
      </c>
      <c r="H235" s="77" cm="1">
        <f t="array" ref="H235">SUM(E235:G235)</f>
        <v>117.649</v>
      </c>
      <c r="I235" s="75" cm="1">
        <f t="array" ref="I235">A235+E235</f>
        <v>0</v>
      </c>
      <c r="J235" s="76" cm="1">
        <f t="array" ref="J235">B235+F235</f>
        <v>134.8</v>
      </c>
      <c r="K235" s="76" cm="1">
        <f t="array" ref="K235">C235+G235</f>
        <v>106.443</v>
      </c>
      <c r="L235" s="77" cm="1">
        <f t="array" ref="L235">D235+H235</f>
        <v>241.243</v>
      </c>
      <c r="M235" s="78"/>
      <c r="N235" t="s" s="79">
        <v>42</v>
      </c>
      <c r="O235" s="80"/>
    </row>
    <row r="236" ht="13.5" customHeight="1">
      <c r="A236" s="83">
        <v>0</v>
      </c>
      <c r="B236" s="76">
        <v>54.773</v>
      </c>
      <c r="C236" s="76">
        <v>62.515</v>
      </c>
      <c r="D236" s="77" cm="1">
        <f t="array" ref="D236">SUM(A236:C236)</f>
        <v>117.288</v>
      </c>
      <c r="E236" s="75">
        <v>0.01</v>
      </c>
      <c r="F236" s="76">
        <v>63.19</v>
      </c>
      <c r="G236" s="76">
        <v>63.231</v>
      </c>
      <c r="H236" s="77" cm="1">
        <f t="array" ref="H236">SUM(E236:G236)</f>
        <v>126.431</v>
      </c>
      <c r="I236" s="75" cm="1">
        <f t="array" ref="I236">A236+E236</f>
        <v>0.01</v>
      </c>
      <c r="J236" s="76" cm="1">
        <f t="array" ref="J236">B236+F236</f>
        <v>117.963</v>
      </c>
      <c r="K236" s="76" cm="1">
        <f t="array" ref="K236">C236+G236</f>
        <v>125.746</v>
      </c>
      <c r="L236" s="77" cm="1">
        <f t="array" ref="L236">D236+H236</f>
        <v>243.719</v>
      </c>
      <c r="M236" s="78"/>
      <c r="N236" t="s" s="79">
        <v>43</v>
      </c>
      <c r="O236" s="80"/>
    </row>
    <row r="237" ht="13.5" customHeight="1">
      <c r="A237" s="82" cm="1">
        <f t="array" ref="A237">SUM(A234:A236)</f>
        <v>0.016</v>
      </c>
      <c r="B237" s="69" cm="1">
        <f t="array" ref="B237">SUM(B234:B236)</f>
        <v>177.145</v>
      </c>
      <c r="C237" s="69" cm="1">
        <f t="array" ref="C237">SUM(C234:C236)</f>
        <v>184.516</v>
      </c>
      <c r="D237" s="70" cm="1">
        <f t="array" ref="D237">SUM(D234:D236)</f>
        <v>361.677</v>
      </c>
      <c r="E237" s="68" cm="1">
        <f t="array" ref="E237">SUM(E234:E236)</f>
        <v>0.01</v>
      </c>
      <c r="F237" s="69" cm="1">
        <f t="array" ref="F237">SUM(F234:F236)</f>
        <v>198.601</v>
      </c>
      <c r="G237" s="69" cm="1">
        <f t="array" ref="G237">SUM(G234:G236)</f>
        <v>170.686</v>
      </c>
      <c r="H237" s="70" cm="1">
        <f t="array" ref="H237">SUM(H234:H236)</f>
        <v>369.297</v>
      </c>
      <c r="I237" s="68" cm="1">
        <f t="array" ref="I237">SUM(I234:I236)</f>
        <v>0.026</v>
      </c>
      <c r="J237" s="69" cm="1">
        <f t="array" ref="J237">SUM(J234:J236)</f>
        <v>375.746</v>
      </c>
      <c r="K237" s="69" cm="1">
        <f t="array" ref="K237">SUM(K234:K236)</f>
        <v>355.202</v>
      </c>
      <c r="L237" s="70" cm="1">
        <f t="array" ref="L237">SUM(L234:L236)</f>
        <v>730.974</v>
      </c>
      <c r="M237" s="71"/>
      <c r="N237" t="s" s="74">
        <v>37</v>
      </c>
      <c r="O237" s="72">
        <v>2019</v>
      </c>
    </row>
    <row r="238" ht="13.5" customHeight="1">
      <c r="A238" s="82">
        <v>0</v>
      </c>
      <c r="B238" s="69">
        <v>64.361</v>
      </c>
      <c r="C238" s="69">
        <v>63.572</v>
      </c>
      <c r="D238" s="70" cm="1">
        <f t="array" ref="D238">SUM(A238:C238)</f>
        <v>127.933</v>
      </c>
      <c r="E238" s="68">
        <v>0</v>
      </c>
      <c r="F238" s="69">
        <v>70.16200000000001</v>
      </c>
      <c r="G238" s="69">
        <v>63.744</v>
      </c>
      <c r="H238" s="70" cm="1">
        <f t="array" ref="H238">SUM(E238:G238)</f>
        <v>133.906</v>
      </c>
      <c r="I238" s="68" cm="1">
        <f t="array" ref="I238">A238+E238</f>
        <v>0</v>
      </c>
      <c r="J238" s="69" cm="1">
        <f t="array" ref="J238">B238+F238</f>
        <v>134.523</v>
      </c>
      <c r="K238" s="69" cm="1">
        <f t="array" ref="K238">C238+G238</f>
        <v>127.316</v>
      </c>
      <c r="L238" s="70" cm="1">
        <f t="array" ref="L238">D238+H238</f>
        <v>261.839</v>
      </c>
      <c r="M238" s="71"/>
      <c r="N238" t="s" s="74">
        <v>44</v>
      </c>
      <c r="O238" s="72"/>
    </row>
    <row r="239" ht="13.5" customHeight="1">
      <c r="A239" s="82">
        <v>0</v>
      </c>
      <c r="B239" s="69">
        <v>65.756</v>
      </c>
      <c r="C239" s="69">
        <v>62.807</v>
      </c>
      <c r="D239" s="70" cm="1">
        <f t="array" ref="D239">SUM(A239:C239)</f>
        <v>128.563</v>
      </c>
      <c r="E239" s="68">
        <v>0</v>
      </c>
      <c r="F239" s="69">
        <v>63.801</v>
      </c>
      <c r="G239" s="69">
        <v>55.324</v>
      </c>
      <c r="H239" s="70" cm="1">
        <f t="array" ref="H239">SUM(E239:G239)</f>
        <v>119.125</v>
      </c>
      <c r="I239" s="68" cm="1">
        <f t="array" ref="I239">A239+E239</f>
        <v>0</v>
      </c>
      <c r="J239" s="69" cm="1">
        <f t="array" ref="J239">B239+F239</f>
        <v>129.557</v>
      </c>
      <c r="K239" s="69" cm="1">
        <f t="array" ref="K239">C239+G239</f>
        <v>118.131</v>
      </c>
      <c r="L239" s="70" cm="1">
        <f t="array" ref="L239">D239+H239</f>
        <v>247.688</v>
      </c>
      <c r="M239" s="71"/>
      <c r="N239" t="s" s="74">
        <v>45</v>
      </c>
      <c r="O239" s="72"/>
    </row>
    <row r="240" ht="13.5" customHeight="1">
      <c r="A240" s="82">
        <v>0.004</v>
      </c>
      <c r="B240" s="69">
        <v>71.226</v>
      </c>
      <c r="C240" s="69">
        <v>58.88</v>
      </c>
      <c r="D240" s="70" cm="1">
        <f t="array" ref="D240">SUM(A240:C240)</f>
        <v>130.11</v>
      </c>
      <c r="E240" s="68">
        <v>0.001</v>
      </c>
      <c r="F240" s="69">
        <v>67.667</v>
      </c>
      <c r="G240" s="69">
        <v>53.147</v>
      </c>
      <c r="H240" s="70" cm="1">
        <f t="array" ref="H240">SUM(E240:G240)</f>
        <v>120.815</v>
      </c>
      <c r="I240" s="68" cm="1">
        <f t="array" ref="I240">A240+E240</f>
        <v>0.005</v>
      </c>
      <c r="J240" s="69" cm="1">
        <f t="array" ref="J240">B240+F240</f>
        <v>138.893</v>
      </c>
      <c r="K240" s="69" cm="1">
        <f t="array" ref="K240">C240+G240</f>
        <v>112.027</v>
      </c>
      <c r="L240" s="70" cm="1">
        <f t="array" ref="L240">D240+H240</f>
        <v>250.925</v>
      </c>
      <c r="M240" s="71"/>
      <c r="N240" t="s" s="74">
        <v>46</v>
      </c>
      <c r="O240" s="72"/>
    </row>
    <row r="241" ht="13.5" customHeight="1">
      <c r="A241" s="82" cm="1">
        <f t="array" ref="A241">SUM(A238:A240)</f>
        <v>0.004</v>
      </c>
      <c r="B241" s="69" cm="1">
        <f t="array" ref="B241">SUM(B238:B240)</f>
        <v>201.343</v>
      </c>
      <c r="C241" s="69" cm="1">
        <f t="array" ref="C241">SUM(C238:C240)</f>
        <v>185.259</v>
      </c>
      <c r="D241" s="70" cm="1">
        <f t="array" ref="D241">SUM(D238:D240)</f>
        <v>386.606</v>
      </c>
      <c r="E241" s="68" cm="1">
        <f t="array" ref="E241">SUM(E238:E240)</f>
        <v>0.001</v>
      </c>
      <c r="F241" s="69" cm="1">
        <f t="array" ref="F241">SUM(F238:F240)</f>
        <v>201.63</v>
      </c>
      <c r="G241" s="69" cm="1">
        <f t="array" ref="G241">SUM(G238:G240)</f>
        <v>172.215</v>
      </c>
      <c r="H241" s="70" cm="1">
        <f t="array" ref="H241">SUM(H238:H240)</f>
        <v>373.846</v>
      </c>
      <c r="I241" s="68" cm="1">
        <f t="array" ref="I241">SUM(I238:I240)</f>
        <v>0.005</v>
      </c>
      <c r="J241" s="69" cm="1">
        <f t="array" ref="J241">SUM(J238:J240)</f>
        <v>402.973</v>
      </c>
      <c r="K241" s="69" cm="1">
        <f t="array" ref="K241">SUM(K238:K240)</f>
        <v>357.474</v>
      </c>
      <c r="L241" s="70" cm="1">
        <f t="array" ref="L241">SUM(L238:L240)</f>
        <v>760.452</v>
      </c>
      <c r="M241" s="71"/>
      <c r="N241" t="s" s="74">
        <v>38</v>
      </c>
      <c r="O241" s="72"/>
    </row>
    <row r="242" ht="13.5" customHeight="1">
      <c r="A242" s="82">
        <v>0.038</v>
      </c>
      <c r="B242" s="69">
        <v>73.661</v>
      </c>
      <c r="C242" s="69">
        <v>61.716</v>
      </c>
      <c r="D242" s="70" cm="1">
        <f t="array" ref="D242">SUM(A242:C242)</f>
        <v>135.415</v>
      </c>
      <c r="E242" s="68">
        <v>0</v>
      </c>
      <c r="F242" s="69">
        <v>75.907</v>
      </c>
      <c r="G242" s="69">
        <v>54.549</v>
      </c>
      <c r="H242" s="70" cm="1">
        <f t="array" ref="H242">SUM(E242:G242)</f>
        <v>130.456</v>
      </c>
      <c r="I242" s="68" cm="1">
        <f t="array" ref="I242">A242+E242</f>
        <v>0.038</v>
      </c>
      <c r="J242" s="69" cm="1">
        <f t="array" ref="J242">B242+F242</f>
        <v>149.568</v>
      </c>
      <c r="K242" s="69" cm="1">
        <f t="array" ref="K242">C242+G242</f>
        <v>116.265</v>
      </c>
      <c r="L242" s="70" cm="1">
        <f t="array" ref="L242">D242+H242</f>
        <v>265.871</v>
      </c>
      <c r="M242" s="71"/>
      <c r="N242" t="s" s="74">
        <v>47</v>
      </c>
      <c r="O242" s="72"/>
    </row>
    <row r="243" ht="13.5" customHeight="1">
      <c r="A243" s="82">
        <v>0.005</v>
      </c>
      <c r="B243" s="69">
        <v>63.075</v>
      </c>
      <c r="C243" s="69">
        <v>55.525</v>
      </c>
      <c r="D243" s="70" cm="1">
        <f t="array" ref="D243">SUM(A243:C243)</f>
        <v>118.605</v>
      </c>
      <c r="E243" s="68">
        <v>0</v>
      </c>
      <c r="F243" s="69">
        <v>69.16500000000001</v>
      </c>
      <c r="G243" s="69">
        <v>48.481</v>
      </c>
      <c r="H243" s="70" cm="1">
        <f t="array" ref="H243">SUM(E243:G243)</f>
        <v>117.646</v>
      </c>
      <c r="I243" s="68" cm="1">
        <f t="array" ref="I243">A243+E243</f>
        <v>0.005</v>
      </c>
      <c r="J243" s="69" cm="1">
        <f t="array" ref="J243">B243+F243</f>
        <v>132.24</v>
      </c>
      <c r="K243" s="69" cm="1">
        <f t="array" ref="K243">C243+G243</f>
        <v>104.006</v>
      </c>
      <c r="L243" s="70" cm="1">
        <f t="array" ref="L243">D243+H243</f>
        <v>236.251</v>
      </c>
      <c r="M243" s="71"/>
      <c r="N243" t="s" s="74">
        <v>48</v>
      </c>
      <c r="O243" s="72"/>
    </row>
    <row r="244" ht="13.5" customHeight="1">
      <c r="A244" s="82">
        <v>0.01</v>
      </c>
      <c r="B244" s="69">
        <v>61.344</v>
      </c>
      <c r="C244" s="69">
        <v>53.636</v>
      </c>
      <c r="D244" s="70" cm="1">
        <f t="array" ref="D244">SUM(A244:C244)</f>
        <v>114.99</v>
      </c>
      <c r="E244" s="68">
        <v>0</v>
      </c>
      <c r="F244" s="69">
        <v>66.39400000000001</v>
      </c>
      <c r="G244" s="69">
        <v>48.812</v>
      </c>
      <c r="H244" s="70" cm="1">
        <f t="array" ref="H244">SUM(E244:G244)</f>
        <v>115.206</v>
      </c>
      <c r="I244" s="68" cm="1">
        <f t="array" ref="I244">A244+E244</f>
        <v>0.01</v>
      </c>
      <c r="J244" s="69" cm="1">
        <f t="array" ref="J244">B244+F244</f>
        <v>127.738</v>
      </c>
      <c r="K244" s="69" cm="1">
        <f t="array" ref="K244">C244+G244</f>
        <v>102.448</v>
      </c>
      <c r="L244" s="70" cm="1">
        <f t="array" ref="L244">D244+H244</f>
        <v>230.196</v>
      </c>
      <c r="M244" s="71"/>
      <c r="N244" t="s" s="74">
        <v>49</v>
      </c>
      <c r="O244" s="72"/>
    </row>
    <row r="245" ht="13.5" customHeight="1">
      <c r="A245" s="82" cm="1">
        <f t="array" ref="A245">SUM(A242:A244)</f>
        <v>0.053</v>
      </c>
      <c r="B245" s="69" cm="1">
        <f t="array" ref="B245">SUM(B242:B244)</f>
        <v>198.08</v>
      </c>
      <c r="C245" s="69" cm="1">
        <f t="array" ref="C245">SUM(C242:C244)</f>
        <v>170.877</v>
      </c>
      <c r="D245" s="70" cm="1">
        <f t="array" ref="D245">SUM(D242:D244)</f>
        <v>369.01</v>
      </c>
      <c r="E245" s="68" cm="1">
        <f t="array" ref="E245">SUM(E242:E244)</f>
        <v>0</v>
      </c>
      <c r="F245" s="69" cm="1">
        <f t="array" ref="F245">SUM(F242:F244)</f>
        <v>211.466</v>
      </c>
      <c r="G245" s="69" cm="1">
        <f t="array" ref="G245">SUM(G242:G244)</f>
        <v>151.842</v>
      </c>
      <c r="H245" s="70" cm="1">
        <f t="array" ref="H245">SUM(H242:H244)</f>
        <v>363.308</v>
      </c>
      <c r="I245" s="68" cm="1">
        <f t="array" ref="I245">SUM(I242:I244)</f>
        <v>0.053</v>
      </c>
      <c r="J245" s="69" cm="1">
        <f t="array" ref="J245">SUM(J242:J244)</f>
        <v>409.546</v>
      </c>
      <c r="K245" s="69" cm="1">
        <f t="array" ref="K245">SUM(K242:K244)</f>
        <v>322.719</v>
      </c>
      <c r="L245" s="70" cm="1">
        <f t="array" ref="L245">SUM(L242:L244)</f>
        <v>732.318</v>
      </c>
      <c r="M245" s="71"/>
      <c r="N245" t="s" s="74">
        <v>39</v>
      </c>
      <c r="O245" s="72"/>
    </row>
    <row r="246" ht="13.5" customHeight="1">
      <c r="A246" s="82">
        <v>0.031</v>
      </c>
      <c r="B246" s="69">
        <v>46.289</v>
      </c>
      <c r="C246" s="69">
        <v>57.716</v>
      </c>
      <c r="D246" s="70" cm="1">
        <f t="array" ref="D246">SUM(A246:C246)</f>
        <v>104.036</v>
      </c>
      <c r="E246" s="68">
        <v>0.043</v>
      </c>
      <c r="F246" s="69">
        <v>66.854</v>
      </c>
      <c r="G246" s="69">
        <v>57.908</v>
      </c>
      <c r="H246" s="70" cm="1">
        <f t="array" ref="H246">SUM(E246:G246)</f>
        <v>124.805</v>
      </c>
      <c r="I246" s="68" cm="1">
        <f t="array" ref="I246">A246+E246</f>
        <v>0.074</v>
      </c>
      <c r="J246" s="69" cm="1">
        <f t="array" ref="J246">B246+F246</f>
        <v>113.143</v>
      </c>
      <c r="K246" s="69" cm="1">
        <f t="array" ref="K246">C246+G246</f>
        <v>115.624</v>
      </c>
      <c r="L246" s="70" cm="1">
        <f t="array" ref="L246">D246+H246</f>
        <v>228.841</v>
      </c>
      <c r="M246" s="71"/>
      <c r="N246" t="s" s="74">
        <v>50</v>
      </c>
      <c r="O246" s="72"/>
    </row>
    <row r="247" ht="13.5" customHeight="1">
      <c r="A247" s="82">
        <v>0.004</v>
      </c>
      <c r="B247" s="69">
        <v>60.158</v>
      </c>
      <c r="C247" s="69">
        <v>61.163</v>
      </c>
      <c r="D247" s="70" cm="1">
        <f t="array" ref="D247">SUM(A247:C247)</f>
        <v>121.325</v>
      </c>
      <c r="E247" s="68">
        <v>0</v>
      </c>
      <c r="F247" s="69">
        <v>58.95</v>
      </c>
      <c r="G247" s="69">
        <v>51.55</v>
      </c>
      <c r="H247" s="70" cm="1">
        <f t="array" ref="H247">SUM(E247:G247)</f>
        <v>110.5</v>
      </c>
      <c r="I247" s="68" cm="1">
        <f t="array" ref="I247">A247+E247</f>
        <v>0.004</v>
      </c>
      <c r="J247" s="69" cm="1">
        <f t="array" ref="J247">B247+F247</f>
        <v>119.108</v>
      </c>
      <c r="K247" s="69" cm="1">
        <f t="array" ref="K247">C247+G247</f>
        <v>112.713</v>
      </c>
      <c r="L247" s="70" cm="1">
        <f t="array" ref="L247">D247+H247</f>
        <v>231.825</v>
      </c>
      <c r="M247" s="71"/>
      <c r="N247" t="s" s="74">
        <v>51</v>
      </c>
      <c r="O247" s="72"/>
    </row>
    <row r="248" ht="13.5" customHeight="1">
      <c r="A248" s="82">
        <v>0.008999999999999999</v>
      </c>
      <c r="B248" s="69">
        <v>48.924</v>
      </c>
      <c r="C248" s="69">
        <v>58.818</v>
      </c>
      <c r="D248" s="70" cm="1">
        <f t="array" ref="D248">SUM(A248:C248)</f>
        <v>107.751</v>
      </c>
      <c r="E248" s="68">
        <v>0</v>
      </c>
      <c r="F248" s="69">
        <v>68.15600000000001</v>
      </c>
      <c r="G248" s="69">
        <v>56.605</v>
      </c>
      <c r="H248" s="70" cm="1">
        <f t="array" ref="H248">SUM(E248:G248)</f>
        <v>124.761</v>
      </c>
      <c r="I248" s="68" cm="1">
        <f t="array" ref="I248">A248+E248</f>
        <v>0.008999999999999999</v>
      </c>
      <c r="J248" s="69" cm="1">
        <f t="array" ref="J248">B248+F248</f>
        <v>117.08</v>
      </c>
      <c r="K248" s="69" cm="1">
        <f t="array" ref="K248">C248+G248</f>
        <v>115.423</v>
      </c>
      <c r="L248" s="70" cm="1">
        <f t="array" ref="L248">D248+H248</f>
        <v>232.512</v>
      </c>
      <c r="M248" s="71"/>
      <c r="N248" t="s" s="74">
        <v>52</v>
      </c>
      <c r="O248" s="72"/>
    </row>
    <row r="249" ht="13.5" customHeight="1">
      <c r="A249" s="82" cm="1">
        <f t="array" ref="A249">SUM(A246:A248)</f>
        <v>0.044</v>
      </c>
      <c r="B249" s="69" cm="1">
        <f t="array" ref="B249">SUM(B246:B248)</f>
        <v>155.371</v>
      </c>
      <c r="C249" s="69" cm="1">
        <f t="array" ref="C249">SUM(C246:C248)</f>
        <v>177.697</v>
      </c>
      <c r="D249" s="70" cm="1">
        <f t="array" ref="D249">SUM(D246:D248)</f>
        <v>333.112</v>
      </c>
      <c r="E249" s="68" cm="1">
        <f t="array" ref="E249">SUM(E246:E248)</f>
        <v>0.043</v>
      </c>
      <c r="F249" s="69" cm="1">
        <f t="array" ref="F249">SUM(F246:F248)</f>
        <v>193.96</v>
      </c>
      <c r="G249" s="69" cm="1">
        <f t="array" ref="G249">SUM(G246:G248)</f>
        <v>166.063</v>
      </c>
      <c r="H249" s="70" cm="1">
        <f t="array" ref="H249">SUM(H246:H248)</f>
        <v>360.066</v>
      </c>
      <c r="I249" s="68" cm="1">
        <f t="array" ref="I249">SUM(I246:I248)</f>
        <v>0.08699999999999999</v>
      </c>
      <c r="J249" s="69" cm="1">
        <f t="array" ref="J249">SUM(J246:J248)</f>
        <v>349.331</v>
      </c>
      <c r="K249" s="69" cm="1">
        <f t="array" ref="K249">SUM(K246:K248)</f>
        <v>343.76</v>
      </c>
      <c r="L249" s="70" cm="1">
        <f t="array" ref="L249">SUM(L246:L248)</f>
        <v>693.178</v>
      </c>
      <c r="M249" s="71"/>
      <c r="N249" t="s" s="74">
        <v>40</v>
      </c>
      <c r="O249" s="72"/>
    </row>
    <row r="250" ht="9" customHeight="1">
      <c r="A250" s="82"/>
      <c r="B250" s="69"/>
      <c r="C250" s="69"/>
      <c r="D250" s="70"/>
      <c r="E250" s="68"/>
      <c r="F250" s="69"/>
      <c r="G250" s="69"/>
      <c r="H250" s="70"/>
      <c r="I250" s="68"/>
      <c r="J250" s="69"/>
      <c r="K250" s="69"/>
      <c r="L250" s="70"/>
      <c r="M250" s="71"/>
      <c r="N250" s="74"/>
      <c r="O250" s="72"/>
    </row>
    <row r="251" ht="13.5" customHeight="1">
      <c r="A251" s="83">
        <v>0.074</v>
      </c>
      <c r="B251" s="76">
        <v>52.523</v>
      </c>
      <c r="C251" s="76">
        <v>65.41800000000001</v>
      </c>
      <c r="D251" s="77" cm="1">
        <f t="array" ref="D251">SUM(A251:C251)</f>
        <v>118.015</v>
      </c>
      <c r="E251" s="75">
        <v>0</v>
      </c>
      <c r="F251" s="76">
        <v>65.934</v>
      </c>
      <c r="G251" s="76">
        <v>58.589</v>
      </c>
      <c r="H251" s="77" cm="1">
        <f t="array" ref="H251">SUM(E251:G251)</f>
        <v>124.523</v>
      </c>
      <c r="I251" s="75" cm="1">
        <f t="array" ref="I251">A251+E251</f>
        <v>0.074</v>
      </c>
      <c r="J251" s="76" cm="1">
        <f t="array" ref="J251">B251+F251</f>
        <v>118.457</v>
      </c>
      <c r="K251" s="76" cm="1">
        <f t="array" ref="K251">C251+G251</f>
        <v>124.007</v>
      </c>
      <c r="L251" s="77" cm="1">
        <f t="array" ref="L251">D251+H251</f>
        <v>242.538</v>
      </c>
      <c r="M251" s="78"/>
      <c r="N251" t="s" s="79">
        <v>41</v>
      </c>
      <c r="O251" s="80">
        <v>2020</v>
      </c>
    </row>
    <row r="252" ht="13.5" customHeight="1">
      <c r="A252" s="83">
        <v>0.036</v>
      </c>
      <c r="B252" s="76">
        <v>61.026</v>
      </c>
      <c r="C252" s="76">
        <v>61.725</v>
      </c>
      <c r="D252" s="77" cm="1">
        <f t="array" ref="D252">SUM(A252:C252)</f>
        <v>122.787</v>
      </c>
      <c r="E252" s="75">
        <v>0.003</v>
      </c>
      <c r="F252" s="76">
        <v>64.768</v>
      </c>
      <c r="G252" s="76">
        <v>58.822</v>
      </c>
      <c r="H252" s="77" cm="1">
        <f t="array" ref="H252">SUM(E252:G252)</f>
        <v>123.593</v>
      </c>
      <c r="I252" s="75" cm="1">
        <f t="array" ref="I252">A252+E252</f>
        <v>0.039</v>
      </c>
      <c r="J252" s="76" cm="1">
        <f t="array" ref="J252">B252+F252</f>
        <v>125.794</v>
      </c>
      <c r="K252" s="76" cm="1">
        <f t="array" ref="K252">C252+G252</f>
        <v>120.547</v>
      </c>
      <c r="L252" s="77" cm="1">
        <f t="array" ref="L252">D252+H252</f>
        <v>246.38</v>
      </c>
      <c r="M252" s="78"/>
      <c r="N252" t="s" s="79">
        <v>42</v>
      </c>
      <c r="O252" s="80"/>
    </row>
    <row r="253" ht="13.5" customHeight="1">
      <c r="A253" s="83">
        <v>0</v>
      </c>
      <c r="B253" s="76">
        <v>55.448</v>
      </c>
      <c r="C253" s="76">
        <v>63.98</v>
      </c>
      <c r="D253" s="77" cm="1">
        <f t="array" ref="D253">SUM(A253:C253)</f>
        <v>119.428</v>
      </c>
      <c r="E253" s="75">
        <v>0</v>
      </c>
      <c r="F253" s="76">
        <v>63.727</v>
      </c>
      <c r="G253" s="76">
        <v>65.214</v>
      </c>
      <c r="H253" s="77" cm="1">
        <f t="array" ref="H253">SUM(E253:G253)</f>
        <v>128.941</v>
      </c>
      <c r="I253" s="75" cm="1">
        <f t="array" ref="I253">A253+E253</f>
        <v>0</v>
      </c>
      <c r="J253" s="76" cm="1">
        <f t="array" ref="J253">B253+F253</f>
        <v>119.175</v>
      </c>
      <c r="K253" s="76" cm="1">
        <f t="array" ref="K253">C253+G253</f>
        <v>129.194</v>
      </c>
      <c r="L253" s="77" cm="1">
        <f t="array" ref="L253">D253+H253</f>
        <v>248.369</v>
      </c>
      <c r="M253" s="78"/>
      <c r="N253" t="s" s="79">
        <v>43</v>
      </c>
      <c r="O253" s="80"/>
    </row>
    <row r="254" ht="13.5" customHeight="1">
      <c r="A254" s="82" cm="1">
        <f t="array" ref="A254">SUM(A251:A253)</f>
        <v>0.11</v>
      </c>
      <c r="B254" s="69" cm="1">
        <f t="array" ref="B254">SUM(B251:B253)</f>
        <v>168.997</v>
      </c>
      <c r="C254" s="69" cm="1">
        <f t="array" ref="C254">SUM(C251:C253)</f>
        <v>191.123</v>
      </c>
      <c r="D254" s="70" cm="1">
        <f t="array" ref="D254">SUM(D251:D253)</f>
        <v>360.23</v>
      </c>
      <c r="E254" s="68" cm="1">
        <f t="array" ref="E254">SUM(E251:E253)</f>
        <v>0.003</v>
      </c>
      <c r="F254" s="69" cm="1">
        <f t="array" ref="F254">SUM(F251:F253)</f>
        <v>194.429</v>
      </c>
      <c r="G254" s="69" cm="1">
        <f t="array" ref="G254">SUM(G251:G253)</f>
        <v>182.625</v>
      </c>
      <c r="H254" s="70" cm="1">
        <f t="array" ref="H254">SUM(H251:H253)</f>
        <v>377.057</v>
      </c>
      <c r="I254" s="68" cm="1">
        <f t="array" ref="I254">SUM(I251:I253)</f>
        <v>0.113</v>
      </c>
      <c r="J254" s="69" cm="1">
        <f t="array" ref="J254">SUM(J251:J253)</f>
        <v>363.426</v>
      </c>
      <c r="K254" s="69" cm="1">
        <f t="array" ref="K254">SUM(K251:K253)</f>
        <v>373.748</v>
      </c>
      <c r="L254" s="70" cm="1">
        <f t="array" ref="L254">SUM(L251:L253)</f>
        <v>737.287</v>
      </c>
      <c r="M254" s="71"/>
      <c r="N254" t="s" s="74">
        <v>37</v>
      </c>
      <c r="O254" s="72">
        <v>2020</v>
      </c>
    </row>
    <row r="255" ht="13.5" customHeight="1">
      <c r="A255" s="82">
        <v>0</v>
      </c>
      <c r="B255" s="69">
        <v>52.378</v>
      </c>
      <c r="C255" s="69">
        <v>69.517</v>
      </c>
      <c r="D255" s="70" cm="1">
        <f t="array" ref="D255">SUM(A255:C255)</f>
        <v>121.895</v>
      </c>
      <c r="E255" s="68">
        <v>0</v>
      </c>
      <c r="F255" s="69">
        <v>61.721</v>
      </c>
      <c r="G255" s="69">
        <v>63.12</v>
      </c>
      <c r="H255" s="70" cm="1">
        <f t="array" ref="H255">SUM(E255:G255)</f>
        <v>124.841</v>
      </c>
      <c r="I255" s="68" cm="1">
        <f t="array" ref="I255">A255+E255</f>
        <v>0</v>
      </c>
      <c r="J255" s="69" cm="1">
        <f t="array" ref="J255">B255+F255</f>
        <v>114.099</v>
      </c>
      <c r="K255" s="69" cm="1">
        <f t="array" ref="K255">C255+G255</f>
        <v>132.637</v>
      </c>
      <c r="L255" s="70" cm="1">
        <f t="array" ref="L255">D255+H255</f>
        <v>246.736</v>
      </c>
      <c r="M255" s="71"/>
      <c r="N255" t="s" s="74">
        <v>44</v>
      </c>
      <c r="O255" s="72"/>
    </row>
    <row r="256" ht="13.5" customHeight="1">
      <c r="A256" s="82">
        <v>0.067</v>
      </c>
      <c r="B256" s="69">
        <v>63.49</v>
      </c>
      <c r="C256" s="69">
        <v>67.809</v>
      </c>
      <c r="D256" s="70" cm="1">
        <f t="array" ref="D256">SUM(A256:C256)</f>
        <v>131.366</v>
      </c>
      <c r="E256" s="68">
        <v>0</v>
      </c>
      <c r="F256" s="69">
        <v>57.936</v>
      </c>
      <c r="G256" s="69">
        <v>53.184</v>
      </c>
      <c r="H256" s="70" cm="1">
        <f t="array" ref="H256">SUM(E256:G256)</f>
        <v>111.12</v>
      </c>
      <c r="I256" s="68" cm="1">
        <f t="array" ref="I256">A256+E256</f>
        <v>0.067</v>
      </c>
      <c r="J256" s="69" cm="1">
        <f t="array" ref="J256">B256+F256</f>
        <v>121.426</v>
      </c>
      <c r="K256" s="69" cm="1">
        <f t="array" ref="K256">C256+G256</f>
        <v>120.993</v>
      </c>
      <c r="L256" s="70" cm="1">
        <f t="array" ref="L256">D256+H256</f>
        <v>242.486</v>
      </c>
      <c r="M256" s="71"/>
      <c r="N256" t="s" s="74">
        <v>45</v>
      </c>
      <c r="O256" s="72"/>
    </row>
    <row r="257" ht="13.5" customHeight="1">
      <c r="A257" s="82">
        <v>0.044</v>
      </c>
      <c r="B257" s="69">
        <v>70.66500000000001</v>
      </c>
      <c r="C257" s="69">
        <v>57.316</v>
      </c>
      <c r="D257" s="70" cm="1">
        <f t="array" ref="D257">SUM(A257:C257)</f>
        <v>128.025</v>
      </c>
      <c r="E257" s="68">
        <v>0</v>
      </c>
      <c r="F257" s="69">
        <v>65.818</v>
      </c>
      <c r="G257" s="69">
        <v>54.712</v>
      </c>
      <c r="H257" s="70" cm="1">
        <f t="array" ref="H257">SUM(E257:G257)</f>
        <v>120.53</v>
      </c>
      <c r="I257" s="68" cm="1">
        <f t="array" ref="I257">A257+E257</f>
        <v>0.044</v>
      </c>
      <c r="J257" s="69" cm="1">
        <f t="array" ref="J257">B257+F257</f>
        <v>136.483</v>
      </c>
      <c r="K257" s="69" cm="1">
        <f t="array" ref="K257">C257+G257</f>
        <v>112.028</v>
      </c>
      <c r="L257" s="70" cm="1">
        <f t="array" ref="L257">D257+H257</f>
        <v>248.555</v>
      </c>
      <c r="M257" s="71"/>
      <c r="N257" t="s" s="74">
        <v>46</v>
      </c>
      <c r="O257" s="72"/>
    </row>
    <row r="258" ht="13.5" customHeight="1">
      <c r="A258" s="82" cm="1">
        <f t="array" ref="A258">SUM(A255:A257)</f>
        <v>0.111</v>
      </c>
      <c r="B258" s="69" cm="1">
        <f t="array" ref="B258">SUM(B255:B257)</f>
        <v>186.533</v>
      </c>
      <c r="C258" s="69" cm="1">
        <f t="array" ref="C258">SUM(C255:C257)</f>
        <v>194.642</v>
      </c>
      <c r="D258" s="70" cm="1">
        <f t="array" ref="D258">SUM(D255:D257)</f>
        <v>381.286</v>
      </c>
      <c r="E258" s="68" cm="1">
        <f t="array" ref="E258">SUM(E255:E257)</f>
        <v>0</v>
      </c>
      <c r="F258" s="69" cm="1">
        <f t="array" ref="F258">SUM(F255:F257)</f>
        <v>185.475</v>
      </c>
      <c r="G258" s="69" cm="1">
        <f t="array" ref="G258">SUM(G255:G257)</f>
        <v>171.016</v>
      </c>
      <c r="H258" s="70" cm="1">
        <f t="array" ref="H258">SUM(H255:H257)</f>
        <v>356.491</v>
      </c>
      <c r="I258" s="68" cm="1">
        <f t="array" ref="I258">SUM(I255:I257)</f>
        <v>0.111</v>
      </c>
      <c r="J258" s="69" cm="1">
        <f t="array" ref="J258">SUM(J255:J257)</f>
        <v>372.008</v>
      </c>
      <c r="K258" s="69" cm="1">
        <f t="array" ref="K258">SUM(K255:K257)</f>
        <v>365.658</v>
      </c>
      <c r="L258" s="70" cm="1">
        <f t="array" ref="L258">SUM(L255:L257)</f>
        <v>737.777</v>
      </c>
      <c r="M258" s="71"/>
      <c r="N258" t="s" s="74">
        <v>38</v>
      </c>
      <c r="O258" s="72"/>
    </row>
    <row r="259" ht="13.5" customHeight="1">
      <c r="A259" s="82">
        <v>0</v>
      </c>
      <c r="B259" s="69">
        <v>69.95</v>
      </c>
      <c r="C259" s="69">
        <v>62.596</v>
      </c>
      <c r="D259" s="70" cm="1">
        <f t="array" ref="D259">SUM(A259:C259)</f>
        <v>132.546</v>
      </c>
      <c r="E259" s="68">
        <v>0.003</v>
      </c>
      <c r="F259" s="69">
        <v>73.371</v>
      </c>
      <c r="G259" s="69">
        <v>61.961</v>
      </c>
      <c r="H259" s="70" cm="1">
        <f t="array" ref="H259">SUM(E259:G259)</f>
        <v>135.335</v>
      </c>
      <c r="I259" s="68" cm="1">
        <f t="array" ref="I259">A259+E259</f>
        <v>0.003</v>
      </c>
      <c r="J259" s="69" cm="1">
        <f t="array" ref="J259">B259+F259</f>
        <v>143.321</v>
      </c>
      <c r="K259" s="69" cm="1">
        <f t="array" ref="K259">C259+G259</f>
        <v>124.557</v>
      </c>
      <c r="L259" s="70" cm="1">
        <f t="array" ref="L259">D259+H259</f>
        <v>267.881</v>
      </c>
      <c r="M259" s="71"/>
      <c r="N259" t="s" s="74">
        <v>47</v>
      </c>
      <c r="O259" s="72"/>
    </row>
    <row r="260" ht="13.5" customHeight="1">
      <c r="A260" s="82">
        <v>0.004</v>
      </c>
      <c r="B260" s="69">
        <v>72.711</v>
      </c>
      <c r="C260" s="69">
        <v>59.926</v>
      </c>
      <c r="D260" s="70" cm="1">
        <f t="array" ref="D260">SUM(A260:C260)</f>
        <v>132.641</v>
      </c>
      <c r="E260" s="68">
        <v>0.004</v>
      </c>
      <c r="F260" s="69">
        <v>72.642</v>
      </c>
      <c r="G260" s="69">
        <v>53.851</v>
      </c>
      <c r="H260" s="70" cm="1">
        <f t="array" ref="H260">SUM(E260:G260)</f>
        <v>126.497</v>
      </c>
      <c r="I260" s="68" cm="1">
        <f t="array" ref="I260">A260+E260</f>
        <v>0.008</v>
      </c>
      <c r="J260" s="69" cm="1">
        <f t="array" ref="J260">B260+F260</f>
        <v>145.353</v>
      </c>
      <c r="K260" s="69" cm="1">
        <f t="array" ref="K260">C260+G260</f>
        <v>113.777</v>
      </c>
      <c r="L260" s="70" cm="1">
        <f t="array" ref="L260">D260+H260</f>
        <v>259.138</v>
      </c>
      <c r="M260" s="71"/>
      <c r="N260" t="s" s="74">
        <v>48</v>
      </c>
      <c r="O260" s="72"/>
    </row>
    <row r="261" ht="13.5" customHeight="1">
      <c r="A261" s="82">
        <v>0.067</v>
      </c>
      <c r="B261" s="69">
        <v>66.84999999999999</v>
      </c>
      <c r="C261" s="69">
        <v>57.801</v>
      </c>
      <c r="D261" s="70" cm="1">
        <f t="array" ref="D261">SUM(A261:C261)</f>
        <v>124.718</v>
      </c>
      <c r="E261" s="68">
        <v>0.003</v>
      </c>
      <c r="F261" s="69">
        <v>69.235</v>
      </c>
      <c r="G261" s="69">
        <v>55.541</v>
      </c>
      <c r="H261" s="70" cm="1">
        <f t="array" ref="H261">SUM(E261:G261)</f>
        <v>124.779</v>
      </c>
      <c r="I261" s="68" cm="1">
        <f t="array" ref="I261">A261+E261</f>
        <v>0.07000000000000001</v>
      </c>
      <c r="J261" s="69" cm="1">
        <f t="array" ref="J261">B261+F261</f>
        <v>136.085</v>
      </c>
      <c r="K261" s="69" cm="1">
        <f t="array" ref="K261">C261+G261</f>
        <v>113.342</v>
      </c>
      <c r="L261" s="70" cm="1">
        <f t="array" ref="L261">D261+H261</f>
        <v>249.497</v>
      </c>
      <c r="M261" s="71"/>
      <c r="N261" t="s" s="74">
        <v>49</v>
      </c>
      <c r="O261" s="72"/>
    </row>
    <row r="262" ht="13.5" customHeight="1">
      <c r="A262" s="82" cm="1">
        <f t="array" ref="A262">SUM(A259:A261)</f>
        <v>0.07099999999999999</v>
      </c>
      <c r="B262" s="69" cm="1">
        <f t="array" ref="B262">SUM(B259:B261)</f>
        <v>209.511</v>
      </c>
      <c r="C262" s="69" cm="1">
        <f t="array" ref="C262">SUM(C259:C261)</f>
        <v>180.323</v>
      </c>
      <c r="D262" s="70" cm="1">
        <f t="array" ref="D262">SUM(D259:D261)</f>
        <v>389.905</v>
      </c>
      <c r="E262" s="68" cm="1">
        <f t="array" ref="E262">SUM(E259:E261)</f>
        <v>0.01</v>
      </c>
      <c r="F262" s="69" cm="1">
        <f t="array" ref="F262">SUM(F259:F261)</f>
        <v>215.248</v>
      </c>
      <c r="G262" s="69" cm="1">
        <f t="array" ref="G262">SUM(G259:G261)</f>
        <v>171.353</v>
      </c>
      <c r="H262" s="70" cm="1">
        <f t="array" ref="H262">SUM(H259:H261)</f>
        <v>386.611</v>
      </c>
      <c r="I262" s="68" cm="1">
        <f t="array" ref="I262">SUM(I259:I261)</f>
        <v>0.081</v>
      </c>
      <c r="J262" s="69" cm="1">
        <f t="array" ref="J262">SUM(J259:J261)</f>
        <v>424.759</v>
      </c>
      <c r="K262" s="69" cm="1">
        <f t="array" ref="K262">SUM(K259:K261)</f>
        <v>351.676</v>
      </c>
      <c r="L262" s="70" cm="1">
        <f t="array" ref="L262">SUM(L259:L261)</f>
        <v>776.516</v>
      </c>
      <c r="M262" s="71"/>
      <c r="N262" t="s" s="74">
        <v>39</v>
      </c>
      <c r="O262" s="72"/>
    </row>
    <row r="263" ht="13.5" customHeight="1">
      <c r="A263" s="82">
        <v>0.014</v>
      </c>
      <c r="B263" s="69">
        <v>64.631</v>
      </c>
      <c r="C263" s="69">
        <v>70.613</v>
      </c>
      <c r="D263" s="70" cm="1">
        <f t="array" ref="D263">SUM(A263:C263)</f>
        <v>135.258</v>
      </c>
      <c r="E263" s="68">
        <v>0.001</v>
      </c>
      <c r="F263" s="69">
        <v>79.977</v>
      </c>
      <c r="G263" s="69">
        <v>62.361</v>
      </c>
      <c r="H263" s="70" cm="1">
        <f t="array" ref="H263">SUM(E263:G263)</f>
        <v>142.339</v>
      </c>
      <c r="I263" s="68" cm="1">
        <f t="array" ref="I263">A263+E263</f>
        <v>0.015</v>
      </c>
      <c r="J263" s="69" cm="1">
        <f t="array" ref="J263">B263+F263</f>
        <v>144.608</v>
      </c>
      <c r="K263" s="69" cm="1">
        <f t="array" ref="K263">C263+G263</f>
        <v>132.974</v>
      </c>
      <c r="L263" s="70" cm="1">
        <f t="array" ref="L263">D263+H263</f>
        <v>277.597</v>
      </c>
      <c r="M263" s="71"/>
      <c r="N263" t="s" s="74">
        <v>50</v>
      </c>
      <c r="O263" s="72"/>
    </row>
    <row r="264" ht="13.5" customHeight="1">
      <c r="A264" s="82">
        <v>0</v>
      </c>
      <c r="B264" s="69">
        <v>68.85299999999999</v>
      </c>
      <c r="C264" s="69">
        <v>65.47499999999999</v>
      </c>
      <c r="D264" s="70" cm="1">
        <f t="array" ref="D264">SUM(A264:C264)</f>
        <v>134.328</v>
      </c>
      <c r="E264" s="68">
        <v>0</v>
      </c>
      <c r="F264" s="69">
        <v>69.22</v>
      </c>
      <c r="G264" s="69">
        <v>59.932</v>
      </c>
      <c r="H264" s="70" cm="1">
        <f t="array" ref="H264">SUM(E264:G264)</f>
        <v>129.152</v>
      </c>
      <c r="I264" s="68" cm="1">
        <f t="array" ref="I264">A264+E264</f>
        <v>0</v>
      </c>
      <c r="J264" s="69" cm="1">
        <f t="array" ref="J264">B264+F264</f>
        <v>138.073</v>
      </c>
      <c r="K264" s="69" cm="1">
        <f t="array" ref="K264">C264+G264</f>
        <v>125.407</v>
      </c>
      <c r="L264" s="70" cm="1">
        <f t="array" ref="L264">D264+H264</f>
        <v>263.48</v>
      </c>
      <c r="M264" s="71"/>
      <c r="N264" t="s" s="74">
        <v>51</v>
      </c>
      <c r="O264" s="72"/>
    </row>
    <row r="265" ht="13.5" customHeight="1">
      <c r="A265" s="82">
        <v>0.051</v>
      </c>
      <c r="B265" s="69">
        <v>68.629</v>
      </c>
      <c r="C265" s="69">
        <v>51.949</v>
      </c>
      <c r="D265" s="70" cm="1">
        <f t="array" ref="D265">SUM(A265:C265)</f>
        <v>120.629</v>
      </c>
      <c r="E265" s="68">
        <v>0.006</v>
      </c>
      <c r="F265" s="69">
        <v>72.996</v>
      </c>
      <c r="G265" s="69">
        <v>63.022</v>
      </c>
      <c r="H265" s="70" cm="1">
        <f t="array" ref="H265">SUM(E265:G265)</f>
        <v>136.024</v>
      </c>
      <c r="I265" s="68" cm="1">
        <f t="array" ref="I265">A265+E265</f>
        <v>0.057</v>
      </c>
      <c r="J265" s="69" cm="1">
        <f t="array" ref="J265">B265+F265</f>
        <v>141.625</v>
      </c>
      <c r="K265" s="69" cm="1">
        <f t="array" ref="K265">C265+G265</f>
        <v>114.971</v>
      </c>
      <c r="L265" s="70" cm="1">
        <f t="array" ref="L265">D265+H265</f>
        <v>256.653</v>
      </c>
      <c r="M265" s="71"/>
      <c r="N265" t="s" s="74">
        <v>52</v>
      </c>
      <c r="O265" s="72"/>
    </row>
    <row r="266" ht="13.5" customHeight="1">
      <c r="A266" s="82" cm="1">
        <f t="array" ref="A266">SUM(A263:A265)</f>
        <v>0.065</v>
      </c>
      <c r="B266" s="69" cm="1">
        <f t="array" ref="B266">SUM(B263:B265)</f>
        <v>202.113</v>
      </c>
      <c r="C266" s="69" cm="1">
        <f t="array" ref="C266">SUM(C263:C265)</f>
        <v>188.037</v>
      </c>
      <c r="D266" s="70" cm="1">
        <f t="array" ref="D266">SUM(D263:D265)</f>
        <v>390.215</v>
      </c>
      <c r="E266" s="68" cm="1">
        <f t="array" ref="E266">SUM(E263:E265)</f>
        <v>0.007</v>
      </c>
      <c r="F266" s="69" cm="1">
        <f t="array" ref="F266">SUM(F263:F265)</f>
        <v>222.193</v>
      </c>
      <c r="G266" s="69" cm="1">
        <f t="array" ref="G266">SUM(G263:G265)</f>
        <v>185.315</v>
      </c>
      <c r="H266" s="70" cm="1">
        <f t="array" ref="H266">SUM(H263:H265)</f>
        <v>407.515</v>
      </c>
      <c r="I266" s="68" cm="1">
        <f t="array" ref="I266">SUM(I263:I265)</f>
        <v>0.07199999999999999</v>
      </c>
      <c r="J266" s="69" cm="1">
        <f t="array" ref="J266">SUM(J263:J265)</f>
        <v>424.306</v>
      </c>
      <c r="K266" s="69" cm="1">
        <f t="array" ref="K266">SUM(K263:K265)</f>
        <v>373.352</v>
      </c>
      <c r="L266" s="70" cm="1">
        <f t="array" ref="L266">SUM(L263:L265)</f>
        <v>797.73</v>
      </c>
      <c r="M266" s="71"/>
      <c r="N266" t="s" s="74">
        <v>40</v>
      </c>
      <c r="O266" s="72"/>
    </row>
    <row r="267" ht="9.75" customHeight="1">
      <c r="A267" s="82"/>
      <c r="B267" s="69"/>
      <c r="C267" s="69"/>
      <c r="D267" s="70"/>
      <c r="E267" s="68"/>
      <c r="F267" s="69"/>
      <c r="G267" s="69"/>
      <c r="H267" s="70"/>
      <c r="I267" s="68"/>
      <c r="J267" s="69"/>
      <c r="K267" s="69"/>
      <c r="L267" s="70"/>
      <c r="M267" s="71"/>
      <c r="N267" s="74"/>
      <c r="O267" s="72"/>
    </row>
    <row r="268" ht="13.5" customHeight="1">
      <c r="A268" s="83">
        <v>0</v>
      </c>
      <c r="B268" s="76">
        <v>60.795</v>
      </c>
      <c r="C268" s="76">
        <v>67.363</v>
      </c>
      <c r="D268" s="77" cm="1">
        <f t="array" ref="D268">SUM(A268:C268)</f>
        <v>128.158</v>
      </c>
      <c r="E268" s="75">
        <v>0</v>
      </c>
      <c r="F268" s="76">
        <v>72.602</v>
      </c>
      <c r="G268" s="76">
        <v>59.769</v>
      </c>
      <c r="H268" s="77" cm="1">
        <f t="array" ref="H268">SUM(E268:G268)</f>
        <v>132.371</v>
      </c>
      <c r="I268" s="75" cm="1">
        <f t="array" ref="I268">A268+E268</f>
        <v>0</v>
      </c>
      <c r="J268" s="76" cm="1">
        <f t="array" ref="J268">B268+F268</f>
        <v>133.397</v>
      </c>
      <c r="K268" s="76" cm="1">
        <f t="array" ref="K268">C268+G268</f>
        <v>127.132</v>
      </c>
      <c r="L268" s="77" cm="1">
        <f t="array" ref="L268">D268+H268</f>
        <v>260.529</v>
      </c>
      <c r="M268" s="78"/>
      <c r="N268" t="s" s="79">
        <v>41</v>
      </c>
      <c r="O268" s="80">
        <v>2021</v>
      </c>
    </row>
    <row r="269" ht="13.5" customHeight="1">
      <c r="A269" s="83">
        <v>0.05</v>
      </c>
      <c r="B269" s="76">
        <v>49.611</v>
      </c>
      <c r="C269" s="76">
        <v>63.902</v>
      </c>
      <c r="D269" s="77" cm="1">
        <f t="array" ref="D269">SUM(A269:C269)</f>
        <v>113.563</v>
      </c>
      <c r="E269" s="75">
        <v>0</v>
      </c>
      <c r="F269" s="76">
        <v>69.712</v>
      </c>
      <c r="G269" s="76">
        <v>59.026</v>
      </c>
      <c r="H269" s="77" cm="1">
        <f t="array" ref="H269">SUM(E269:G269)</f>
        <v>128.738</v>
      </c>
      <c r="I269" s="75" cm="1">
        <f t="array" ref="I269">A269+E269</f>
        <v>0.05</v>
      </c>
      <c r="J269" s="76" cm="1">
        <f t="array" ref="J269">B269+F269</f>
        <v>119.323</v>
      </c>
      <c r="K269" s="76" cm="1">
        <f t="array" ref="K269">C269+G269</f>
        <v>122.928</v>
      </c>
      <c r="L269" s="77" cm="1">
        <f t="array" ref="L269">D269+H269</f>
        <v>242.301</v>
      </c>
      <c r="M269" s="78"/>
      <c r="N269" t="s" s="79">
        <v>42</v>
      </c>
      <c r="O269" s="80"/>
    </row>
    <row r="270" ht="13.5" customHeight="1">
      <c r="A270" s="83">
        <v>0.01</v>
      </c>
      <c r="B270" s="76">
        <v>57.981</v>
      </c>
      <c r="C270" s="76">
        <v>61.792</v>
      </c>
      <c r="D270" s="77" cm="1">
        <f t="array" ref="D270">SUM(A270:C270)</f>
        <v>119.783</v>
      </c>
      <c r="E270" s="75">
        <v>0</v>
      </c>
      <c r="F270" s="76">
        <v>78.84999999999999</v>
      </c>
      <c r="G270" s="76">
        <v>64.482</v>
      </c>
      <c r="H270" s="77" cm="1">
        <f t="array" ref="H270">SUM(E270:G270)</f>
        <v>143.332</v>
      </c>
      <c r="I270" s="75" cm="1">
        <f t="array" ref="I270">A270+E270</f>
        <v>0.01</v>
      </c>
      <c r="J270" s="76" cm="1">
        <f t="array" ref="J270">B270+F270</f>
        <v>136.831</v>
      </c>
      <c r="K270" s="76" cm="1">
        <f t="array" ref="K270">C270+G270</f>
        <v>126.274</v>
      </c>
      <c r="L270" s="77" cm="1">
        <f t="array" ref="L270">D270+H270</f>
        <v>263.115</v>
      </c>
      <c r="M270" s="78"/>
      <c r="N270" t="s" s="79">
        <v>43</v>
      </c>
      <c r="O270" s="80"/>
    </row>
    <row r="271" ht="13.5" customHeight="1">
      <c r="A271" s="83" cm="1">
        <f t="array" ref="A271">SUM(A268:A270)</f>
        <v>0.06</v>
      </c>
      <c r="B271" s="76" cm="1">
        <f t="array" ref="B271">SUM(B268:B270)</f>
        <v>168.387</v>
      </c>
      <c r="C271" s="76" cm="1">
        <f t="array" ref="C271">SUM(C268:C270)</f>
        <v>193.057</v>
      </c>
      <c r="D271" s="77" cm="1">
        <f t="array" ref="D271">SUM(D268:D270)</f>
        <v>361.504</v>
      </c>
      <c r="E271" s="75" cm="1">
        <f t="array" ref="E271">SUM(E268:E270)</f>
        <v>0</v>
      </c>
      <c r="F271" s="76" cm="1">
        <f t="array" ref="F271">SUM(F268:F270)</f>
        <v>221.164</v>
      </c>
      <c r="G271" s="76" cm="1">
        <f t="array" ref="G271">SUM(G268:G270)</f>
        <v>183.277</v>
      </c>
      <c r="H271" s="77" cm="1">
        <f t="array" ref="H271">SUM(H268:H270)</f>
        <v>404.441</v>
      </c>
      <c r="I271" s="75" cm="1">
        <f t="array" ref="I271">SUM(I268:I270)</f>
        <v>0.06</v>
      </c>
      <c r="J271" s="76" cm="1">
        <f t="array" ref="J271">SUM(J268:J270)</f>
        <v>389.551</v>
      </c>
      <c r="K271" s="76" cm="1">
        <f t="array" ref="K271">SUM(K268:K270)</f>
        <v>376.334</v>
      </c>
      <c r="L271" s="77" cm="1">
        <f t="array" ref="L271">SUM(L268:L270)</f>
        <v>765.9450000000001</v>
      </c>
      <c r="M271" s="78"/>
      <c r="N271" t="s" s="79">
        <v>37</v>
      </c>
      <c r="O271" s="80">
        <v>2021</v>
      </c>
    </row>
    <row r="272" ht="13.5" customHeight="1">
      <c r="A272" s="83">
        <v>0.011</v>
      </c>
      <c r="B272" s="76">
        <v>59.169</v>
      </c>
      <c r="C272" s="76">
        <v>52.558</v>
      </c>
      <c r="D272" s="77" cm="1">
        <f t="array" ref="D272">SUM(A272:C272)</f>
        <v>111.738</v>
      </c>
      <c r="E272" s="75">
        <v>0.003</v>
      </c>
      <c r="F272" s="76">
        <v>71.776</v>
      </c>
      <c r="G272" s="76">
        <v>69.327</v>
      </c>
      <c r="H272" s="77" cm="1">
        <f t="array" ref="H272">SUM(E272:G272)</f>
        <v>141.106</v>
      </c>
      <c r="I272" s="75" cm="1">
        <f t="array" ref="I272">A272+E272</f>
        <v>0.014</v>
      </c>
      <c r="J272" s="76" cm="1">
        <f t="array" ref="J272">B272+F272</f>
        <v>130.945</v>
      </c>
      <c r="K272" s="76" cm="1">
        <f t="array" ref="K272">C272+G272</f>
        <v>121.885</v>
      </c>
      <c r="L272" s="77" cm="1">
        <f t="array" ref="L272">D272+H272</f>
        <v>252.844</v>
      </c>
      <c r="M272" s="78"/>
      <c r="N272" t="s" s="79">
        <v>44</v>
      </c>
      <c r="O272" s="80"/>
    </row>
    <row r="273" ht="13.5" customHeight="1">
      <c r="A273" s="83">
        <v>0.005</v>
      </c>
      <c r="B273" s="76">
        <v>68.807</v>
      </c>
      <c r="C273" s="76">
        <v>72.645</v>
      </c>
      <c r="D273" s="77" cm="1">
        <f t="array" ref="D273">SUM(A273:C273)</f>
        <v>141.457</v>
      </c>
      <c r="E273" s="75">
        <v>0</v>
      </c>
      <c r="F273" s="76">
        <v>71.139</v>
      </c>
      <c r="G273" s="76">
        <v>61.366</v>
      </c>
      <c r="H273" s="77" cm="1">
        <f t="array" ref="H273">SUM(E273:G273)</f>
        <v>132.505</v>
      </c>
      <c r="I273" s="75" cm="1">
        <f t="array" ref="I273">A273+E273</f>
        <v>0.005</v>
      </c>
      <c r="J273" s="76" cm="1">
        <f t="array" ref="J273">B273+F273</f>
        <v>139.946</v>
      </c>
      <c r="K273" s="76" cm="1">
        <f t="array" ref="K273">C273+G273</f>
        <v>134.011</v>
      </c>
      <c r="L273" s="77" cm="1">
        <f t="array" ref="L273">D273+H273</f>
        <v>273.962</v>
      </c>
      <c r="M273" s="78"/>
      <c r="N273" t="s" s="79">
        <v>45</v>
      </c>
      <c r="O273" s="80"/>
    </row>
    <row r="274" ht="13.5" customHeight="1">
      <c r="A274" s="83">
        <v>0.002</v>
      </c>
      <c r="B274" s="76">
        <v>71.235</v>
      </c>
      <c r="C274" s="76">
        <v>65.003</v>
      </c>
      <c r="D274" s="77" cm="1">
        <f t="array" ref="D274">SUM(A274:C274)</f>
        <v>136.24</v>
      </c>
      <c r="E274" s="75">
        <v>0</v>
      </c>
      <c r="F274" s="76">
        <v>74.678</v>
      </c>
      <c r="G274" s="76">
        <v>65.124</v>
      </c>
      <c r="H274" s="77" cm="1">
        <f t="array" ref="H274">SUM(E274:G274)</f>
        <v>139.802</v>
      </c>
      <c r="I274" s="75" cm="1">
        <f t="array" ref="I274">A274+E274</f>
        <v>0.002</v>
      </c>
      <c r="J274" s="76" cm="1">
        <f t="array" ref="J274">B274+F274</f>
        <v>145.913</v>
      </c>
      <c r="K274" s="76" cm="1">
        <f t="array" ref="K274">C274+G274</f>
        <v>130.127</v>
      </c>
      <c r="L274" s="77" cm="1">
        <f t="array" ref="L274">D274+H274</f>
        <v>276.042</v>
      </c>
      <c r="M274" s="78"/>
      <c r="N274" t="s" s="79">
        <v>46</v>
      </c>
      <c r="O274" s="80"/>
    </row>
    <row r="275" ht="13.5" customHeight="1">
      <c r="A275" s="83" cm="1">
        <f t="array" ref="A275">SUM(A272:A274)</f>
        <v>0.018</v>
      </c>
      <c r="B275" s="76" cm="1">
        <f t="array" ref="B275">SUM(B272:B274)</f>
        <v>199.211</v>
      </c>
      <c r="C275" s="76" cm="1">
        <f t="array" ref="C275">SUM(C272:C274)</f>
        <v>190.206</v>
      </c>
      <c r="D275" s="77" cm="1">
        <f t="array" ref="D275">SUM(D272:D274)</f>
        <v>389.435</v>
      </c>
      <c r="E275" s="75" cm="1">
        <f t="array" ref="E275">SUM(E272:E274)</f>
        <v>0.003</v>
      </c>
      <c r="F275" s="76" cm="1">
        <f t="array" ref="F275">SUM(F272:F274)</f>
        <v>217.593</v>
      </c>
      <c r="G275" s="76" cm="1">
        <f t="array" ref="G275">SUM(G272:G274)</f>
        <v>195.817</v>
      </c>
      <c r="H275" s="77" cm="1">
        <f t="array" ref="H275">SUM(H272:H274)</f>
        <v>413.413</v>
      </c>
      <c r="I275" s="75" cm="1">
        <f t="array" ref="I275">SUM(I272:I274)</f>
        <v>0.021</v>
      </c>
      <c r="J275" s="76" cm="1">
        <f t="array" ref="J275">SUM(J272:J274)</f>
        <v>416.804</v>
      </c>
      <c r="K275" s="76" cm="1">
        <f t="array" ref="K275">SUM(K272:K274)</f>
        <v>386.023</v>
      </c>
      <c r="L275" s="77" cm="1">
        <f t="array" ref="L275">SUM(L272:L274)</f>
        <v>802.848</v>
      </c>
      <c r="M275" s="78"/>
      <c r="N275" t="s" s="79">
        <v>38</v>
      </c>
      <c r="O275" s="80"/>
    </row>
    <row r="276" ht="13.5" customHeight="1">
      <c r="A276" s="83">
        <v>0.016</v>
      </c>
      <c r="B276" s="76">
        <v>74.724</v>
      </c>
      <c r="C276" s="76">
        <v>56.972</v>
      </c>
      <c r="D276" s="77" cm="1">
        <f t="array" ref="D276">SUM(A276:C276)</f>
        <v>131.712</v>
      </c>
      <c r="E276" s="75">
        <v>0</v>
      </c>
      <c r="F276" s="76">
        <v>75.788</v>
      </c>
      <c r="G276" s="76">
        <v>61.641</v>
      </c>
      <c r="H276" s="77" cm="1">
        <f t="array" ref="H276">SUM(E276:G276)</f>
        <v>137.429</v>
      </c>
      <c r="I276" s="75" cm="1">
        <f t="array" ref="I276">A276+E276</f>
        <v>0.016</v>
      </c>
      <c r="J276" s="76" cm="1">
        <f t="array" ref="J276">B276+F276</f>
        <v>150.512</v>
      </c>
      <c r="K276" s="76" cm="1">
        <f t="array" ref="K276">C276+G276</f>
        <v>118.613</v>
      </c>
      <c r="L276" s="77" cm="1">
        <f t="array" ref="L276">D276+H276</f>
        <v>269.141</v>
      </c>
      <c r="M276" s="78"/>
      <c r="N276" t="s" s="79">
        <v>47</v>
      </c>
      <c r="O276" s="80"/>
    </row>
    <row r="277" ht="13.5" customHeight="1">
      <c r="A277" s="83">
        <v>0.026</v>
      </c>
      <c r="B277" s="76">
        <v>77.846</v>
      </c>
      <c r="C277" s="76">
        <v>66.89700000000001</v>
      </c>
      <c r="D277" s="77" cm="1">
        <f t="array" ref="D277">SUM(A277:C277)</f>
        <v>144.769</v>
      </c>
      <c r="E277" s="75">
        <v>0</v>
      </c>
      <c r="F277" s="76">
        <v>74.84</v>
      </c>
      <c r="G277" s="76">
        <v>58.603</v>
      </c>
      <c r="H277" s="77" cm="1">
        <f t="array" ref="H277">SUM(E277:G277)</f>
        <v>133.443</v>
      </c>
      <c r="I277" s="75" cm="1">
        <f t="array" ref="I277">A277+E277</f>
        <v>0.026</v>
      </c>
      <c r="J277" s="76" cm="1">
        <f t="array" ref="J277">B277+F277</f>
        <v>152.686</v>
      </c>
      <c r="K277" s="76" cm="1">
        <f t="array" ref="K277">C277+G277</f>
        <v>125.5</v>
      </c>
      <c r="L277" s="77" cm="1">
        <f t="array" ref="L277">D277+H277</f>
        <v>278.212</v>
      </c>
      <c r="M277" s="78"/>
      <c r="N277" t="s" s="79">
        <v>48</v>
      </c>
      <c r="O277" s="80"/>
    </row>
    <row r="278" ht="13.5" customHeight="1">
      <c r="A278" s="83">
        <v>0</v>
      </c>
      <c r="B278" s="76">
        <v>42.156</v>
      </c>
      <c r="C278" s="76">
        <v>52.55</v>
      </c>
      <c r="D278" s="77" cm="1">
        <f t="array" ref="D278">SUM(A278:C278)</f>
        <v>94.706</v>
      </c>
      <c r="E278" s="75">
        <v>0.001</v>
      </c>
      <c r="F278" s="76">
        <v>63.203</v>
      </c>
      <c r="G278" s="76">
        <v>52.701</v>
      </c>
      <c r="H278" s="77" cm="1">
        <f t="array" ref="H278">SUM(E278:G278)</f>
        <v>115.905</v>
      </c>
      <c r="I278" s="75" cm="1">
        <f t="array" ref="I278">A278+E278</f>
        <v>0.001</v>
      </c>
      <c r="J278" s="76" cm="1">
        <f t="array" ref="J278">B278+F278</f>
        <v>105.359</v>
      </c>
      <c r="K278" s="76" cm="1">
        <f t="array" ref="K278">C278+G278</f>
        <v>105.251</v>
      </c>
      <c r="L278" s="77" cm="1">
        <f t="array" ref="L278">D278+H278</f>
        <v>210.611</v>
      </c>
      <c r="M278" s="78"/>
      <c r="N278" t="s" s="79">
        <v>49</v>
      </c>
      <c r="O278" s="80"/>
    </row>
    <row r="279" ht="13.5" customHeight="1">
      <c r="A279" s="83" cm="1">
        <f t="array" ref="A279">SUM(A276:A278)</f>
        <v>0.042</v>
      </c>
      <c r="B279" s="76" cm="1">
        <f t="array" ref="B279">SUM(B276:B278)</f>
        <v>194.726</v>
      </c>
      <c r="C279" s="76" cm="1">
        <f t="array" ref="C279">SUM(C276:C278)</f>
        <v>176.419</v>
      </c>
      <c r="D279" s="77" cm="1">
        <f t="array" ref="D279">SUM(D276:D278)</f>
        <v>371.187</v>
      </c>
      <c r="E279" s="75" cm="1">
        <f t="array" ref="E279">SUM(E276:E278)</f>
        <v>0.001</v>
      </c>
      <c r="F279" s="76" cm="1">
        <f t="array" ref="F279">SUM(F276:F278)</f>
        <v>213.831</v>
      </c>
      <c r="G279" s="76" cm="1">
        <f t="array" ref="G279">SUM(G276:G278)</f>
        <v>172.945</v>
      </c>
      <c r="H279" s="77" cm="1">
        <f t="array" ref="H279">SUM(H276:H278)</f>
        <v>386.777</v>
      </c>
      <c r="I279" s="75" cm="1">
        <f t="array" ref="I279">SUM(I276:I278)</f>
        <v>0.043</v>
      </c>
      <c r="J279" s="76" cm="1">
        <f t="array" ref="J279">SUM(J276:J278)</f>
        <v>408.557</v>
      </c>
      <c r="K279" s="76" cm="1">
        <f t="array" ref="K279">SUM(K276:K278)</f>
        <v>349.364</v>
      </c>
      <c r="L279" s="77" cm="1">
        <f t="array" ref="L279">SUM(L276:L278)</f>
        <v>757.9640000000001</v>
      </c>
      <c r="M279" s="78"/>
      <c r="N279" t="s" s="79">
        <v>39</v>
      </c>
      <c r="O279" s="80"/>
    </row>
    <row r="280" ht="13.5" customHeight="1">
      <c r="A280" s="83">
        <v>0.04</v>
      </c>
      <c r="B280" s="76">
        <v>67.479</v>
      </c>
      <c r="C280" s="76">
        <v>60.847</v>
      </c>
      <c r="D280" s="77" cm="1">
        <f t="array" ref="D280">SUM(A280:C280)</f>
        <v>128.366</v>
      </c>
      <c r="E280" s="75">
        <v>0.005</v>
      </c>
      <c r="F280" s="76">
        <v>69.145</v>
      </c>
      <c r="G280" s="76">
        <v>60.24</v>
      </c>
      <c r="H280" s="77" cm="1">
        <f t="array" ref="H280">SUM(E280:G280)</f>
        <v>129.39</v>
      </c>
      <c r="I280" s="75" cm="1">
        <f t="array" ref="I280">A280+E280</f>
        <v>0.045</v>
      </c>
      <c r="J280" s="76" cm="1">
        <f t="array" ref="J280">B280+F280</f>
        <v>136.624</v>
      </c>
      <c r="K280" s="76" cm="1">
        <f t="array" ref="K280">C280+G280</f>
        <v>121.087</v>
      </c>
      <c r="L280" s="77" cm="1">
        <f t="array" ref="L280">D280+H280</f>
        <v>257.756</v>
      </c>
      <c r="M280" s="78"/>
      <c r="N280" t="s" s="79">
        <v>50</v>
      </c>
      <c r="O280" s="80"/>
    </row>
    <row r="281" ht="14.25" customHeight="1">
      <c r="A281" s="84"/>
      <c r="B281" s="85"/>
      <c r="C281" s="85"/>
      <c r="D281" s="86"/>
      <c r="E281" s="84"/>
      <c r="F281" s="85"/>
      <c r="G281" s="85"/>
      <c r="H281" s="86"/>
      <c r="I281" s="84"/>
      <c r="J281" s="85"/>
      <c r="K281" s="85"/>
      <c r="L281" s="86"/>
      <c r="M281" s="87"/>
      <c r="N281" s="88"/>
      <c r="O281" s="89"/>
    </row>
    <row r="282" ht="12.75" customHeight="1">
      <c r="A282" s="90"/>
      <c r="B282" s="91"/>
      <c r="C282" s="91"/>
      <c r="D282" s="37"/>
      <c r="E282" s="92"/>
      <c r="F282" s="91"/>
      <c r="G282" s="91"/>
      <c r="H282" s="37"/>
      <c r="I282" s="37"/>
      <c r="J282" s="37"/>
      <c r="K282" s="37"/>
      <c r="L282" s="37"/>
      <c r="M282" s="37"/>
      <c r="N282" s="38"/>
      <c r="O282" t="s" s="93">
        <v>53</v>
      </c>
    </row>
    <row r="283" ht="13.65" customHeight="1">
      <c r="A283" s="94"/>
      <c r="B283" s="95"/>
      <c r="C283" s="95"/>
      <c r="D283" s="95"/>
      <c r="E283" s="95"/>
      <c r="F283" s="95"/>
      <c r="G283" s="95"/>
      <c r="H283" s="95"/>
      <c r="I283" s="96"/>
      <c r="J283" s="96"/>
      <c r="K283" s="96"/>
      <c r="L283" s="76"/>
      <c r="M283" s="29"/>
      <c r="N283" s="29"/>
      <c r="O283" s="97"/>
    </row>
    <row r="284" ht="17" customHeight="1">
      <c r="A284" s="98"/>
      <c r="B284" s="99"/>
      <c r="C284" s="29"/>
      <c r="D284" s="9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100"/>
    </row>
    <row r="285" ht="17" customHeight="1">
      <c r="A285" s="98"/>
      <c r="B285" s="29"/>
      <c r="C285" s="29"/>
      <c r="D285" s="29"/>
      <c r="E285" s="29"/>
      <c r="F285" s="29"/>
      <c r="G285" s="29"/>
      <c r="H285" s="29"/>
      <c r="I285" s="29"/>
      <c r="J285" s="99"/>
      <c r="K285" s="29"/>
      <c r="L285" s="29"/>
      <c r="M285" s="29"/>
      <c r="N285" s="29"/>
      <c r="O285" s="97"/>
    </row>
    <row r="286" ht="17" customHeight="1">
      <c r="A286" s="98"/>
      <c r="B286" s="101"/>
      <c r="C286" s="29"/>
      <c r="D286" s="101"/>
      <c r="E286" s="29"/>
      <c r="F286" s="29"/>
      <c r="G286" s="101"/>
      <c r="H286" s="29"/>
      <c r="I286" s="29"/>
      <c r="J286" s="99"/>
      <c r="K286" s="29"/>
      <c r="L286" s="29"/>
      <c r="M286" s="29"/>
      <c r="N286" s="29"/>
      <c r="O286" s="97"/>
    </row>
    <row r="287" ht="17" customHeight="1">
      <c r="A287" s="98"/>
      <c r="B287" s="29"/>
      <c r="C287" s="29"/>
      <c r="D287" s="29"/>
      <c r="E287" s="29"/>
      <c r="F287" s="29"/>
      <c r="G287" s="29"/>
      <c r="H287" s="29"/>
      <c r="I287" s="29"/>
      <c r="J287" s="99"/>
      <c r="K287" s="29"/>
      <c r="L287" s="29"/>
      <c r="M287" s="29"/>
      <c r="N287" s="29"/>
      <c r="O287" s="97"/>
    </row>
    <row r="288" ht="17" customHeight="1">
      <c r="A288" s="102"/>
      <c r="B288" s="103"/>
      <c r="C288" s="103"/>
      <c r="D288" s="103"/>
      <c r="E288" s="103"/>
      <c r="F288" s="103"/>
      <c r="G288" s="103"/>
      <c r="H288" s="103"/>
      <c r="I288" s="103"/>
      <c r="J288" s="104"/>
      <c r="K288" s="103"/>
      <c r="L288" s="103"/>
      <c r="M288" s="103"/>
      <c r="N288" s="103"/>
      <c r="O288" s="105"/>
    </row>
  </sheetData>
  <mergeCells count="2">
    <mergeCell ref="I5:L5"/>
    <mergeCell ref="I6:L6"/>
  </mergeCells>
  <pageMargins left="0.15748" right="0.472441" top="0.15748" bottom="0.15748" header="0.15748" footer="0.15748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L92"/>
  <sheetViews>
    <sheetView workbookViewId="0" showGridLines="0" rightToLeft="1" defaultGridColor="1"/>
  </sheetViews>
  <sheetFormatPr defaultColWidth="8.83333" defaultRowHeight="12.75" customHeight="1" outlineLevelRow="0" outlineLevelCol="0"/>
  <cols>
    <col min="1" max="3" width="8.85156" style="106" customWidth="1"/>
    <col min="4" max="4" width="10.5" style="106" customWidth="1"/>
    <col min="5" max="5" width="8.85156" style="106" customWidth="1"/>
    <col min="6" max="6" width="11.5" style="106" customWidth="1"/>
    <col min="7" max="7" width="8.85156" style="106" customWidth="1"/>
    <col min="8" max="8" width="10.3516" style="106" customWidth="1"/>
    <col min="9" max="12" width="8.85156" style="106" customWidth="1"/>
    <col min="13" max="16384" width="8.85156" style="106" customWidth="1"/>
  </cols>
  <sheetData>
    <row r="1" ht="13.6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3.6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ht="13.65" customHeight="1">
      <c r="A3" s="9"/>
      <c r="B3" s="9"/>
      <c r="C3" s="9"/>
      <c r="D3" s="9"/>
      <c r="E3" s="11"/>
      <c r="F3" s="11"/>
      <c r="G3" s="11"/>
      <c r="H3" s="11"/>
      <c r="I3" s="9"/>
      <c r="J3" s="9"/>
      <c r="K3" s="9"/>
      <c r="L3" s="9"/>
    </row>
    <row r="4" ht="24" customHeight="1">
      <c r="A4" s="9"/>
      <c r="B4" s="9"/>
      <c r="C4" s="9"/>
      <c r="D4" s="107"/>
      <c r="E4" t="s" s="108">
        <v>54</v>
      </c>
      <c r="F4" t="s" s="108">
        <v>55</v>
      </c>
      <c r="G4" t="s" s="108">
        <v>56</v>
      </c>
      <c r="H4" t="s" s="108">
        <v>57</v>
      </c>
      <c r="I4" s="109"/>
      <c r="J4" s="9"/>
      <c r="K4" s="9"/>
      <c r="L4" s="9"/>
    </row>
    <row r="5" ht="9" customHeight="1" hidden="1">
      <c r="A5" s="9"/>
      <c r="B5" s="9"/>
      <c r="C5" s="12"/>
      <c r="D5" t="s" s="110">
        <v>58</v>
      </c>
      <c r="E5" s="15">
        <v>259.484</v>
      </c>
      <c r="F5" s="15">
        <v>132.434</v>
      </c>
      <c r="G5" s="15">
        <v>7.097</v>
      </c>
      <c r="H5" s="15">
        <v>399.015</v>
      </c>
      <c r="I5" s="111"/>
      <c r="J5" s="112"/>
      <c r="K5" s="9"/>
      <c r="L5" s="9"/>
    </row>
    <row r="6" ht="9" customHeight="1" hidden="1">
      <c r="A6" s="9"/>
      <c r="B6" s="9"/>
      <c r="C6" s="12"/>
      <c r="D6" t="s" s="110">
        <v>59</v>
      </c>
      <c r="E6" s="15">
        <v>285.339</v>
      </c>
      <c r="F6" s="15">
        <v>142.827</v>
      </c>
      <c r="G6" s="15">
        <v>6.481</v>
      </c>
      <c r="H6" s="15">
        <v>434.647</v>
      </c>
      <c r="I6" s="109"/>
      <c r="J6" s="9"/>
      <c r="K6" s="9"/>
      <c r="L6" s="9"/>
    </row>
    <row r="7" ht="9" customHeight="1" hidden="1">
      <c r="A7" s="9"/>
      <c r="B7" s="9"/>
      <c r="C7" s="12"/>
      <c r="D7" t="s" s="110">
        <v>60</v>
      </c>
      <c r="E7" s="15">
        <v>210.021</v>
      </c>
      <c r="F7" s="15">
        <v>113.302</v>
      </c>
      <c r="G7" s="15">
        <v>10.035</v>
      </c>
      <c r="H7" s="15">
        <v>333.358</v>
      </c>
      <c r="I7" s="109"/>
      <c r="J7" s="9"/>
      <c r="K7" s="9"/>
      <c r="L7" s="9"/>
    </row>
    <row r="8" ht="9" customHeight="1" hidden="1">
      <c r="A8" s="9"/>
      <c r="B8" s="9"/>
      <c r="C8" s="12"/>
      <c r="D8" t="s" s="110">
        <v>61</v>
      </c>
      <c r="E8" s="15">
        <v>276.476</v>
      </c>
      <c r="F8" s="15">
        <v>156.437</v>
      </c>
      <c r="G8" s="15">
        <v>6.238</v>
      </c>
      <c r="H8" s="15">
        <v>439.151</v>
      </c>
      <c r="I8" s="109"/>
      <c r="J8" s="9"/>
      <c r="K8" s="9"/>
      <c r="L8" s="9"/>
    </row>
    <row r="9" ht="9" customHeight="1" hidden="1">
      <c r="A9" s="9"/>
      <c r="B9" s="9"/>
      <c r="C9" s="12"/>
      <c r="D9" t="s" s="110">
        <v>62</v>
      </c>
      <c r="E9" s="15">
        <v>252.258</v>
      </c>
      <c r="F9" s="15">
        <v>154.594</v>
      </c>
      <c r="G9" s="15">
        <v>4.034</v>
      </c>
      <c r="H9" s="15">
        <v>410.886</v>
      </c>
      <c r="I9" s="109"/>
      <c r="J9" s="112"/>
      <c r="K9" s="9"/>
      <c r="L9" s="9"/>
    </row>
    <row r="10" ht="9" customHeight="1" hidden="1">
      <c r="A10" s="9"/>
      <c r="B10" s="9"/>
      <c r="C10" s="12"/>
      <c r="D10" t="s" s="110">
        <v>63</v>
      </c>
      <c r="E10" s="15">
        <v>292.248</v>
      </c>
      <c r="F10" s="15">
        <v>154.524</v>
      </c>
      <c r="G10" s="15">
        <v>5.286</v>
      </c>
      <c r="H10" s="15">
        <v>452.058</v>
      </c>
      <c r="I10" s="109"/>
      <c r="J10" s="9"/>
      <c r="K10" s="9"/>
      <c r="L10" s="9"/>
    </row>
    <row r="11" ht="9" customHeight="1" hidden="1">
      <c r="A11" s="9"/>
      <c r="B11" s="9"/>
      <c r="C11" s="12"/>
      <c r="D11" t="s" s="110">
        <v>64</v>
      </c>
      <c r="E11" s="15">
        <v>285.632</v>
      </c>
      <c r="F11" s="15">
        <v>139.864</v>
      </c>
      <c r="G11" s="15">
        <v>5.942</v>
      </c>
      <c r="H11" s="15">
        <v>431.438</v>
      </c>
      <c r="I11" s="109"/>
      <c r="J11" s="9"/>
      <c r="K11" s="9"/>
      <c r="L11" s="9"/>
    </row>
    <row r="12" ht="9" customHeight="1" hidden="1">
      <c r="A12" s="9"/>
      <c r="B12" s="9"/>
      <c r="C12" s="12"/>
      <c r="D12" t="s" s="110">
        <v>65</v>
      </c>
      <c r="E12" s="15">
        <v>277</v>
      </c>
      <c r="F12" s="15">
        <v>137.254</v>
      </c>
      <c r="G12" s="15">
        <v>5.311</v>
      </c>
      <c r="H12" s="15">
        <v>419.565</v>
      </c>
      <c r="I12" s="109"/>
      <c r="J12" s="112"/>
      <c r="K12" s="9"/>
      <c r="L12" s="9"/>
    </row>
    <row r="13" ht="9" customHeight="1" hidden="1">
      <c r="A13" s="9"/>
      <c r="B13" s="9"/>
      <c r="C13" s="12"/>
      <c r="D13" t="s" s="110">
        <v>66</v>
      </c>
      <c r="E13" s="15">
        <v>298</v>
      </c>
      <c r="F13" s="15">
        <v>160</v>
      </c>
      <c r="G13" s="15">
        <v>5</v>
      </c>
      <c r="H13" s="15">
        <v>463</v>
      </c>
      <c r="I13" s="109"/>
      <c r="J13" s="9"/>
      <c r="K13" s="9"/>
      <c r="L13" s="9"/>
    </row>
    <row r="14" ht="9" customHeight="1" hidden="1">
      <c r="A14" s="9"/>
      <c r="B14" s="9"/>
      <c r="C14" s="12"/>
      <c r="D14" t="s" s="110">
        <v>67</v>
      </c>
      <c r="E14" s="15">
        <v>293</v>
      </c>
      <c r="F14" s="15">
        <v>168</v>
      </c>
      <c r="G14" s="15">
        <v>7</v>
      </c>
      <c r="H14" s="15" cm="1">
        <f t="array" ref="H14">SUM(E14:G14)</f>
        <v>468</v>
      </c>
      <c r="I14" s="109"/>
      <c r="J14" s="9"/>
      <c r="K14" s="9"/>
      <c r="L14" s="9"/>
    </row>
    <row r="15" ht="9" customHeight="1" hidden="1">
      <c r="A15" s="9"/>
      <c r="B15" s="9"/>
      <c r="C15" s="12"/>
      <c r="D15" t="s" s="110">
        <v>68</v>
      </c>
      <c r="E15" s="15">
        <v>203</v>
      </c>
      <c r="F15" s="15">
        <v>197</v>
      </c>
      <c r="G15" s="15">
        <v>4</v>
      </c>
      <c r="H15" s="15" cm="1">
        <f t="array" ref="H15">SUM(E15:G15)</f>
        <v>404</v>
      </c>
      <c r="I15" s="109"/>
      <c r="J15" s="9"/>
      <c r="K15" s="9"/>
      <c r="L15" s="9"/>
    </row>
    <row r="16" ht="9" customHeight="1" hidden="1">
      <c r="A16" s="9"/>
      <c r="B16" s="9"/>
      <c r="C16" s="12"/>
      <c r="D16" t="s" s="110">
        <v>69</v>
      </c>
      <c r="E16" s="15">
        <v>259</v>
      </c>
      <c r="F16" s="15">
        <v>169</v>
      </c>
      <c r="G16" s="15">
        <v>6</v>
      </c>
      <c r="H16" s="15" cm="1">
        <f t="array" ref="H16">SUM(E16:G16)</f>
        <v>434</v>
      </c>
      <c r="I16" s="109"/>
      <c r="J16" s="9"/>
      <c r="K16" s="9"/>
      <c r="L16" s="9"/>
    </row>
    <row r="17" ht="9" customHeight="1" hidden="1">
      <c r="A17" s="9"/>
      <c r="B17" s="9"/>
      <c r="C17" s="12"/>
      <c r="D17" t="s" s="110">
        <v>70</v>
      </c>
      <c r="E17" s="15">
        <v>284.063</v>
      </c>
      <c r="F17" s="15">
        <v>184.925</v>
      </c>
      <c r="G17" s="15">
        <v>2.13</v>
      </c>
      <c r="H17" s="15" cm="1">
        <f t="array" ref="H17">SUM(E17:G17)</f>
        <v>471.118</v>
      </c>
      <c r="I17" s="109"/>
      <c r="J17" s="9"/>
      <c r="K17" s="9"/>
      <c r="L17" s="9"/>
    </row>
    <row r="18" ht="9" customHeight="1" hidden="1">
      <c r="A18" s="9"/>
      <c r="B18" s="9"/>
      <c r="C18" s="12"/>
      <c r="D18" t="s" s="110">
        <v>71</v>
      </c>
      <c r="E18" s="15">
        <v>287.219</v>
      </c>
      <c r="F18" s="15">
        <v>214.489</v>
      </c>
      <c r="G18" s="15">
        <v>3.394</v>
      </c>
      <c r="H18" s="15" cm="1">
        <f t="array" ref="H18">SUM(E18:G18)</f>
        <v>505.102</v>
      </c>
      <c r="I18" s="109"/>
      <c r="J18" s="9"/>
      <c r="K18" s="9"/>
      <c r="L18" s="9"/>
    </row>
    <row r="19" ht="9" customHeight="1" hidden="1">
      <c r="A19" s="9"/>
      <c r="B19" s="9"/>
      <c r="C19" s="12"/>
      <c r="D19" t="s" s="110">
        <v>72</v>
      </c>
      <c r="E19" s="15">
        <v>284.166</v>
      </c>
      <c r="F19" s="15">
        <v>206.194</v>
      </c>
      <c r="G19" s="15">
        <v>0.967</v>
      </c>
      <c r="H19" s="15" cm="1">
        <f t="array" ref="H19">SUM(E19:G19)</f>
        <v>491.327</v>
      </c>
      <c r="I19" s="109"/>
      <c r="J19" s="9"/>
      <c r="K19" s="9"/>
      <c r="L19" s="9"/>
    </row>
    <row r="20" ht="9" customHeight="1" hidden="1">
      <c r="A20" s="9"/>
      <c r="B20" s="9"/>
      <c r="C20" s="12"/>
      <c r="D20" t="s" s="110">
        <v>73</v>
      </c>
      <c r="E20" s="15">
        <v>293.18</v>
      </c>
      <c r="F20" s="15">
        <v>202.955</v>
      </c>
      <c r="G20" s="15">
        <v>0.008</v>
      </c>
      <c r="H20" s="15" cm="1">
        <f t="array" ref="H20">SUM(E20:G20)</f>
        <v>496.143</v>
      </c>
      <c r="I20" s="109"/>
      <c r="J20" s="9"/>
      <c r="K20" s="9"/>
      <c r="L20" s="9"/>
    </row>
    <row r="21" ht="9" customHeight="1" hidden="1">
      <c r="A21" s="9"/>
      <c r="B21" s="9"/>
      <c r="C21" s="12"/>
      <c r="D21" t="s" s="110">
        <v>74</v>
      </c>
      <c r="E21" s="15">
        <v>341.532</v>
      </c>
      <c r="F21" s="15">
        <v>202.955</v>
      </c>
      <c r="G21" s="15">
        <v>0.008</v>
      </c>
      <c r="H21" s="15" cm="1">
        <f t="array" ref="H21">SUM(E21:G21)</f>
        <v>544.495</v>
      </c>
      <c r="I21" s="109"/>
      <c r="J21" s="9"/>
      <c r="K21" s="9"/>
      <c r="L21" s="9"/>
    </row>
    <row r="22" ht="9" customHeight="1" hidden="1">
      <c r="A22" s="9"/>
      <c r="B22" s="9"/>
      <c r="C22" s="12"/>
      <c r="D22" t="s" s="110">
        <v>75</v>
      </c>
      <c r="E22" s="15">
        <v>351.013</v>
      </c>
      <c r="F22" s="15">
        <v>197.067</v>
      </c>
      <c r="G22" s="15">
        <v>0</v>
      </c>
      <c r="H22" s="15" cm="1">
        <f t="array" ref="H22">SUM(E22:G22)</f>
        <v>548.08</v>
      </c>
      <c r="I22" s="113"/>
      <c r="J22" s="114"/>
      <c r="K22" s="114"/>
      <c r="L22" s="9"/>
    </row>
    <row r="23" ht="9" customHeight="1" hidden="1">
      <c r="A23" s="9"/>
      <c r="B23" s="9"/>
      <c r="C23" s="12"/>
      <c r="D23" t="s" s="110">
        <v>76</v>
      </c>
      <c r="E23" s="15">
        <v>280.323</v>
      </c>
      <c r="F23" s="15">
        <v>194.381</v>
      </c>
      <c r="G23" s="15">
        <v>0.003</v>
      </c>
      <c r="H23" s="15" cm="1">
        <f t="array" ref="H23">SUM(E23:G23)</f>
        <v>474.707</v>
      </c>
      <c r="I23" s="109"/>
      <c r="J23" s="9"/>
      <c r="K23" s="9"/>
      <c r="L23" s="9"/>
    </row>
    <row r="24" ht="9" customHeight="1" hidden="1">
      <c r="A24" s="9"/>
      <c r="B24" s="9"/>
      <c r="C24" s="12"/>
      <c r="D24" t="s" s="110">
        <v>77</v>
      </c>
      <c r="E24" s="15">
        <v>278.25</v>
      </c>
      <c r="F24" s="15">
        <v>233.905</v>
      </c>
      <c r="G24" s="15">
        <v>2.009</v>
      </c>
      <c r="H24" s="15" cm="1">
        <f t="array" ref="H24">SUM(E24:G24)</f>
        <v>514.164</v>
      </c>
      <c r="I24" s="109"/>
      <c r="J24" s="9"/>
      <c r="K24" s="9"/>
      <c r="L24" s="9"/>
    </row>
    <row r="25" ht="9" customHeight="1" hidden="1">
      <c r="A25" s="9"/>
      <c r="B25" s="9"/>
      <c r="C25" s="12"/>
      <c r="D25" t="s" s="110">
        <v>78</v>
      </c>
      <c r="E25" s="15">
        <v>261.88</v>
      </c>
      <c r="F25" s="15">
        <v>209.965</v>
      </c>
      <c r="G25" s="15">
        <v>3.809</v>
      </c>
      <c r="H25" s="15" cm="1">
        <f t="array" ref="H25">SUM(E25:G25)</f>
        <v>475.654</v>
      </c>
      <c r="I25" s="109"/>
      <c r="J25" s="9"/>
      <c r="K25" s="9"/>
      <c r="L25" s="9"/>
    </row>
    <row r="26" ht="9" customHeight="1" hidden="1">
      <c r="A26" s="9"/>
      <c r="B26" s="9"/>
      <c r="C26" s="12"/>
      <c r="D26" t="s" s="110">
        <v>79</v>
      </c>
      <c r="E26" s="15">
        <v>299.951</v>
      </c>
      <c r="F26" s="15">
        <v>212.598</v>
      </c>
      <c r="G26" s="15">
        <v>1</v>
      </c>
      <c r="H26" s="15" cm="1">
        <f t="array" ref="H26">SUM(E26:G26)</f>
        <v>513.549</v>
      </c>
      <c r="I26" s="109"/>
      <c r="J26" s="9"/>
      <c r="K26" s="9"/>
      <c r="L26" s="9"/>
    </row>
    <row r="27" ht="9" customHeight="1" hidden="1">
      <c r="A27" s="9"/>
      <c r="B27" s="9"/>
      <c r="C27" s="12"/>
      <c r="D27" t="s" s="110">
        <v>80</v>
      </c>
      <c r="E27" s="15">
        <v>281</v>
      </c>
      <c r="F27" s="15">
        <v>229</v>
      </c>
      <c r="G27" s="15">
        <v>0</v>
      </c>
      <c r="H27" s="15" cm="1">
        <f t="array" ref="H27">SUM(E27:G27)</f>
        <v>510</v>
      </c>
      <c r="I27" s="109"/>
      <c r="J27" s="9"/>
      <c r="K27" s="9"/>
      <c r="L27" s="9"/>
    </row>
    <row r="28" ht="9" customHeight="1" hidden="1">
      <c r="A28" s="9"/>
      <c r="B28" s="9"/>
      <c r="C28" s="12"/>
      <c r="D28" t="s" s="110">
        <v>81</v>
      </c>
      <c r="E28" s="15">
        <v>290.975</v>
      </c>
      <c r="F28" s="15">
        <v>241.208</v>
      </c>
      <c r="G28" s="15">
        <v>0</v>
      </c>
      <c r="H28" s="15" cm="1">
        <f t="array" ref="H28">SUM(E28:G28)</f>
        <v>532.183</v>
      </c>
      <c r="I28" s="109"/>
      <c r="J28" s="9"/>
      <c r="K28" s="9"/>
      <c r="L28" s="9"/>
    </row>
    <row r="29" ht="9" customHeight="1" hidden="1">
      <c r="A29" s="9"/>
      <c r="B29" s="9"/>
      <c r="C29" s="12"/>
      <c r="D29" t="s" s="110">
        <v>82</v>
      </c>
      <c r="E29" s="15">
        <v>297</v>
      </c>
      <c r="F29" s="15">
        <v>260</v>
      </c>
      <c r="G29" s="15">
        <v>0</v>
      </c>
      <c r="H29" s="15" cm="1">
        <f t="array" ref="H29">SUM(E29:G29)</f>
        <v>557</v>
      </c>
      <c r="I29" s="109"/>
      <c r="J29" s="9"/>
      <c r="K29" s="9"/>
      <c r="L29" s="9"/>
    </row>
    <row r="30" ht="9" customHeight="1" hidden="1">
      <c r="A30" s="9"/>
      <c r="B30" s="9"/>
      <c r="C30" s="12"/>
      <c r="D30" t="s" s="110">
        <v>83</v>
      </c>
      <c r="E30" s="15">
        <v>333.87</v>
      </c>
      <c r="F30" s="15">
        <v>266.261</v>
      </c>
      <c r="G30" s="15">
        <v>0</v>
      </c>
      <c r="H30" s="15" cm="1">
        <f t="array" ref="H30">SUM(E30:G30)</f>
        <v>600.131</v>
      </c>
      <c r="I30" s="109"/>
      <c r="J30" s="9"/>
      <c r="K30" s="9"/>
      <c r="L30" s="9"/>
    </row>
    <row r="31" ht="9" customHeight="1" hidden="1">
      <c r="A31" s="9"/>
      <c r="B31" s="9"/>
      <c r="C31" s="12"/>
      <c r="D31" t="s" s="110">
        <v>84</v>
      </c>
      <c r="E31" s="15">
        <v>334.911</v>
      </c>
      <c r="F31" s="15">
        <v>232.574</v>
      </c>
      <c r="G31" s="15">
        <v>0</v>
      </c>
      <c r="H31" s="15" cm="1">
        <f t="array" ref="H31">SUM(E31:G31)</f>
        <v>567.485</v>
      </c>
      <c r="I31" s="109"/>
      <c r="J31" s="9"/>
      <c r="K31" s="9"/>
      <c r="L31" s="9"/>
    </row>
    <row r="32" ht="9" customHeight="1" hidden="1">
      <c r="A32" s="9"/>
      <c r="B32" s="9"/>
      <c r="C32" s="12"/>
      <c r="D32" t="s" s="110">
        <v>85</v>
      </c>
      <c r="E32" s="15">
        <v>300.357</v>
      </c>
      <c r="F32" s="15">
        <v>258.587</v>
      </c>
      <c r="G32" s="15">
        <v>0</v>
      </c>
      <c r="H32" s="15" cm="1">
        <f t="array" ref="H32">SUM(E32:G32)</f>
        <v>558.944</v>
      </c>
      <c r="I32" s="109"/>
      <c r="J32" s="9"/>
      <c r="K32" s="9"/>
      <c r="L32" s="9"/>
    </row>
    <row r="33" ht="9" customHeight="1" hidden="1">
      <c r="A33" s="9"/>
      <c r="B33" s="9"/>
      <c r="C33" s="12"/>
      <c r="D33" t="s" s="110">
        <v>86</v>
      </c>
      <c r="E33" s="15">
        <v>301.989</v>
      </c>
      <c r="F33" s="15">
        <v>297.287</v>
      </c>
      <c r="G33" s="15">
        <v>0</v>
      </c>
      <c r="H33" s="15" cm="1">
        <f t="array" ref="H33">SUM(E33:G33)</f>
        <v>599.276</v>
      </c>
      <c r="I33" s="109"/>
      <c r="J33" s="9"/>
      <c r="K33" s="9"/>
      <c r="L33" s="9"/>
    </row>
    <row r="34" ht="9" customHeight="1" hidden="1">
      <c r="A34" s="9"/>
      <c r="B34" s="9"/>
      <c r="C34" s="12"/>
      <c r="D34" t="s" s="110">
        <v>87</v>
      </c>
      <c r="E34" s="15">
        <v>338.324</v>
      </c>
      <c r="F34" s="15">
        <v>302.407</v>
      </c>
      <c r="G34" s="15">
        <v>0</v>
      </c>
      <c r="H34" s="15" cm="1">
        <f t="array" ref="H34">SUM(E34:G34)</f>
        <v>640.731</v>
      </c>
      <c r="I34" s="109"/>
      <c r="J34" s="9"/>
      <c r="K34" s="9"/>
      <c r="L34" s="9"/>
    </row>
    <row r="35" ht="9" customHeight="1" hidden="1">
      <c r="A35" s="9"/>
      <c r="B35" s="9"/>
      <c r="C35" s="12"/>
      <c r="D35" t="s" s="110">
        <v>88</v>
      </c>
      <c r="E35" s="15">
        <v>305.008</v>
      </c>
      <c r="F35" s="15">
        <v>287.119</v>
      </c>
      <c r="G35" s="15">
        <v>0</v>
      </c>
      <c r="H35" s="15" cm="1">
        <f t="array" ref="H35">SUM(E35:G35)</f>
        <v>592.127</v>
      </c>
      <c r="I35" s="109"/>
      <c r="J35" s="9"/>
      <c r="K35" s="9"/>
      <c r="L35" s="9"/>
    </row>
    <row r="36" ht="9" customHeight="1" hidden="1">
      <c r="A36" s="9"/>
      <c r="B36" s="9"/>
      <c r="C36" s="12"/>
      <c r="D36" t="s" s="110">
        <v>89</v>
      </c>
      <c r="E36" s="15">
        <v>290.271</v>
      </c>
      <c r="F36" s="15">
        <v>273.29</v>
      </c>
      <c r="G36" s="15">
        <v>0</v>
      </c>
      <c r="H36" s="15" cm="1">
        <f t="array" ref="H36">SUM(E36:G36)</f>
        <v>563.561</v>
      </c>
      <c r="I36" s="109"/>
      <c r="J36" s="9"/>
      <c r="K36" s="9"/>
      <c r="L36" s="9"/>
    </row>
    <row r="37" ht="9" customHeight="1" hidden="1">
      <c r="A37" s="9"/>
      <c r="B37" s="9"/>
      <c r="C37" s="12"/>
      <c r="D37" t="s" s="110">
        <v>90</v>
      </c>
      <c r="E37" s="15">
        <v>357.527</v>
      </c>
      <c r="F37" s="15">
        <v>287.995</v>
      </c>
      <c r="G37" s="15">
        <v>0</v>
      </c>
      <c r="H37" s="15" cm="1">
        <f t="array" ref="H37">SUM(E37:G37)</f>
        <v>645.522</v>
      </c>
      <c r="I37" s="109"/>
      <c r="J37" s="9"/>
      <c r="K37" s="9"/>
      <c r="L37" s="9"/>
    </row>
    <row r="38" ht="9" customHeight="1" hidden="1">
      <c r="A38" s="9"/>
      <c r="B38" s="9"/>
      <c r="C38" s="12"/>
      <c r="D38" t="s" s="110">
        <v>91</v>
      </c>
      <c r="E38" s="15">
        <v>362</v>
      </c>
      <c r="F38" s="15">
        <v>318</v>
      </c>
      <c r="G38" s="15">
        <v>0</v>
      </c>
      <c r="H38" s="15" cm="1">
        <f t="array" ref="H38">SUM(E38:G38)</f>
        <v>680</v>
      </c>
      <c r="I38" s="109"/>
      <c r="J38" s="9"/>
      <c r="K38" s="9"/>
      <c r="L38" s="9"/>
    </row>
    <row r="39" ht="9" customHeight="1" hidden="1">
      <c r="A39" s="9"/>
      <c r="B39" s="9"/>
      <c r="C39" s="12"/>
      <c r="D39" t="s" s="110">
        <v>92</v>
      </c>
      <c r="E39" s="15">
        <v>322.281</v>
      </c>
      <c r="F39" s="15">
        <v>291.183</v>
      </c>
      <c r="G39" s="15">
        <v>0</v>
      </c>
      <c r="H39" s="15" cm="1">
        <f t="array" ref="H39">SUM(E39:G39)</f>
        <v>613.4640000000001</v>
      </c>
      <c r="I39" s="109"/>
      <c r="J39" s="9"/>
      <c r="K39" s="9"/>
      <c r="L39" s="9"/>
    </row>
    <row r="40" ht="9" customHeight="1" hidden="1">
      <c r="A40" s="9"/>
      <c r="B40" s="9"/>
      <c r="C40" s="12"/>
      <c r="D40" t="s" s="110">
        <v>93</v>
      </c>
      <c r="E40" s="15">
        <v>328.623</v>
      </c>
      <c r="F40" s="15">
        <v>273.25</v>
      </c>
      <c r="G40" s="15">
        <v>0</v>
      </c>
      <c r="H40" s="15" cm="1">
        <f t="array" ref="H40">SUM(E40:G40)</f>
        <v>601.873</v>
      </c>
      <c r="I40" s="109"/>
      <c r="J40" s="9"/>
      <c r="K40" s="9"/>
      <c r="L40" s="9"/>
    </row>
    <row r="41" ht="9" customHeight="1" hidden="1">
      <c r="A41" s="9"/>
      <c r="B41" s="9"/>
      <c r="C41" s="12"/>
      <c r="D41" t="s" s="110">
        <v>94</v>
      </c>
      <c r="E41" s="15">
        <v>380.495</v>
      </c>
      <c r="F41" s="15">
        <v>278.336</v>
      </c>
      <c r="G41" s="15">
        <v>0.121</v>
      </c>
      <c r="H41" s="15" cm="1">
        <f t="array" ref="H41">SUM(E41:G41)</f>
        <v>658.952</v>
      </c>
      <c r="I41" s="109"/>
      <c r="J41" s="9"/>
      <c r="K41" s="9"/>
      <c r="L41" s="9"/>
    </row>
    <row r="42" ht="9" customHeight="1" hidden="1">
      <c r="A42" s="9"/>
      <c r="B42" s="9"/>
      <c r="C42" s="12"/>
      <c r="D42" t="s" s="110">
        <v>95</v>
      </c>
      <c r="E42" s="15">
        <v>385.899</v>
      </c>
      <c r="F42" s="15">
        <v>317.685</v>
      </c>
      <c r="G42" s="15">
        <v>0.033</v>
      </c>
      <c r="H42" s="15" cm="1">
        <f t="array" ref="H42">SUM(E42:G42)</f>
        <v>703.617</v>
      </c>
      <c r="I42" s="109"/>
      <c r="J42" s="9"/>
      <c r="K42" s="9"/>
      <c r="L42" s="9"/>
    </row>
    <row r="43" ht="9" customHeight="1" hidden="1">
      <c r="A43" s="9"/>
      <c r="B43" s="9"/>
      <c r="C43" s="12"/>
      <c r="D43" t="s" s="110">
        <v>96</v>
      </c>
      <c r="E43" s="15">
        <v>321.321</v>
      </c>
      <c r="F43" s="15">
        <v>300.966</v>
      </c>
      <c r="G43" s="15">
        <v>0.044</v>
      </c>
      <c r="H43" s="15" cm="1">
        <f t="array" ref="H43">SUM(E43:G43)</f>
        <v>622.331</v>
      </c>
      <c r="I43" s="109"/>
      <c r="J43" s="9"/>
      <c r="K43" s="9"/>
      <c r="L43" s="9"/>
    </row>
    <row r="44" ht="9" customHeight="1" hidden="1">
      <c r="A44" s="9"/>
      <c r="B44" s="9"/>
      <c r="C44" s="12"/>
      <c r="D44" t="s" s="110">
        <v>97</v>
      </c>
      <c r="E44" s="15">
        <v>269.274</v>
      </c>
      <c r="F44" s="15">
        <v>284.663</v>
      </c>
      <c r="G44" s="15">
        <v>0.03</v>
      </c>
      <c r="H44" s="15" cm="1">
        <f t="array" ref="H44">SUM(E44:G44)</f>
        <v>553.967</v>
      </c>
      <c r="I44" s="109"/>
      <c r="J44" s="9"/>
      <c r="K44" s="9"/>
      <c r="L44" s="9"/>
    </row>
    <row r="45" ht="9" customHeight="1" hidden="1">
      <c r="A45" s="9"/>
      <c r="B45" s="9"/>
      <c r="C45" s="12"/>
      <c r="D45" t="s" s="110">
        <v>98</v>
      </c>
      <c r="E45" s="15">
        <v>283.527</v>
      </c>
      <c r="F45" s="15">
        <v>318.082</v>
      </c>
      <c r="G45" s="15">
        <v>0.077</v>
      </c>
      <c r="H45" s="15" cm="1">
        <f t="array" ref="H45">SUM(E45:G45)</f>
        <v>601.686</v>
      </c>
      <c r="I45" s="109"/>
      <c r="J45" s="9"/>
      <c r="K45" s="9"/>
      <c r="L45" s="9"/>
    </row>
    <row r="46" ht="9" customHeight="1" hidden="1">
      <c r="A46" s="9"/>
      <c r="B46" s="9"/>
      <c r="C46" s="12"/>
      <c r="D46" t="s" s="110">
        <v>99</v>
      </c>
      <c r="E46" s="15">
        <v>309.073</v>
      </c>
      <c r="F46" s="15">
        <v>319.133</v>
      </c>
      <c r="G46" s="15">
        <v>0.01</v>
      </c>
      <c r="H46" s="15" cm="1">
        <f t="array" ref="H46">SUM(E46:G46)</f>
        <v>628.216</v>
      </c>
      <c r="I46" s="109"/>
      <c r="J46" s="9"/>
      <c r="K46" s="9"/>
      <c r="L46" s="9"/>
    </row>
    <row r="47" ht="9" customHeight="1" hidden="1">
      <c r="A47" s="9"/>
      <c r="B47" s="9"/>
      <c r="C47" s="12"/>
      <c r="D47" t="s" s="110">
        <v>100</v>
      </c>
      <c r="E47" s="15">
        <v>314.437</v>
      </c>
      <c r="F47" s="15">
        <v>302.381</v>
      </c>
      <c r="G47" s="15">
        <v>0.058</v>
      </c>
      <c r="H47" s="15" cm="1">
        <f t="array" ref="H47">SUM(E47:G47)</f>
        <v>616.876</v>
      </c>
      <c r="I47" s="109"/>
      <c r="J47" s="9"/>
      <c r="K47" s="9"/>
      <c r="L47" s="9"/>
    </row>
    <row r="48" ht="9" customHeight="1" hidden="1">
      <c r="A48" s="9"/>
      <c r="B48" s="9"/>
      <c r="C48" s="12"/>
      <c r="D48" t="s" s="110">
        <v>101</v>
      </c>
      <c r="E48" s="15">
        <v>289.207</v>
      </c>
      <c r="F48" s="15">
        <v>310.11</v>
      </c>
      <c r="G48" s="15">
        <v>0.035</v>
      </c>
      <c r="H48" s="15" cm="1">
        <f t="array" ref="H48">SUM(E48:G48)</f>
        <v>599.352</v>
      </c>
      <c r="I48" s="109"/>
      <c r="J48" s="9"/>
      <c r="K48" s="9"/>
      <c r="L48" s="9"/>
    </row>
    <row r="49" ht="9" customHeight="1" hidden="1">
      <c r="A49" s="9"/>
      <c r="B49" s="9"/>
      <c r="C49" s="12"/>
      <c r="D49" t="s" s="110">
        <v>102</v>
      </c>
      <c r="E49" s="15">
        <v>323.046</v>
      </c>
      <c r="F49" s="15">
        <v>306.162</v>
      </c>
      <c r="G49" s="15">
        <v>0.077</v>
      </c>
      <c r="H49" s="15" cm="1">
        <f t="array" ref="H49">SUM(E49:G49)</f>
        <v>629.285</v>
      </c>
      <c r="I49" s="109"/>
      <c r="J49" s="9"/>
      <c r="K49" s="9"/>
      <c r="L49" s="9"/>
    </row>
    <row r="50" ht="9" customHeight="1" hidden="1">
      <c r="A50" s="9"/>
      <c r="B50" s="9"/>
      <c r="C50" s="12"/>
      <c r="D50" t="s" s="110">
        <v>103</v>
      </c>
      <c r="E50" s="15">
        <v>308.12</v>
      </c>
      <c r="F50" s="15">
        <v>340.464</v>
      </c>
      <c r="G50" s="15">
        <v>0.035</v>
      </c>
      <c r="H50" s="15" cm="1">
        <f t="array" ref="H50">SUM(E50:G50)</f>
        <v>648.619</v>
      </c>
      <c r="I50" s="109"/>
      <c r="J50" s="9"/>
      <c r="K50" s="9"/>
      <c r="L50" s="9"/>
    </row>
    <row r="51" ht="9" customHeight="1" hidden="1">
      <c r="A51" s="9"/>
      <c r="B51" s="9"/>
      <c r="C51" s="12"/>
      <c r="D51" t="s" s="110">
        <v>104</v>
      </c>
      <c r="E51" s="15">
        <v>282.41</v>
      </c>
      <c r="F51" s="15">
        <v>328.21</v>
      </c>
      <c r="G51" s="15">
        <v>0.007</v>
      </c>
      <c r="H51" s="15" cm="1">
        <f t="array" ref="H51">SUM(E51:G51)</f>
        <v>610.627</v>
      </c>
      <c r="I51" s="109"/>
      <c r="J51" s="9"/>
      <c r="K51" s="9"/>
      <c r="L51" s="9"/>
    </row>
    <row r="52" ht="9" customHeight="1" hidden="1">
      <c r="A52" s="9"/>
      <c r="B52" s="9"/>
      <c r="C52" s="12"/>
      <c r="D52" t="s" s="110">
        <v>105</v>
      </c>
      <c r="E52" s="15">
        <v>300.999</v>
      </c>
      <c r="F52" s="15">
        <v>331.93</v>
      </c>
      <c r="G52" s="15">
        <v>0.264</v>
      </c>
      <c r="H52" s="15" cm="1">
        <f t="array" ref="H52">SUM(E52:G52)</f>
        <v>633.193</v>
      </c>
      <c r="I52" s="109"/>
      <c r="J52" s="9"/>
      <c r="K52" s="9"/>
      <c r="L52" s="9"/>
    </row>
    <row r="53" ht="13.65" customHeight="1">
      <c r="A53" s="9"/>
      <c r="B53" s="9"/>
      <c r="C53" s="12"/>
      <c r="D53" t="s" s="110">
        <v>106</v>
      </c>
      <c r="E53" s="15">
        <v>337.655</v>
      </c>
      <c r="F53" s="15">
        <v>353.277</v>
      </c>
      <c r="G53" s="15">
        <v>0.024</v>
      </c>
      <c r="H53" s="15" cm="1">
        <f t="array" ref="H53">SUM(E53:G53)</f>
        <v>690.956</v>
      </c>
      <c r="I53" s="109"/>
      <c r="J53" s="9"/>
      <c r="K53" s="9"/>
      <c r="L53" s="9"/>
    </row>
    <row r="54" ht="13.65" customHeight="1">
      <c r="A54" s="9"/>
      <c r="B54" s="9"/>
      <c r="C54" s="12"/>
      <c r="D54" t="s" s="110">
        <v>107</v>
      </c>
      <c r="E54" s="15">
        <v>318.686</v>
      </c>
      <c r="F54" s="15">
        <v>372.706</v>
      </c>
      <c r="G54" s="15">
        <v>0.101</v>
      </c>
      <c r="H54" s="15" cm="1">
        <f t="array" ref="H54">SUM(E54:G54)</f>
        <v>691.4930000000001</v>
      </c>
      <c r="I54" s="109"/>
      <c r="J54" s="9"/>
      <c r="K54" s="9"/>
      <c r="L54" s="9"/>
    </row>
    <row r="55" ht="13.65" customHeight="1">
      <c r="A55" s="9"/>
      <c r="B55" s="9"/>
      <c r="C55" s="12"/>
      <c r="D55" t="s" s="110">
        <v>108</v>
      </c>
      <c r="E55" s="15">
        <v>313.607</v>
      </c>
      <c r="F55" s="15">
        <v>387.552</v>
      </c>
      <c r="G55" s="15">
        <v>0.033</v>
      </c>
      <c r="H55" s="15" cm="1">
        <f t="array" ref="H55">SUM(E55:G55)</f>
        <v>701.192</v>
      </c>
      <c r="I55" s="109"/>
      <c r="J55" s="9"/>
      <c r="K55" s="9"/>
      <c r="L55" s="9"/>
    </row>
    <row r="56" ht="13.65" customHeight="1">
      <c r="A56" s="9"/>
      <c r="B56" s="9"/>
      <c r="C56" s="12"/>
      <c r="D56" t="s" s="110">
        <v>109</v>
      </c>
      <c r="E56" s="15">
        <v>297.99</v>
      </c>
      <c r="F56" s="15">
        <v>329.649</v>
      </c>
      <c r="G56" s="15">
        <v>0.136</v>
      </c>
      <c r="H56" s="15" cm="1">
        <f t="array" ref="H56">SUM(E56:G56)</f>
        <v>627.775</v>
      </c>
      <c r="I56" s="109"/>
      <c r="J56" s="9"/>
      <c r="K56" s="9"/>
      <c r="L56" s="9"/>
    </row>
    <row r="57" ht="13.65" customHeight="1">
      <c r="A57" s="9"/>
      <c r="B57" s="9"/>
      <c r="C57" s="12"/>
      <c r="D57" t="s" s="110">
        <v>110</v>
      </c>
      <c r="E57" s="15">
        <v>350.186</v>
      </c>
      <c r="F57" s="15">
        <v>371.413</v>
      </c>
      <c r="G57" s="15">
        <v>0.061</v>
      </c>
      <c r="H57" s="15" cm="1">
        <f t="array" ref="H57">SUM(E57:G57)</f>
        <v>721.66</v>
      </c>
      <c r="I57" s="109"/>
      <c r="J57" s="9"/>
      <c r="K57" s="9"/>
      <c r="L57" s="9"/>
    </row>
    <row r="58" ht="13.65" customHeight="1">
      <c r="A58" s="9"/>
      <c r="B58" s="9"/>
      <c r="C58" s="12"/>
      <c r="D58" t="s" s="110">
        <v>111</v>
      </c>
      <c r="E58" s="15">
        <v>363.739</v>
      </c>
      <c r="F58" s="15">
        <v>402.063</v>
      </c>
      <c r="G58" s="15">
        <v>0.012</v>
      </c>
      <c r="H58" s="15" cm="1">
        <f t="array" ref="H58">SUM(E58:G58)</f>
        <v>765.814</v>
      </c>
      <c r="I58" s="109"/>
      <c r="J58" s="9"/>
      <c r="K58" s="9"/>
      <c r="L58" s="9"/>
    </row>
    <row r="59" ht="13.65" customHeight="1">
      <c r="A59" s="9"/>
      <c r="B59" s="9"/>
      <c r="C59" s="12"/>
      <c r="D59" t="s" s="110">
        <v>112</v>
      </c>
      <c r="E59" s="15">
        <v>318.417</v>
      </c>
      <c r="F59" s="15">
        <v>379.206</v>
      </c>
      <c r="G59" s="15">
        <v>0.012</v>
      </c>
      <c r="H59" s="15" cm="1">
        <f t="array" ref="H59">SUM(E59:G59)</f>
        <v>697.635</v>
      </c>
      <c r="I59" s="109"/>
      <c r="J59" s="9"/>
      <c r="K59" s="9"/>
      <c r="L59" s="9"/>
    </row>
    <row r="60" ht="13.65" customHeight="1">
      <c r="A60" s="9"/>
      <c r="B60" s="9"/>
      <c r="C60" s="12"/>
      <c r="D60" t="s" s="110">
        <v>113</v>
      </c>
      <c r="E60" s="15">
        <v>310.963</v>
      </c>
      <c r="F60" s="15">
        <v>372.79</v>
      </c>
      <c r="G60" s="15">
        <v>0.124</v>
      </c>
      <c r="H60" s="15" cm="1">
        <f t="array" ref="H60">SUM(E60:G60)</f>
        <v>683.877</v>
      </c>
      <c r="I60" s="109"/>
      <c r="J60" s="9"/>
      <c r="K60" s="9"/>
      <c r="L60" s="9"/>
    </row>
    <row r="61" ht="13.65" customHeight="1">
      <c r="A61" s="9"/>
      <c r="B61" s="9"/>
      <c r="C61" s="12"/>
      <c r="D61" t="s" s="110">
        <v>114</v>
      </c>
      <c r="E61" s="15">
        <v>351.84</v>
      </c>
      <c r="F61" s="15">
        <v>353.329</v>
      </c>
      <c r="G61" s="15">
        <v>0.015</v>
      </c>
      <c r="H61" s="15" cm="1">
        <f t="array" ref="H61">SUM(E61:G61)</f>
        <v>705.184</v>
      </c>
      <c r="I61" s="109"/>
      <c r="J61" s="9"/>
      <c r="K61" s="9"/>
      <c r="L61" s="9"/>
    </row>
    <row r="62" ht="13.65" customHeight="1">
      <c r="A62" s="9"/>
      <c r="B62" s="9"/>
      <c r="C62" s="12"/>
      <c r="D62" t="s" s="110">
        <v>115</v>
      </c>
      <c r="E62" s="15">
        <v>390.116</v>
      </c>
      <c r="F62" s="15">
        <v>358.8</v>
      </c>
      <c r="G62" s="15">
        <v>0.002</v>
      </c>
      <c r="H62" s="15" cm="1">
        <f t="array" ref="H62">SUM(E62:G62)</f>
        <v>748.918</v>
      </c>
      <c r="I62" s="109"/>
      <c r="J62" s="9"/>
      <c r="K62" s="9"/>
      <c r="L62" s="9"/>
    </row>
    <row r="63" ht="13.65" customHeight="1">
      <c r="A63" s="9"/>
      <c r="B63" s="9"/>
      <c r="C63" s="12"/>
      <c r="D63" t="s" s="110">
        <v>116</v>
      </c>
      <c r="E63" s="15">
        <v>374.667</v>
      </c>
      <c r="F63" s="15">
        <v>374.915</v>
      </c>
      <c r="G63" s="15">
        <v>0.146</v>
      </c>
      <c r="H63" s="15" cm="1">
        <f t="array" ref="H63">SUM(E63:G63)</f>
        <v>749.728</v>
      </c>
      <c r="I63" s="109"/>
      <c r="J63" s="9"/>
      <c r="K63" s="9"/>
      <c r="L63" s="9"/>
    </row>
    <row r="64" ht="13.65" customHeight="1">
      <c r="A64" s="9"/>
      <c r="B64" s="9"/>
      <c r="C64" s="12"/>
      <c r="D64" t="s" s="110">
        <v>117</v>
      </c>
      <c r="E64" s="15">
        <v>352.523</v>
      </c>
      <c r="F64" s="15">
        <v>390.161</v>
      </c>
      <c r="G64" s="15">
        <v>0.057</v>
      </c>
      <c r="H64" s="15" cm="1">
        <f t="array" ref="H64">SUM(E64:G64)</f>
        <v>742.741</v>
      </c>
      <c r="I64" s="109"/>
      <c r="J64" s="9"/>
      <c r="K64" s="9"/>
      <c r="L64" s="9"/>
    </row>
    <row r="65" ht="13.65" customHeight="1">
      <c r="A65" s="9"/>
      <c r="B65" s="9"/>
      <c r="C65" s="12"/>
      <c r="D65" t="s" s="110">
        <v>118</v>
      </c>
      <c r="E65" s="15">
        <v>355.083</v>
      </c>
      <c r="F65" s="15">
        <v>375.746</v>
      </c>
      <c r="G65" s="15">
        <v>0.026</v>
      </c>
      <c r="H65" s="15" cm="1">
        <f t="array" ref="H65">SUM(E65:G65)</f>
        <v>730.855</v>
      </c>
      <c r="I65" s="109"/>
      <c r="J65" s="9"/>
      <c r="K65" s="9"/>
      <c r="L65" s="9"/>
    </row>
    <row r="66" ht="13.65" customHeight="1">
      <c r="A66" s="9"/>
      <c r="B66" s="9"/>
      <c r="C66" s="12"/>
      <c r="D66" t="s" s="110">
        <v>119</v>
      </c>
      <c r="E66" s="15">
        <v>357.474</v>
      </c>
      <c r="F66" s="15">
        <v>402.973</v>
      </c>
      <c r="G66" s="15">
        <v>0.005</v>
      </c>
      <c r="H66" s="15" cm="1">
        <f t="array" ref="H66">SUM(E66:G66)</f>
        <v>760.452</v>
      </c>
      <c r="I66" s="109"/>
      <c r="J66" s="9"/>
      <c r="K66" s="9"/>
      <c r="L66" s="9"/>
    </row>
    <row r="67" ht="13.65" customHeight="1">
      <c r="A67" s="9"/>
      <c r="B67" s="9"/>
      <c r="C67" s="12"/>
      <c r="D67" t="s" s="110">
        <v>120</v>
      </c>
      <c r="E67" s="15">
        <v>322.719</v>
      </c>
      <c r="F67" s="15">
        <v>409.545</v>
      </c>
      <c r="G67" s="15">
        <v>0.053</v>
      </c>
      <c r="H67" s="15" cm="1">
        <f t="array" ref="H67">SUM(E67:G67)</f>
        <v>732.317</v>
      </c>
      <c r="I67" s="109"/>
      <c r="J67" s="9"/>
      <c r="K67" s="9"/>
      <c r="L67" s="9"/>
    </row>
    <row r="68" ht="13.65" customHeight="1">
      <c r="A68" s="9"/>
      <c r="B68" s="9"/>
      <c r="C68" s="12"/>
      <c r="D68" t="s" s="110">
        <v>121</v>
      </c>
      <c r="E68" s="15">
        <v>343.76</v>
      </c>
      <c r="F68" s="15">
        <v>349.027</v>
      </c>
      <c r="G68" s="115" cm="1">
        <f t="array" ref="G68">SUM(G65:G67)</f>
        <v>0.08400000000000001</v>
      </c>
      <c r="H68" s="15" cm="1">
        <f t="array" ref="H68">SUM(E68:G68)</f>
        <v>692.871</v>
      </c>
      <c r="I68" s="109"/>
      <c r="J68" s="9"/>
      <c r="K68" s="9"/>
      <c r="L68" s="9"/>
    </row>
    <row r="69" ht="13.65" customHeight="1">
      <c r="A69" s="9"/>
      <c r="B69" s="9"/>
      <c r="C69" s="12"/>
      <c r="D69" t="s" s="110">
        <v>122</v>
      </c>
      <c r="E69" s="15">
        <v>373.748</v>
      </c>
      <c r="F69" s="15">
        <v>363.426</v>
      </c>
      <c r="G69" s="115">
        <v>0.113</v>
      </c>
      <c r="H69" s="15" cm="1">
        <f t="array" ref="H69">SUM(E69:G69)</f>
        <v>737.287</v>
      </c>
      <c r="I69" s="109"/>
      <c r="J69" s="9"/>
      <c r="K69" s="9"/>
      <c r="L69" s="9"/>
    </row>
    <row r="70" ht="13.65" customHeight="1">
      <c r="A70" s="9"/>
      <c r="B70" s="9"/>
      <c r="C70" s="12"/>
      <c r="D70" t="s" s="110">
        <v>123</v>
      </c>
      <c r="E70" s="15">
        <v>365.658</v>
      </c>
      <c r="F70" s="15">
        <v>372.008</v>
      </c>
      <c r="G70" s="115">
        <v>0.111</v>
      </c>
      <c r="H70" s="15" cm="1">
        <f t="array" ref="H70">SUM(E70:G70)</f>
        <v>737.777</v>
      </c>
      <c r="I70" s="109"/>
      <c r="J70" s="9"/>
      <c r="K70" s="9"/>
      <c r="L70" s="9"/>
    </row>
    <row r="71" ht="13.65" customHeight="1">
      <c r="A71" s="9"/>
      <c r="B71" s="9"/>
      <c r="C71" s="12"/>
      <c r="D71" t="s" s="110">
        <v>124</v>
      </c>
      <c r="E71" s="15">
        <v>351.676</v>
      </c>
      <c r="F71" s="15">
        <v>424.759</v>
      </c>
      <c r="G71" s="115">
        <v>0.081</v>
      </c>
      <c r="H71" s="15" cm="1">
        <f t="array" ref="H71">SUM(E71:G71)</f>
        <v>776.516</v>
      </c>
      <c r="I71" s="109"/>
      <c r="J71" s="9"/>
      <c r="K71" s="9"/>
      <c r="L71" s="9"/>
    </row>
    <row r="72" ht="13.65" customHeight="1">
      <c r="A72" s="9"/>
      <c r="B72" s="9"/>
      <c r="C72" s="12"/>
      <c r="D72" t="s" s="110">
        <v>125</v>
      </c>
      <c r="E72" s="15">
        <v>373.352</v>
      </c>
      <c r="F72" s="15">
        <v>424.306</v>
      </c>
      <c r="G72" s="115">
        <v>0</v>
      </c>
      <c r="H72" s="15" cm="1">
        <f t="array" ref="H72">SUM(E72:G72)</f>
        <v>797.658</v>
      </c>
      <c r="I72" s="109"/>
      <c r="J72" s="9"/>
      <c r="K72" s="9"/>
      <c r="L72" s="9"/>
    </row>
    <row r="73" ht="13.65" customHeight="1">
      <c r="A73" s="9"/>
      <c r="B73" s="9"/>
      <c r="C73" s="12"/>
      <c r="D73" t="s" s="110">
        <v>126</v>
      </c>
      <c r="E73" s="15">
        <v>376.334</v>
      </c>
      <c r="F73" s="15">
        <v>389.53</v>
      </c>
      <c r="G73" s="115">
        <v>0.06</v>
      </c>
      <c r="H73" s="15" cm="1">
        <f t="array" ref="H73">SUM(E73:G73)</f>
        <v>765.924</v>
      </c>
      <c r="I73" s="109"/>
      <c r="J73" s="9"/>
      <c r="K73" s="9"/>
      <c r="L73" s="9"/>
    </row>
    <row r="74" ht="13.65" customHeight="1">
      <c r="A74" s="9"/>
      <c r="B74" s="9"/>
      <c r="C74" s="12"/>
      <c r="D74" t="s" s="110">
        <v>127</v>
      </c>
      <c r="E74" s="15">
        <v>386.023</v>
      </c>
      <c r="F74" s="15">
        <v>416.804</v>
      </c>
      <c r="G74" s="115">
        <v>0.021</v>
      </c>
      <c r="H74" s="15" cm="1">
        <f t="array" ref="H74">SUM(E74:G74)</f>
        <v>802.848</v>
      </c>
      <c r="I74" s="109"/>
      <c r="J74" s="9"/>
      <c r="K74" s="9"/>
      <c r="L74" s="9"/>
    </row>
    <row r="75" ht="13.65" customHeight="1">
      <c r="A75" s="9"/>
      <c r="B75" s="9"/>
      <c r="C75" s="12"/>
      <c r="D75" t="s" s="110">
        <v>128</v>
      </c>
      <c r="E75" s="15">
        <v>349.364</v>
      </c>
      <c r="F75" s="15">
        <v>408.557</v>
      </c>
      <c r="G75" s="115">
        <v>0.043</v>
      </c>
      <c r="H75" s="15" cm="1">
        <f t="array" ref="H75">SUM(E75:G75)</f>
        <v>757.9640000000001</v>
      </c>
      <c r="I75" s="109"/>
      <c r="J75" s="9"/>
      <c r="K75" s="9"/>
      <c r="L75" s="9"/>
    </row>
    <row r="76" ht="13.65" customHeight="1">
      <c r="A76" s="9"/>
      <c r="B76" s="9"/>
      <c r="C76" s="9"/>
      <c r="D76" s="116"/>
      <c r="E76" s="116"/>
      <c r="F76" s="116"/>
      <c r="G76" s="117"/>
      <c r="H76" s="116"/>
      <c r="I76" s="9"/>
      <c r="J76" s="9"/>
      <c r="K76" s="9"/>
      <c r="L76" s="9"/>
    </row>
    <row r="77" ht="13.65" customHeight="1">
      <c r="A77" s="9"/>
      <c r="B77" s="9"/>
      <c r="C77" s="9"/>
      <c r="D77" s="11"/>
      <c r="E77" s="11"/>
      <c r="F77" s="11"/>
      <c r="G77" s="11"/>
      <c r="H77" s="11"/>
      <c r="I77" s="9"/>
      <c r="J77" s="9"/>
      <c r="K77" s="9"/>
      <c r="L77" s="9"/>
    </row>
    <row r="78" ht="24" customHeight="1">
      <c r="A78" s="9"/>
      <c r="B78" s="9"/>
      <c r="C78" s="12"/>
      <c r="D78" t="s" s="108">
        <v>129</v>
      </c>
      <c r="E78" t="s" s="108">
        <v>54</v>
      </c>
      <c r="F78" t="s" s="108">
        <v>130</v>
      </c>
      <c r="G78" t="s" s="108">
        <v>56</v>
      </c>
      <c r="H78" t="s" s="108">
        <v>57</v>
      </c>
      <c r="I78" s="109"/>
      <c r="J78" s="9"/>
      <c r="K78" s="9"/>
      <c r="L78" s="9"/>
    </row>
    <row r="79" ht="9" customHeight="1" hidden="1">
      <c r="A79" s="9"/>
      <c r="B79" s="9"/>
      <c r="C79" s="12"/>
      <c r="D79" s="118">
        <v>2008</v>
      </c>
      <c r="E79" s="119" cm="1">
        <f t="array" ref="E79">E21+E22+E23+E24</f>
        <v>1251.118</v>
      </c>
      <c r="F79" s="119" cm="1">
        <f t="array" ref="F79">F21+F22+F23+F24</f>
        <v>828.308</v>
      </c>
      <c r="G79" s="119" cm="1">
        <f t="array" ref="G79">G21+G22+G23+G24</f>
        <v>2.02</v>
      </c>
      <c r="H79" s="119" cm="1">
        <f t="array" ref="H79">SUM(E79:G79)</f>
        <v>2081.446</v>
      </c>
      <c r="I79" s="109"/>
      <c r="J79" s="9"/>
      <c r="K79" s="9"/>
      <c r="L79" s="9"/>
    </row>
    <row r="80" ht="9" customHeight="1" hidden="1">
      <c r="A80" s="9"/>
      <c r="B80" s="9"/>
      <c r="C80" s="12"/>
      <c r="D80" s="118">
        <v>2009</v>
      </c>
      <c r="E80" s="119" cm="1">
        <f t="array" ref="E80">E25+E26+E27+E28</f>
        <v>1133.806</v>
      </c>
      <c r="F80" s="119" cm="1">
        <f t="array" ref="F80">F25+F26+F27+F28</f>
        <v>892.771</v>
      </c>
      <c r="G80" s="119" cm="1">
        <f t="array" ref="G80">G25+G26+G27+G28</f>
        <v>4.809</v>
      </c>
      <c r="H80" s="119" cm="1">
        <f t="array" ref="H80">SUM(E80:G80)</f>
        <v>2031.386</v>
      </c>
      <c r="I80" s="109"/>
      <c r="J80" s="9"/>
      <c r="K80" s="9"/>
      <c r="L80" s="9"/>
    </row>
    <row r="81" ht="13.65" customHeight="1">
      <c r="A81" s="9"/>
      <c r="B81" s="9"/>
      <c r="C81" s="12"/>
      <c r="D81" s="118">
        <v>2010</v>
      </c>
      <c r="E81" s="119" cm="1">
        <f t="array" ref="E81">E29+E30+E31+E32</f>
        <v>1266.138</v>
      </c>
      <c r="F81" s="119" cm="1">
        <f t="array" ref="F81">F29+F30+F31+F32</f>
        <v>1017.422</v>
      </c>
      <c r="G81" s="119" cm="1">
        <f t="array" ref="G81">G29+G30+G31+G32</f>
        <v>0</v>
      </c>
      <c r="H81" s="119" cm="1">
        <f t="array" ref="H81">SUM(E81:G81)</f>
        <v>2283.56</v>
      </c>
      <c r="I81" s="109"/>
      <c r="J81" s="9"/>
      <c r="K81" s="9"/>
      <c r="L81" s="9"/>
    </row>
    <row r="82" ht="13.65" customHeight="1">
      <c r="A82" s="9"/>
      <c r="B82" s="9"/>
      <c r="C82" s="12"/>
      <c r="D82" s="118">
        <v>2011</v>
      </c>
      <c r="E82" s="119" cm="1">
        <f t="array" ref="E82">E33+E34+E35+E36</f>
        <v>1235.592</v>
      </c>
      <c r="F82" s="119" cm="1">
        <f t="array" ref="F82">F33+F34+F35+F36</f>
        <v>1160.103</v>
      </c>
      <c r="G82" s="119" cm="1">
        <f t="array" ref="G82">G33+G34+G35+G36</f>
        <v>0</v>
      </c>
      <c r="H82" s="119" cm="1">
        <f t="array" ref="H82">SUM(E82:G82)</f>
        <v>2395.695</v>
      </c>
      <c r="I82" s="109"/>
      <c r="J82" s="9"/>
      <c r="K82" s="9"/>
      <c r="L82" s="9"/>
    </row>
    <row r="83" ht="13.65" customHeight="1">
      <c r="A83" s="9"/>
      <c r="B83" s="9"/>
      <c r="C83" s="12"/>
      <c r="D83" s="118">
        <v>2012</v>
      </c>
      <c r="E83" s="119" cm="1">
        <f t="array" ref="E83">E37+E38+E39+E40</f>
        <v>1370.431</v>
      </c>
      <c r="F83" s="119" cm="1">
        <f t="array" ref="F83">F37+F38+F39+F40</f>
        <v>1170.428</v>
      </c>
      <c r="G83" s="119" cm="1">
        <f t="array" ref="G83">G37+G38+G39+G40</f>
        <v>0</v>
      </c>
      <c r="H83" s="119" cm="1">
        <f t="array" ref="H83">SUM(E83:G83)</f>
        <v>2540.859</v>
      </c>
      <c r="I83" s="109"/>
      <c r="J83" s="9"/>
      <c r="K83" s="9"/>
      <c r="L83" s="9"/>
    </row>
    <row r="84" ht="13.65" customHeight="1">
      <c r="A84" s="9"/>
      <c r="B84" s="9"/>
      <c r="C84" s="12"/>
      <c r="D84" s="118">
        <v>2013</v>
      </c>
      <c r="E84" s="119" cm="1">
        <f t="array" ref="E84">E41+E42+E43+E44</f>
        <v>1356.989</v>
      </c>
      <c r="F84" s="119" cm="1">
        <f t="array" ref="F84">F41+F42+F43+F44</f>
        <v>1181.65</v>
      </c>
      <c r="G84" s="119" cm="1">
        <f t="array" ref="G84">G41+G42+G43+G44</f>
        <v>0.228</v>
      </c>
      <c r="H84" s="119" cm="1">
        <f t="array" ref="H84">SUM(E84:G84)</f>
        <v>2538.867</v>
      </c>
      <c r="I84" s="109"/>
      <c r="J84" s="9"/>
      <c r="K84" s="9"/>
      <c r="L84" s="9"/>
    </row>
    <row r="85" ht="13.65" customHeight="1">
      <c r="A85" s="9"/>
      <c r="B85" s="9"/>
      <c r="C85" s="12"/>
      <c r="D85" s="118">
        <v>2014</v>
      </c>
      <c r="E85" s="119" cm="1">
        <f t="array" ref="E85">E45+E46+E47+E48</f>
        <v>1196.244</v>
      </c>
      <c r="F85" s="119" cm="1">
        <f t="array" ref="F85">F45+F46+F47+F48</f>
        <v>1249.706</v>
      </c>
      <c r="G85" s="119" cm="1">
        <f t="array" ref="G85">G45+G46+G47+G48</f>
        <v>0.18</v>
      </c>
      <c r="H85" s="119" cm="1">
        <f t="array" ref="H85">SUM(E85:G85)</f>
        <v>2446.13</v>
      </c>
      <c r="I85" s="109"/>
      <c r="J85" s="9"/>
      <c r="K85" s="9"/>
      <c r="L85" s="9"/>
    </row>
    <row r="86" ht="13.65" customHeight="1">
      <c r="A86" s="9"/>
      <c r="B86" s="9"/>
      <c r="C86" s="12"/>
      <c r="D86" s="118">
        <v>2015</v>
      </c>
      <c r="E86" s="119" cm="1">
        <f t="array" ref="E86">E49+E50+E51+E52</f>
        <v>1214.575</v>
      </c>
      <c r="F86" s="119" cm="1">
        <f t="array" ref="F86">F49+F50+F51+F52</f>
        <v>1306.766</v>
      </c>
      <c r="G86" s="119" cm="1">
        <f t="array" ref="G86">G49+G50+G51+G52</f>
        <v>0.383</v>
      </c>
      <c r="H86" s="119" cm="1">
        <f t="array" ref="H86">SUM(E86:G86)</f>
        <v>2521.724</v>
      </c>
      <c r="I86" s="109"/>
      <c r="J86" s="9"/>
      <c r="K86" s="9"/>
      <c r="L86" s="9"/>
    </row>
    <row r="87" ht="13.65" customHeight="1">
      <c r="A87" s="9"/>
      <c r="B87" s="9"/>
      <c r="C87" s="12"/>
      <c r="D87" s="118">
        <v>2016</v>
      </c>
      <c r="E87" s="119" cm="1">
        <f t="array" ref="E87">E53+E54+E55+E56</f>
        <v>1267.938</v>
      </c>
      <c r="F87" s="119" cm="1">
        <f t="array" ref="F87">F53+F54+F55+F56</f>
        <v>1443.184</v>
      </c>
      <c r="G87" s="119" cm="1">
        <f t="array" ref="G87">G53+G54+G55+G56</f>
        <v>0.294</v>
      </c>
      <c r="H87" s="119" cm="1">
        <f t="array" ref="H87">SUM(E87:G87)</f>
        <v>2711.416</v>
      </c>
      <c r="I87" s="109"/>
      <c r="J87" s="9"/>
      <c r="K87" s="9"/>
      <c r="L87" s="9"/>
    </row>
    <row r="88" ht="13.65" customHeight="1">
      <c r="A88" s="9"/>
      <c r="B88" s="9"/>
      <c r="C88" s="12"/>
      <c r="D88" s="118">
        <v>2017</v>
      </c>
      <c r="E88" s="119" cm="1">
        <f t="array" ref="E88">E57+E58+E59+E60</f>
        <v>1343.305</v>
      </c>
      <c r="F88" s="119" cm="1">
        <f t="array" ref="F88">F57+F58+F59+F60</f>
        <v>1525.472</v>
      </c>
      <c r="G88" s="119" cm="1">
        <f t="array" ref="G88">G57+G58+G59+G60</f>
        <v>0.209</v>
      </c>
      <c r="H88" s="119" cm="1">
        <f t="array" ref="H88">SUM(E88:G88)</f>
        <v>2868.986</v>
      </c>
      <c r="I88" s="109"/>
      <c r="J88" s="9"/>
      <c r="K88" s="9"/>
      <c r="L88" s="9"/>
    </row>
    <row r="89" ht="13.65" customHeight="1">
      <c r="A89" s="9"/>
      <c r="B89" s="9"/>
      <c r="C89" s="12"/>
      <c r="D89" s="118">
        <v>2018</v>
      </c>
      <c r="E89" s="119" cm="1">
        <f t="array" ref="E89">E61+E62+E63+E64</f>
        <v>1469.146</v>
      </c>
      <c r="F89" s="119" cm="1">
        <f t="array" ref="F89">F61+F62+F63+F64</f>
        <v>1477.205</v>
      </c>
      <c r="G89" s="119" cm="1">
        <f t="array" ref="G89">G61+G62+G63+G64</f>
        <v>0.22</v>
      </c>
      <c r="H89" s="119" cm="1">
        <f t="array" ref="H89">H61+H62+H63+H64</f>
        <v>2946.571</v>
      </c>
      <c r="I89" s="109"/>
      <c r="J89" s="9"/>
      <c r="K89" s="9"/>
      <c r="L89" s="9"/>
    </row>
    <row r="90" ht="13.65" customHeight="1">
      <c r="A90" s="9"/>
      <c r="B90" s="9"/>
      <c r="C90" s="12"/>
      <c r="D90" s="118">
        <v>2019</v>
      </c>
      <c r="E90" s="119" cm="1">
        <f t="array" ref="E90">E65+E66+E67+E68</f>
        <v>1379.036</v>
      </c>
      <c r="F90" s="119" cm="1">
        <f t="array" ref="F90">F65+F66+F67+F68</f>
        <v>1537.291</v>
      </c>
      <c r="G90" s="119" cm="1">
        <f t="array" ref="G90">G65+G66+G67+G68</f>
        <v>0.168</v>
      </c>
      <c r="H90" s="119" cm="1">
        <f t="array" ref="H90">H65+H66+H67+H68</f>
        <v>2916.495</v>
      </c>
      <c r="I90" s="109"/>
      <c r="J90" s="9"/>
      <c r="K90" s="9"/>
      <c r="L90" s="9"/>
    </row>
    <row r="91" ht="13.65" customHeight="1">
      <c r="A91" s="9"/>
      <c r="B91" s="9"/>
      <c r="C91" s="12"/>
      <c r="D91" s="118">
        <v>2020</v>
      </c>
      <c r="E91" s="119" cm="1">
        <f t="array" ref="E91">E69+E70+E71+E72</f>
        <v>1464.434</v>
      </c>
      <c r="F91" s="119" cm="1">
        <f t="array" ref="F91">F69+F70+F71+F72</f>
        <v>1584.499</v>
      </c>
      <c r="G91" s="119" cm="1">
        <f t="array" ref="G91">G69+G70+G71+G72</f>
        <v>0.305</v>
      </c>
      <c r="H91" s="119" cm="1">
        <f t="array" ref="H91">H69+H70+H71+H72</f>
        <v>3049.238</v>
      </c>
      <c r="I91" s="109"/>
      <c r="J91" s="9"/>
      <c r="K91" s="9"/>
      <c r="L91" s="9"/>
    </row>
    <row r="92" ht="13.65" customHeight="1">
      <c r="A92" s="9"/>
      <c r="B92" s="9"/>
      <c r="C92" s="12"/>
      <c r="D92" t="s" s="120">
        <v>131</v>
      </c>
      <c r="E92" s="119" cm="1">
        <f t="array" ref="E92">E73+E74+E75</f>
        <v>1111.721</v>
      </c>
      <c r="F92" s="119" cm="1">
        <f t="array" ref="F92">F73+F74+F75</f>
        <v>1214.891</v>
      </c>
      <c r="G92" s="119" cm="1">
        <f t="array" ref="G92">G73+G74+G75</f>
        <v>0.124</v>
      </c>
      <c r="H92" s="119" cm="1">
        <f t="array" ref="H92">H73+H74+H75</f>
        <v>2326.736</v>
      </c>
      <c r="I92" s="109"/>
      <c r="J92" s="9"/>
      <c r="K92" s="9"/>
      <c r="L92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