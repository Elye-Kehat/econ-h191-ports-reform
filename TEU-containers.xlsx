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ilad\Desktop\2\"/>
    </mc:Choice>
  </mc:AlternateContent>
  <xr:revisionPtr revIDLastSave="0" documentId="8_{BA18AFD1-12D2-437B-B88B-DA8680FAD86A}" xr6:coauthVersionLast="36" xr6:coauthVersionMax="36" xr10:uidLastSave="{00000000-0000-0000-0000-000000000000}"/>
  <bookViews>
    <workbookView xWindow="0" yWindow="0" windowWidth="10140" windowHeight="7470" tabRatio="974" firstSheet="3" activeTab="3" xr2:uid="{00000000-000D-0000-FFFF-FFFF00000000}"/>
  </bookViews>
  <sheets>
    <sheet name="לא להפצה" sheetId="5" state="veryHidden" r:id="rId1"/>
    <sheet name="גיליון1" sheetId="11" state="hidden" r:id="rId2"/>
    <sheet name="גיליון2" sheetId="14" state="hidden" r:id="rId3"/>
    <sheet name="תנועת מכולות באלפי TEU- טבלה" sheetId="13" r:id="rId4"/>
    <sheet name="פריקת מכולות באלפי TEU- טבלה " sheetId="25" r:id="rId5"/>
    <sheet name="טעינת מכולות באלפי TEU- טבלה " sheetId="24" r:id="rId6"/>
    <sheet name="מכולות באלפי TEU- טבלה (2)" sheetId="23" state="hidden" r:id="rId7"/>
    <sheet name="תנועת מכולות TEU רבעוני" sheetId="19" r:id="rId8"/>
    <sheet name="התפלגות תנועת מכולות " sheetId="26" r:id="rId9"/>
    <sheet name="תרשים2" sheetId="20" state="hidden" r:id="rId10"/>
    <sheet name="תנועת מכולות TEU מצטבר " sheetId="21" r:id="rId11"/>
    <sheet name="גיליון3  " sheetId="18" state="hidden" r:id="rId12"/>
  </sheets>
  <definedNames>
    <definedName name="_Regression_Int" localSheetId="5" hidden="1">1</definedName>
    <definedName name="_Regression_Int" localSheetId="6" hidden="1">1</definedName>
    <definedName name="_Regression_Int" localSheetId="4" hidden="1">1</definedName>
    <definedName name="_Regression_Int" localSheetId="3" hidden="1">1</definedName>
    <definedName name="_xlnm.Print_Area" localSheetId="5">'טעינת מכולות באלפי TEU- טבלה '!$A$1:$H$293</definedName>
    <definedName name="_xlnm.Print_Area" localSheetId="0">'לא להפצה'!$A$4:$U$22</definedName>
    <definedName name="_xlnm.Print_Area" localSheetId="6">'מכולות באלפי TEU- טבלה (2)'!$A$1:$O$286</definedName>
    <definedName name="_xlnm.Print_Area" localSheetId="4">'פריקת מכולות באלפי TEU- טבלה '!$A$1:$H$293</definedName>
    <definedName name="_xlnm.Print_Area" localSheetId="3">'תנועת מכולות באלפי TEU- טבלה'!$A$1:$H$250</definedName>
    <definedName name="Print_Area_MI" localSheetId="5">'טעינת מכולות באלפי TEU- טבלה '!$A$3:$H$54</definedName>
    <definedName name="Print_Area_MI" localSheetId="6">'מכולות באלפי TEU- טבלה (2)'!$A$3:$O$54</definedName>
    <definedName name="Print_Area_MI" localSheetId="4">'פריקת מכולות באלפי TEU- טבלה '!$A$3:$H$54</definedName>
    <definedName name="Print_Area_MI" localSheetId="3">'תנועת מכולות באלפי TEU- טבלה'!$A$3:$H$32</definedName>
  </definedNames>
  <calcPr calcId="191029"/>
</workbook>
</file>

<file path=xl/calcChain.xml><?xml version="1.0" encoding="utf-8"?>
<calcChain xmlns="http://schemas.openxmlformats.org/spreadsheetml/2006/main">
  <c r="C95" i="18" l="1"/>
  <c r="D289" i="24"/>
  <c r="F291" i="24" l="1"/>
  <c r="F291" i="25"/>
  <c r="F248" i="13"/>
  <c r="F247" i="13" l="1"/>
  <c r="F290" i="25"/>
  <c r="F290" i="24"/>
  <c r="G94" i="18" l="1"/>
  <c r="D95" i="18"/>
  <c r="E95" i="18"/>
  <c r="F95" i="18"/>
  <c r="B95" i="18"/>
  <c r="G77" i="18"/>
  <c r="G95" i="18" s="1"/>
  <c r="G76" i="18"/>
  <c r="A289" i="24"/>
  <c r="B289" i="24"/>
  <c r="C289" i="24"/>
  <c r="E289" i="24"/>
  <c r="F288" i="24"/>
  <c r="A289" i="25"/>
  <c r="B289" i="25"/>
  <c r="C289" i="25"/>
  <c r="D289" i="25"/>
  <c r="E289" i="25"/>
  <c r="F288" i="25"/>
  <c r="A246" i="13"/>
  <c r="B246" i="13"/>
  <c r="C246" i="13"/>
  <c r="D246" i="13"/>
  <c r="E246" i="13"/>
  <c r="F245" i="13"/>
  <c r="F287" i="24" l="1"/>
  <c r="F244" i="13"/>
  <c r="F287" i="25"/>
  <c r="F286" i="24" l="1"/>
  <c r="F289" i="24" s="1"/>
  <c r="F243" i="13"/>
  <c r="F246" i="13" s="1"/>
  <c r="F286" i="25"/>
  <c r="F289" i="25" s="1"/>
  <c r="G75" i="18" l="1"/>
  <c r="F283" i="25"/>
  <c r="B83" i="25"/>
  <c r="D284" i="25" l="1"/>
  <c r="D83" i="25" s="1"/>
  <c r="C94" i="18" l="1"/>
  <c r="D94" i="18"/>
  <c r="E94" i="18"/>
  <c r="F94" i="18"/>
  <c r="B94" i="18"/>
  <c r="G68" i="18"/>
  <c r="F283" i="24" l="1"/>
  <c r="A40" i="13"/>
  <c r="C40" i="13"/>
  <c r="E40" i="13"/>
  <c r="B284" i="24"/>
  <c r="C280" i="24"/>
  <c r="B280" i="24"/>
  <c r="F282" i="24"/>
  <c r="F281" i="24"/>
  <c r="D284" i="24"/>
  <c r="F278" i="24"/>
  <c r="F279" i="24"/>
  <c r="F277" i="24"/>
  <c r="D280" i="24"/>
  <c r="F271" i="24"/>
  <c r="D276" i="24"/>
  <c r="B276" i="24"/>
  <c r="B272" i="24"/>
  <c r="D272" i="24"/>
  <c r="F21" i="24"/>
  <c r="F20" i="24"/>
  <c r="E16" i="24"/>
  <c r="C16" i="24"/>
  <c r="A16" i="24"/>
  <c r="E14" i="24"/>
  <c r="C14" i="24"/>
  <c r="A14" i="24"/>
  <c r="F11" i="24"/>
  <c r="F10" i="24"/>
  <c r="F9" i="24"/>
  <c r="C225" i="25"/>
  <c r="E221" i="25"/>
  <c r="F230" i="13"/>
  <c r="F227" i="13"/>
  <c r="F228" i="13"/>
  <c r="F229" i="13"/>
  <c r="F231" i="13"/>
  <c r="F232" i="13"/>
  <c r="F233" i="13"/>
  <c r="F234" i="13"/>
  <c r="F235" i="13"/>
  <c r="F236" i="13"/>
  <c r="F238" i="13"/>
  <c r="F239" i="13"/>
  <c r="F240" i="13"/>
  <c r="F226" i="13"/>
  <c r="E284" i="25"/>
  <c r="C284" i="25"/>
  <c r="A284" i="25"/>
  <c r="F282" i="25"/>
  <c r="F281" i="25"/>
  <c r="E280" i="25"/>
  <c r="C280" i="25"/>
  <c r="A280" i="25"/>
  <c r="F279" i="25"/>
  <c r="F278" i="25"/>
  <c r="F277" i="25"/>
  <c r="E276" i="25"/>
  <c r="C276" i="25"/>
  <c r="A276" i="25"/>
  <c r="F275" i="25"/>
  <c r="F274" i="25"/>
  <c r="F273" i="25"/>
  <c r="E272" i="25"/>
  <c r="C272" i="25"/>
  <c r="A272" i="25"/>
  <c r="F271" i="25"/>
  <c r="F270" i="25"/>
  <c r="F269" i="25"/>
  <c r="E267" i="25"/>
  <c r="C267" i="25"/>
  <c r="A267" i="25"/>
  <c r="F266" i="25"/>
  <c r="F265" i="25"/>
  <c r="F264" i="25"/>
  <c r="E263" i="25"/>
  <c r="C263" i="25"/>
  <c r="A263" i="25"/>
  <c r="F262" i="25"/>
  <c r="F261" i="25"/>
  <c r="F260" i="25"/>
  <c r="E259" i="25"/>
  <c r="C259" i="25"/>
  <c r="A259" i="25"/>
  <c r="F258" i="25"/>
  <c r="F257" i="25"/>
  <c r="F256" i="25"/>
  <c r="E255" i="25"/>
  <c r="C255" i="25"/>
  <c r="A255" i="25"/>
  <c r="F254" i="25"/>
  <c r="F253" i="25"/>
  <c r="F252" i="25"/>
  <c r="E250" i="25"/>
  <c r="C250" i="25"/>
  <c r="A250" i="25"/>
  <c r="F249" i="25"/>
  <c r="F248" i="25"/>
  <c r="F247" i="25"/>
  <c r="E246" i="25"/>
  <c r="C246" i="25"/>
  <c r="A246" i="25"/>
  <c r="F245" i="25"/>
  <c r="F244" i="25"/>
  <c r="F243" i="25"/>
  <c r="E242" i="25"/>
  <c r="C242" i="25"/>
  <c r="A242" i="25"/>
  <c r="F241" i="25"/>
  <c r="F240" i="25"/>
  <c r="F239" i="25"/>
  <c r="E238" i="25"/>
  <c r="C238" i="25"/>
  <c r="A238" i="25"/>
  <c r="F237" i="25"/>
  <c r="F236" i="25"/>
  <c r="F235" i="25"/>
  <c r="E233" i="25"/>
  <c r="C233" i="25"/>
  <c r="A233" i="25"/>
  <c r="F232" i="25"/>
  <c r="F231" i="25"/>
  <c r="F230" i="25"/>
  <c r="E229" i="25"/>
  <c r="C229" i="25"/>
  <c r="A229" i="25"/>
  <c r="F228" i="25"/>
  <c r="F227" i="25"/>
  <c r="F226" i="25"/>
  <c r="E225" i="25"/>
  <c r="A225" i="25"/>
  <c r="F224" i="25"/>
  <c r="F223" i="25"/>
  <c r="F222" i="25"/>
  <c r="C221" i="25"/>
  <c r="A221" i="25"/>
  <c r="F220" i="25"/>
  <c r="F219" i="25"/>
  <c r="F218" i="25"/>
  <c r="F221" i="25" s="1"/>
  <c r="E216" i="25"/>
  <c r="C216" i="25"/>
  <c r="A216" i="25"/>
  <c r="F215" i="25"/>
  <c r="F214" i="25"/>
  <c r="F213" i="25"/>
  <c r="E212" i="25"/>
  <c r="C212" i="25"/>
  <c r="A212" i="25"/>
  <c r="F211" i="25"/>
  <c r="F210" i="25"/>
  <c r="F209" i="25"/>
  <c r="E208" i="25"/>
  <c r="C208" i="25"/>
  <c r="A208" i="25"/>
  <c r="F207" i="25"/>
  <c r="F206" i="25"/>
  <c r="F205" i="25"/>
  <c r="E204" i="25"/>
  <c r="C204" i="25"/>
  <c r="C79" i="25" s="1"/>
  <c r="A204" i="25"/>
  <c r="F203" i="25"/>
  <c r="F202" i="25"/>
  <c r="F201" i="25"/>
  <c r="F204" i="25" s="1"/>
  <c r="E199" i="25"/>
  <c r="C199" i="25"/>
  <c r="A199" i="25"/>
  <c r="F198" i="25"/>
  <c r="F197" i="25"/>
  <c r="F196" i="25"/>
  <c r="E195" i="25"/>
  <c r="C195" i="25"/>
  <c r="A195" i="25"/>
  <c r="F194" i="25"/>
  <c r="F193" i="25"/>
  <c r="F192" i="25"/>
  <c r="E191" i="25"/>
  <c r="C191" i="25"/>
  <c r="A191" i="25"/>
  <c r="F190" i="25"/>
  <c r="F189" i="25"/>
  <c r="F188" i="25"/>
  <c r="E187" i="25"/>
  <c r="C187" i="25"/>
  <c r="A187" i="25"/>
  <c r="F186" i="25"/>
  <c r="F185" i="25"/>
  <c r="F184" i="25"/>
  <c r="E182" i="25"/>
  <c r="C182" i="25"/>
  <c r="A182" i="25"/>
  <c r="F181" i="25"/>
  <c r="F180" i="25"/>
  <c r="F179" i="25"/>
  <c r="E178" i="25"/>
  <c r="C178" i="25"/>
  <c r="A178" i="25"/>
  <c r="F177" i="25"/>
  <c r="F176" i="25"/>
  <c r="F175" i="25"/>
  <c r="E174" i="25"/>
  <c r="C174" i="25"/>
  <c r="A174" i="25"/>
  <c r="F173" i="25"/>
  <c r="F172" i="25"/>
  <c r="F171" i="25"/>
  <c r="E170" i="25"/>
  <c r="E77" i="25" s="1"/>
  <c r="C170" i="25"/>
  <c r="A170" i="25"/>
  <c r="A77" i="25" s="1"/>
  <c r="F169" i="25"/>
  <c r="F168" i="25"/>
  <c r="F167" i="25"/>
  <c r="E165" i="25"/>
  <c r="C165" i="25"/>
  <c r="A165" i="25"/>
  <c r="F164" i="25"/>
  <c r="F163" i="25"/>
  <c r="F162" i="25"/>
  <c r="E161" i="25"/>
  <c r="C161" i="25"/>
  <c r="A161" i="25"/>
  <c r="F160" i="25"/>
  <c r="F159" i="25"/>
  <c r="F158" i="25"/>
  <c r="E157" i="25"/>
  <c r="E76" i="25" s="1"/>
  <c r="C157" i="25"/>
  <c r="A157" i="25"/>
  <c r="F156" i="25"/>
  <c r="F155" i="25"/>
  <c r="F154" i="25"/>
  <c r="E153" i="25"/>
  <c r="C153" i="25"/>
  <c r="A153" i="25"/>
  <c r="F152" i="25"/>
  <c r="F151" i="25"/>
  <c r="F150" i="25"/>
  <c r="E148" i="25"/>
  <c r="C148" i="25"/>
  <c r="A148" i="25"/>
  <c r="F147" i="25"/>
  <c r="F146" i="25"/>
  <c r="F145" i="25"/>
  <c r="E144" i="25"/>
  <c r="C144" i="25"/>
  <c r="A144" i="25"/>
  <c r="F143" i="25"/>
  <c r="F142" i="25"/>
  <c r="F141" i="25"/>
  <c r="E140" i="25"/>
  <c r="C140" i="25"/>
  <c r="A140" i="25"/>
  <c r="F139" i="25"/>
  <c r="F138" i="25"/>
  <c r="F137" i="25"/>
  <c r="E136" i="25"/>
  <c r="E37" i="25" s="1"/>
  <c r="C136" i="25"/>
  <c r="C37" i="25" s="1"/>
  <c r="A136" i="25"/>
  <c r="A37" i="25" s="1"/>
  <c r="F135" i="25"/>
  <c r="F134" i="25"/>
  <c r="F133" i="25"/>
  <c r="E131" i="25"/>
  <c r="C131" i="25"/>
  <c r="A131" i="25"/>
  <c r="F130" i="25"/>
  <c r="F129" i="25"/>
  <c r="F128" i="25"/>
  <c r="E127" i="25"/>
  <c r="C127" i="25"/>
  <c r="A127" i="25"/>
  <c r="F126" i="25"/>
  <c r="F125" i="25"/>
  <c r="F124" i="25"/>
  <c r="E123" i="25"/>
  <c r="E31" i="25" s="1"/>
  <c r="C123" i="25"/>
  <c r="A123" i="25"/>
  <c r="F122" i="25"/>
  <c r="F121" i="25"/>
  <c r="F120" i="25"/>
  <c r="E119" i="25"/>
  <c r="C119" i="25"/>
  <c r="A119" i="25"/>
  <c r="F118" i="25"/>
  <c r="F117" i="25"/>
  <c r="F116" i="25"/>
  <c r="E114" i="25"/>
  <c r="C114" i="25"/>
  <c r="A114" i="25"/>
  <c r="F113" i="25"/>
  <c r="F112" i="25"/>
  <c r="F111" i="25"/>
  <c r="E110" i="25"/>
  <c r="C110" i="25"/>
  <c r="A110" i="25"/>
  <c r="F109" i="25"/>
  <c r="F108" i="25"/>
  <c r="F107" i="25"/>
  <c r="E106" i="25"/>
  <c r="C106" i="25"/>
  <c r="A106" i="25"/>
  <c r="F105" i="25"/>
  <c r="F104" i="25"/>
  <c r="F103" i="25"/>
  <c r="E102" i="25"/>
  <c r="E30" i="25" s="1"/>
  <c r="C102" i="25"/>
  <c r="C30" i="25" s="1"/>
  <c r="A102" i="25"/>
  <c r="A30" i="25" s="1"/>
  <c r="F101" i="25"/>
  <c r="F100" i="25"/>
  <c r="F99" i="25"/>
  <c r="E97" i="25"/>
  <c r="C97" i="25"/>
  <c r="A97" i="25"/>
  <c r="F96" i="25"/>
  <c r="F95" i="25"/>
  <c r="F94" i="25"/>
  <c r="E93" i="25"/>
  <c r="C93" i="25"/>
  <c r="A93" i="25"/>
  <c r="F92" i="25"/>
  <c r="F91" i="25"/>
  <c r="F90" i="25"/>
  <c r="E89" i="25"/>
  <c r="C89" i="25"/>
  <c r="A89" i="25"/>
  <c r="F88" i="25"/>
  <c r="F87" i="25"/>
  <c r="F86" i="25"/>
  <c r="E85" i="25"/>
  <c r="C85" i="25"/>
  <c r="A85" i="25"/>
  <c r="E82" i="25"/>
  <c r="C82" i="25"/>
  <c r="A82" i="25"/>
  <c r="E79" i="25"/>
  <c r="A78" i="25"/>
  <c r="C77" i="25"/>
  <c r="F75" i="25"/>
  <c r="F74" i="25"/>
  <c r="F73" i="25"/>
  <c r="E71" i="25"/>
  <c r="C71" i="25"/>
  <c r="A71" i="25"/>
  <c r="F70" i="25"/>
  <c r="F69" i="25"/>
  <c r="F68" i="25"/>
  <c r="E67" i="25"/>
  <c r="C67" i="25"/>
  <c r="A67" i="25"/>
  <c r="F66" i="25"/>
  <c r="F65" i="25"/>
  <c r="F64" i="25"/>
  <c r="E63" i="25"/>
  <c r="C63" i="25"/>
  <c r="A63" i="25"/>
  <c r="F62" i="25"/>
  <c r="F61" i="25"/>
  <c r="F60" i="25"/>
  <c r="E59" i="25"/>
  <c r="C59" i="25"/>
  <c r="A59" i="25"/>
  <c r="F58" i="25"/>
  <c r="F57" i="25"/>
  <c r="F56" i="25"/>
  <c r="E54" i="25"/>
  <c r="C54" i="25"/>
  <c r="A54" i="25"/>
  <c r="F53" i="25"/>
  <c r="F52" i="25"/>
  <c r="F51" i="25"/>
  <c r="E50" i="25"/>
  <c r="C50" i="25"/>
  <c r="A50" i="25"/>
  <c r="F49" i="25"/>
  <c r="F48" i="25"/>
  <c r="F47" i="25"/>
  <c r="E46" i="25"/>
  <c r="C46" i="25"/>
  <c r="A46" i="25"/>
  <c r="F45" i="25"/>
  <c r="F44" i="25"/>
  <c r="F43" i="25"/>
  <c r="E42" i="25"/>
  <c r="E17" i="25" s="1"/>
  <c r="C42" i="25"/>
  <c r="C17" i="25" s="1"/>
  <c r="A42" i="25"/>
  <c r="A17" i="25" s="1"/>
  <c r="F41" i="25"/>
  <c r="F40" i="25"/>
  <c r="F39" i="25"/>
  <c r="F36" i="25"/>
  <c r="F35" i="25"/>
  <c r="F34" i="25"/>
  <c r="F16" i="25" s="1"/>
  <c r="A29" i="25"/>
  <c r="F26" i="25"/>
  <c r="F22" i="25"/>
  <c r="F21" i="25"/>
  <c r="F20" i="25"/>
  <c r="E18" i="25"/>
  <c r="A18" i="25"/>
  <c r="E16" i="25"/>
  <c r="C16" i="25"/>
  <c r="A16" i="25"/>
  <c r="E14" i="25"/>
  <c r="C14" i="25"/>
  <c r="A14" i="25"/>
  <c r="F11" i="25"/>
  <c r="F10" i="25"/>
  <c r="F9" i="25"/>
  <c r="B241" i="13"/>
  <c r="D241" i="13"/>
  <c r="A79" i="25" l="1"/>
  <c r="E83" i="25"/>
  <c r="A31" i="25"/>
  <c r="A76" i="25"/>
  <c r="C31" i="25"/>
  <c r="C76" i="25"/>
  <c r="C78" i="25"/>
  <c r="E78" i="25"/>
  <c r="C18" i="25"/>
  <c r="F42" i="25"/>
  <c r="A83" i="25"/>
  <c r="F284" i="25"/>
  <c r="F241" i="13"/>
  <c r="C83" i="25"/>
  <c r="F280" i="24"/>
  <c r="F284" i="24"/>
  <c r="B83" i="24"/>
  <c r="D83" i="24"/>
  <c r="F93" i="25"/>
  <c r="E80" i="25"/>
  <c r="A80" i="25"/>
  <c r="E81" i="25"/>
  <c r="A81" i="25"/>
  <c r="F63" i="25"/>
  <c r="F71" i="25"/>
  <c r="C29" i="25"/>
  <c r="F272" i="25"/>
  <c r="F280" i="25"/>
  <c r="F46" i="25"/>
  <c r="F54" i="25"/>
  <c r="F89" i="25"/>
  <c r="F97" i="25"/>
  <c r="F29" i="25" s="1"/>
  <c r="F208" i="25"/>
  <c r="F216" i="25"/>
  <c r="C81" i="25"/>
  <c r="F14" i="25"/>
  <c r="E29" i="25"/>
  <c r="F263" i="25"/>
  <c r="F255" i="25"/>
  <c r="F250" i="25"/>
  <c r="F246" i="25"/>
  <c r="F242" i="25"/>
  <c r="F233" i="25"/>
  <c r="C80" i="25"/>
  <c r="F102" i="25"/>
  <c r="F106" i="25"/>
  <c r="F114" i="25"/>
  <c r="F30" i="25" s="1"/>
  <c r="F123" i="25"/>
  <c r="F131" i="25"/>
  <c r="F140" i="25"/>
  <c r="F148" i="25"/>
  <c r="F157" i="25"/>
  <c r="F165" i="25"/>
  <c r="F174" i="25"/>
  <c r="F182" i="25"/>
  <c r="F191" i="25"/>
  <c r="F199" i="25"/>
  <c r="F225" i="25"/>
  <c r="F259" i="25"/>
  <c r="F267" i="25"/>
  <c r="F276" i="25"/>
  <c r="F50" i="25"/>
  <c r="F59" i="25"/>
  <c r="F18" i="25" s="1"/>
  <c r="F67" i="25"/>
  <c r="F85" i="25"/>
  <c r="F110" i="25"/>
  <c r="F119" i="25"/>
  <c r="F127" i="25"/>
  <c r="F136" i="25"/>
  <c r="F144" i="25"/>
  <c r="F153" i="25"/>
  <c r="F161" i="25"/>
  <c r="F170" i="25"/>
  <c r="F178" i="25"/>
  <c r="F187" i="25"/>
  <c r="F195" i="25"/>
  <c r="F212" i="25"/>
  <c r="F229" i="25"/>
  <c r="F238" i="25"/>
  <c r="F17" i="25" l="1"/>
  <c r="F79" i="25"/>
  <c r="F83" i="25"/>
  <c r="F31" i="25"/>
  <c r="F81" i="25"/>
  <c r="F78" i="25"/>
  <c r="F77" i="25"/>
  <c r="F76" i="25"/>
  <c r="F37" i="25"/>
  <c r="F80" i="25"/>
  <c r="F82" i="25"/>
  <c r="D237" i="13" l="1"/>
  <c r="D40" i="13" s="1"/>
  <c r="B237" i="13"/>
  <c r="B40" i="13" s="1"/>
  <c r="F237" i="13" l="1"/>
  <c r="F40" i="13" s="1"/>
  <c r="E284" i="24"/>
  <c r="C284" i="24"/>
  <c r="A284" i="24"/>
  <c r="E280" i="24"/>
  <c r="A280" i="24"/>
  <c r="E276" i="24"/>
  <c r="C276" i="24"/>
  <c r="A276" i="24"/>
  <c r="F275" i="24"/>
  <c r="F274" i="24"/>
  <c r="F273" i="24"/>
  <c r="E272" i="24"/>
  <c r="C272" i="24"/>
  <c r="A272" i="24"/>
  <c r="F270" i="24"/>
  <c r="F269" i="24"/>
  <c r="E267" i="24"/>
  <c r="C267" i="24"/>
  <c r="A267" i="24"/>
  <c r="F266" i="24"/>
  <c r="F265" i="24"/>
  <c r="F264" i="24"/>
  <c r="E263" i="24"/>
  <c r="C263" i="24"/>
  <c r="A263" i="24"/>
  <c r="F262" i="24"/>
  <c r="F261" i="24"/>
  <c r="F260" i="24"/>
  <c r="E259" i="24"/>
  <c r="E82" i="24" s="1"/>
  <c r="C259" i="24"/>
  <c r="A259" i="24"/>
  <c r="F258" i="24"/>
  <c r="F257" i="24"/>
  <c r="F256" i="24"/>
  <c r="E255" i="24"/>
  <c r="C255" i="24"/>
  <c r="A255" i="24"/>
  <c r="A82" i="24" s="1"/>
  <c r="F254" i="24"/>
  <c r="F253" i="24"/>
  <c r="F252" i="24"/>
  <c r="E250" i="24"/>
  <c r="C250" i="24"/>
  <c r="A250" i="24"/>
  <c r="F249" i="24"/>
  <c r="F248" i="24"/>
  <c r="F247" i="24"/>
  <c r="E246" i="24"/>
  <c r="C246" i="24"/>
  <c r="A246" i="24"/>
  <c r="F245" i="24"/>
  <c r="F244" i="24"/>
  <c r="F243" i="24"/>
  <c r="E242" i="24"/>
  <c r="C242" i="24"/>
  <c r="A242" i="24"/>
  <c r="F241" i="24"/>
  <c r="F240" i="24"/>
  <c r="F239" i="24"/>
  <c r="E238" i="24"/>
  <c r="C238" i="24"/>
  <c r="A238" i="24"/>
  <c r="A81" i="24" s="1"/>
  <c r="F237" i="24"/>
  <c r="F236" i="24"/>
  <c r="F235" i="24"/>
  <c r="E233" i="24"/>
  <c r="C233" i="24"/>
  <c r="A233" i="24"/>
  <c r="F232" i="24"/>
  <c r="F231" i="24"/>
  <c r="F230" i="24"/>
  <c r="E229" i="24"/>
  <c r="C229" i="24"/>
  <c r="A229" i="24"/>
  <c r="F228" i="24"/>
  <c r="F227" i="24"/>
  <c r="F226" i="24"/>
  <c r="E225" i="24"/>
  <c r="E80" i="24" s="1"/>
  <c r="C225" i="24"/>
  <c r="A225" i="24"/>
  <c r="F224" i="24"/>
  <c r="F223" i="24"/>
  <c r="F222" i="24"/>
  <c r="E221" i="24"/>
  <c r="C221" i="24"/>
  <c r="A221" i="24"/>
  <c r="A80" i="24" s="1"/>
  <c r="F220" i="24"/>
  <c r="F219" i="24"/>
  <c r="F218" i="24"/>
  <c r="E216" i="24"/>
  <c r="C216" i="24"/>
  <c r="A216" i="24"/>
  <c r="F215" i="24"/>
  <c r="F214" i="24"/>
  <c r="F213" i="24"/>
  <c r="E212" i="24"/>
  <c r="C212" i="24"/>
  <c r="A212" i="24"/>
  <c r="F211" i="24"/>
  <c r="F210" i="24"/>
  <c r="F209" i="24"/>
  <c r="E208" i="24"/>
  <c r="C208" i="24"/>
  <c r="A208" i="24"/>
  <c r="F207" i="24"/>
  <c r="F206" i="24"/>
  <c r="F205" i="24"/>
  <c r="E204" i="24"/>
  <c r="C204" i="24"/>
  <c r="A204" i="24"/>
  <c r="F203" i="24"/>
  <c r="F202" i="24"/>
  <c r="F201" i="24"/>
  <c r="E199" i="24"/>
  <c r="C199" i="24"/>
  <c r="A199" i="24"/>
  <c r="F198" i="24"/>
  <c r="F197" i="24"/>
  <c r="F196" i="24"/>
  <c r="E195" i="24"/>
  <c r="C195" i="24"/>
  <c r="A195" i="24"/>
  <c r="F194" i="24"/>
  <c r="F193" i="24"/>
  <c r="F192" i="24"/>
  <c r="E191" i="24"/>
  <c r="E78" i="24" s="1"/>
  <c r="C191" i="24"/>
  <c r="A191" i="24"/>
  <c r="F190" i="24"/>
  <c r="F189" i="24"/>
  <c r="F188" i="24"/>
  <c r="E187" i="24"/>
  <c r="C187" i="24"/>
  <c r="A187" i="24"/>
  <c r="A78" i="24" s="1"/>
  <c r="F186" i="24"/>
  <c r="F185" i="24"/>
  <c r="F184" i="24"/>
  <c r="E182" i="24"/>
  <c r="C182" i="24"/>
  <c r="A182" i="24"/>
  <c r="F181" i="24"/>
  <c r="F180" i="24"/>
  <c r="F179" i="24"/>
  <c r="E178" i="24"/>
  <c r="C178" i="24"/>
  <c r="A178" i="24"/>
  <c r="F177" i="24"/>
  <c r="F176" i="24"/>
  <c r="F175" i="24"/>
  <c r="E174" i="24"/>
  <c r="C174" i="24"/>
  <c r="A174" i="24"/>
  <c r="F173" i="24"/>
  <c r="F172" i="24"/>
  <c r="F171" i="24"/>
  <c r="E170" i="24"/>
  <c r="C170" i="24"/>
  <c r="A170" i="24"/>
  <c r="A77" i="24" s="1"/>
  <c r="F169" i="24"/>
  <c r="F168" i="24"/>
  <c r="F167" i="24"/>
  <c r="E165" i="24"/>
  <c r="C165" i="24"/>
  <c r="A165" i="24"/>
  <c r="F164" i="24"/>
  <c r="F163" i="24"/>
  <c r="F162" i="24"/>
  <c r="E161" i="24"/>
  <c r="C161" i="24"/>
  <c r="A161" i="24"/>
  <c r="F160" i="24"/>
  <c r="F159" i="24"/>
  <c r="F158" i="24"/>
  <c r="E157" i="24"/>
  <c r="E76" i="24" s="1"/>
  <c r="C157" i="24"/>
  <c r="A157" i="24"/>
  <c r="F156" i="24"/>
  <c r="F155" i="24"/>
  <c r="F154" i="24"/>
  <c r="E153" i="24"/>
  <c r="C153" i="24"/>
  <c r="A153" i="24"/>
  <c r="A76" i="24" s="1"/>
  <c r="F152" i="24"/>
  <c r="F151" i="24"/>
  <c r="F150" i="24"/>
  <c r="E148" i="24"/>
  <c r="C148" i="24"/>
  <c r="A148" i="24"/>
  <c r="F147" i="24"/>
  <c r="F146" i="24"/>
  <c r="F145" i="24"/>
  <c r="E144" i="24"/>
  <c r="C144" i="24"/>
  <c r="A144" i="24"/>
  <c r="F143" i="24"/>
  <c r="F142" i="24"/>
  <c r="F141" i="24"/>
  <c r="E140" i="24"/>
  <c r="E37" i="24" s="1"/>
  <c r="C140" i="24"/>
  <c r="A140" i="24"/>
  <c r="F139" i="24"/>
  <c r="F138" i="24"/>
  <c r="F137" i="24"/>
  <c r="E136" i="24"/>
  <c r="C136" i="24"/>
  <c r="A136" i="24"/>
  <c r="A37" i="24" s="1"/>
  <c r="F135" i="24"/>
  <c r="F134" i="24"/>
  <c r="F133" i="24"/>
  <c r="E131" i="24"/>
  <c r="C131" i="24"/>
  <c r="A131" i="24"/>
  <c r="F130" i="24"/>
  <c r="F129" i="24"/>
  <c r="F128" i="24"/>
  <c r="E127" i="24"/>
  <c r="C127" i="24"/>
  <c r="A127" i="24"/>
  <c r="F126" i="24"/>
  <c r="F125" i="24"/>
  <c r="F124" i="24"/>
  <c r="E123" i="24"/>
  <c r="E31" i="24" s="1"/>
  <c r="C123" i="24"/>
  <c r="A123" i="24"/>
  <c r="F122" i="24"/>
  <c r="F121" i="24"/>
  <c r="F120" i="24"/>
  <c r="E119" i="24"/>
  <c r="C119" i="24"/>
  <c r="A119" i="24"/>
  <c r="A31" i="24" s="1"/>
  <c r="F118" i="24"/>
  <c r="F117" i="24"/>
  <c r="F116" i="24"/>
  <c r="E114" i="24"/>
  <c r="C114" i="24"/>
  <c r="A114" i="24"/>
  <c r="F113" i="24"/>
  <c r="F112" i="24"/>
  <c r="F111" i="24"/>
  <c r="E110" i="24"/>
  <c r="C110" i="24"/>
  <c r="A110" i="24"/>
  <c r="F109" i="24"/>
  <c r="F108" i="24"/>
  <c r="F107" i="24"/>
  <c r="E106" i="24"/>
  <c r="E30" i="24" s="1"/>
  <c r="C106" i="24"/>
  <c r="A106" i="24"/>
  <c r="F105" i="24"/>
  <c r="F104" i="24"/>
  <c r="F103" i="24"/>
  <c r="E102" i="24"/>
  <c r="C102" i="24"/>
  <c r="A102" i="24"/>
  <c r="F101" i="24"/>
  <c r="F100" i="24"/>
  <c r="F99" i="24"/>
  <c r="E97" i="24"/>
  <c r="C97" i="24"/>
  <c r="A97" i="24"/>
  <c r="F96" i="24"/>
  <c r="F95" i="24"/>
  <c r="F94" i="24"/>
  <c r="E93" i="24"/>
  <c r="C93" i="24"/>
  <c r="A93" i="24"/>
  <c r="F92" i="24"/>
  <c r="F91" i="24"/>
  <c r="F90" i="24"/>
  <c r="E89" i="24"/>
  <c r="E29" i="24" s="1"/>
  <c r="C89" i="24"/>
  <c r="A89" i="24"/>
  <c r="F88" i="24"/>
  <c r="F87" i="24"/>
  <c r="F86" i="24"/>
  <c r="E85" i="24"/>
  <c r="C85" i="24"/>
  <c r="A85" i="24"/>
  <c r="A29" i="24" s="1"/>
  <c r="C82" i="24"/>
  <c r="E81" i="24"/>
  <c r="C81" i="24"/>
  <c r="C80" i="24"/>
  <c r="C79" i="24"/>
  <c r="A79" i="24"/>
  <c r="C78" i="24"/>
  <c r="E77" i="24"/>
  <c r="C77" i="24"/>
  <c r="C76" i="24"/>
  <c r="F75" i="24"/>
  <c r="F74" i="24"/>
  <c r="F73" i="24"/>
  <c r="E71" i="24"/>
  <c r="C71" i="24"/>
  <c r="A71" i="24"/>
  <c r="F70" i="24"/>
  <c r="F69" i="24"/>
  <c r="F68" i="24"/>
  <c r="E67" i="24"/>
  <c r="C67" i="24"/>
  <c r="A67" i="24"/>
  <c r="F66" i="24"/>
  <c r="F65" i="24"/>
  <c r="F64" i="24"/>
  <c r="E63" i="24"/>
  <c r="C63" i="24"/>
  <c r="A63" i="24"/>
  <c r="F62" i="24"/>
  <c r="F61" i="24"/>
  <c r="F60" i="24"/>
  <c r="E59" i="24"/>
  <c r="E18" i="24" s="1"/>
  <c r="C59" i="24"/>
  <c r="C18" i="24" s="1"/>
  <c r="A59" i="24"/>
  <c r="A18" i="24" s="1"/>
  <c r="F58" i="24"/>
  <c r="F57" i="24"/>
  <c r="F56" i="24"/>
  <c r="E54" i="24"/>
  <c r="C54" i="24"/>
  <c r="A54" i="24"/>
  <c r="F53" i="24"/>
  <c r="F52" i="24"/>
  <c r="F51" i="24"/>
  <c r="E50" i="24"/>
  <c r="C50" i="24"/>
  <c r="A50" i="24"/>
  <c r="F49" i="24"/>
  <c r="F48" i="24"/>
  <c r="F47" i="24"/>
  <c r="E46" i="24"/>
  <c r="C46" i="24"/>
  <c r="A46" i="24"/>
  <c r="F45" i="24"/>
  <c r="F44" i="24"/>
  <c r="F43" i="24"/>
  <c r="E42" i="24"/>
  <c r="E17" i="24" s="1"/>
  <c r="C42" i="24"/>
  <c r="C17" i="24" s="1"/>
  <c r="A42" i="24"/>
  <c r="A17" i="24" s="1"/>
  <c r="F41" i="24"/>
  <c r="F40" i="24"/>
  <c r="F39" i="24"/>
  <c r="C37" i="24"/>
  <c r="F36" i="24"/>
  <c r="F35" i="24"/>
  <c r="F34" i="24"/>
  <c r="C31" i="24"/>
  <c r="C30" i="24"/>
  <c r="A30" i="24"/>
  <c r="C29" i="24"/>
  <c r="F26" i="24"/>
  <c r="F22" i="24"/>
  <c r="F14" i="24" s="1"/>
  <c r="G284" i="23"/>
  <c r="F284" i="23"/>
  <c r="E284" i="23"/>
  <c r="C284" i="23"/>
  <c r="B284" i="23"/>
  <c r="A284" i="23"/>
  <c r="K283" i="23"/>
  <c r="J283" i="23"/>
  <c r="I283" i="23"/>
  <c r="H283" i="23"/>
  <c r="D283" i="23"/>
  <c r="L283" i="23" s="1"/>
  <c r="K282" i="23"/>
  <c r="J282" i="23"/>
  <c r="I282" i="23"/>
  <c r="H282" i="23"/>
  <c r="D282" i="23"/>
  <c r="K281" i="23"/>
  <c r="J281" i="23"/>
  <c r="J284" i="23" s="1"/>
  <c r="I281" i="23"/>
  <c r="I284" i="23" s="1"/>
  <c r="H281" i="23"/>
  <c r="D281" i="23"/>
  <c r="G280" i="23"/>
  <c r="F280" i="23"/>
  <c r="E280" i="23"/>
  <c r="C280" i="23"/>
  <c r="B280" i="23"/>
  <c r="A280" i="23"/>
  <c r="K279" i="23"/>
  <c r="J279" i="23"/>
  <c r="I279" i="23"/>
  <c r="H279" i="23"/>
  <c r="D279" i="23"/>
  <c r="K278" i="23"/>
  <c r="J278" i="23"/>
  <c r="I278" i="23"/>
  <c r="H278" i="23"/>
  <c r="D278" i="23"/>
  <c r="L278" i="23" s="1"/>
  <c r="K277" i="23"/>
  <c r="K280" i="23" s="1"/>
  <c r="J277" i="23"/>
  <c r="J280" i="23" s="1"/>
  <c r="I277" i="23"/>
  <c r="H277" i="23"/>
  <c r="D277" i="23"/>
  <c r="D280" i="23" s="1"/>
  <c r="G276" i="23"/>
  <c r="F276" i="23"/>
  <c r="E276" i="23"/>
  <c r="C276" i="23"/>
  <c r="B276" i="23"/>
  <c r="A276" i="23"/>
  <c r="K275" i="23"/>
  <c r="J275" i="23"/>
  <c r="I275" i="23"/>
  <c r="H275" i="23"/>
  <c r="D275" i="23"/>
  <c r="L275" i="23" s="1"/>
  <c r="K274" i="23"/>
  <c r="J274" i="23"/>
  <c r="I274" i="23"/>
  <c r="H274" i="23"/>
  <c r="D274" i="23"/>
  <c r="K273" i="23"/>
  <c r="K276" i="23" s="1"/>
  <c r="J273" i="23"/>
  <c r="I273" i="23"/>
  <c r="H273" i="23"/>
  <c r="H276" i="23" s="1"/>
  <c r="D273" i="23"/>
  <c r="D276" i="23" s="1"/>
  <c r="G272" i="23"/>
  <c r="F272" i="23"/>
  <c r="E272" i="23"/>
  <c r="C272" i="23"/>
  <c r="B272" i="23"/>
  <c r="A272" i="23"/>
  <c r="K271" i="23"/>
  <c r="J271" i="23"/>
  <c r="I271" i="23"/>
  <c r="H271" i="23"/>
  <c r="D271" i="23"/>
  <c r="K270" i="23"/>
  <c r="J270" i="23"/>
  <c r="I270" i="23"/>
  <c r="H270" i="23"/>
  <c r="D270" i="23"/>
  <c r="L270" i="23" s="1"/>
  <c r="K269" i="23"/>
  <c r="J269" i="23"/>
  <c r="I269" i="23"/>
  <c r="I272" i="23" s="1"/>
  <c r="H269" i="23"/>
  <c r="H272" i="23" s="1"/>
  <c r="D269" i="23"/>
  <c r="G267" i="23"/>
  <c r="F267" i="23"/>
  <c r="E267" i="23"/>
  <c r="C267" i="23"/>
  <c r="B267" i="23"/>
  <c r="A267" i="23"/>
  <c r="K266" i="23"/>
  <c r="J266" i="23"/>
  <c r="I266" i="23"/>
  <c r="H266" i="23"/>
  <c r="D266" i="23"/>
  <c r="L266" i="23" s="1"/>
  <c r="K265" i="23"/>
  <c r="J265" i="23"/>
  <c r="I265" i="23"/>
  <c r="H265" i="23"/>
  <c r="D265" i="23"/>
  <c r="K264" i="23"/>
  <c r="J264" i="23"/>
  <c r="J267" i="23" s="1"/>
  <c r="I264" i="23"/>
  <c r="I267" i="23" s="1"/>
  <c r="H264" i="23"/>
  <c r="D264" i="23"/>
  <c r="G263" i="23"/>
  <c r="F263" i="23"/>
  <c r="E263" i="23"/>
  <c r="C263" i="23"/>
  <c r="B263" i="23"/>
  <c r="A263" i="23"/>
  <c r="K262" i="23"/>
  <c r="J262" i="23"/>
  <c r="I262" i="23"/>
  <c r="H262" i="23"/>
  <c r="D262" i="23"/>
  <c r="K261" i="23"/>
  <c r="J261" i="23"/>
  <c r="I261" i="23"/>
  <c r="H261" i="23"/>
  <c r="D261" i="23"/>
  <c r="K260" i="23"/>
  <c r="K263" i="23" s="1"/>
  <c r="J260" i="23"/>
  <c r="J263" i="23" s="1"/>
  <c r="I260" i="23"/>
  <c r="H260" i="23"/>
  <c r="D260" i="23"/>
  <c r="D263" i="23" s="1"/>
  <c r="G259" i="23"/>
  <c r="F259" i="23"/>
  <c r="E259" i="23"/>
  <c r="C259" i="23"/>
  <c r="B259" i="23"/>
  <c r="A259" i="23"/>
  <c r="K258" i="23"/>
  <c r="J258" i="23"/>
  <c r="I258" i="23"/>
  <c r="H258" i="23"/>
  <c r="D258" i="23"/>
  <c r="L258" i="23" s="1"/>
  <c r="K257" i="23"/>
  <c r="J257" i="23"/>
  <c r="I257" i="23"/>
  <c r="H257" i="23"/>
  <c r="D257" i="23"/>
  <c r="K256" i="23"/>
  <c r="K259" i="23" s="1"/>
  <c r="J256" i="23"/>
  <c r="I256" i="23"/>
  <c r="H256" i="23"/>
  <c r="H259" i="23" s="1"/>
  <c r="D256" i="23"/>
  <c r="D259" i="23" s="1"/>
  <c r="G255" i="23"/>
  <c r="F255" i="23"/>
  <c r="E255" i="23"/>
  <c r="C255" i="23"/>
  <c r="B255" i="23"/>
  <c r="A255" i="23"/>
  <c r="K254" i="23"/>
  <c r="J254" i="23"/>
  <c r="I254" i="23"/>
  <c r="H254" i="23"/>
  <c r="D254" i="23"/>
  <c r="L254" i="23" s="1"/>
  <c r="K253" i="23"/>
  <c r="J253" i="23"/>
  <c r="I253" i="23"/>
  <c r="H253" i="23"/>
  <c r="D253" i="23"/>
  <c r="L253" i="23" s="1"/>
  <c r="K252" i="23"/>
  <c r="J252" i="23"/>
  <c r="I252" i="23"/>
  <c r="I255" i="23" s="1"/>
  <c r="H252" i="23"/>
  <c r="H255" i="23" s="1"/>
  <c r="D252" i="23"/>
  <c r="G250" i="23"/>
  <c r="F250" i="23"/>
  <c r="E250" i="23"/>
  <c r="C250" i="23"/>
  <c r="B250" i="23"/>
  <c r="A250" i="23"/>
  <c r="K249" i="23"/>
  <c r="J249" i="23"/>
  <c r="I249" i="23"/>
  <c r="H249" i="23"/>
  <c r="D249" i="23"/>
  <c r="L249" i="23" s="1"/>
  <c r="K248" i="23"/>
  <c r="J248" i="23"/>
  <c r="I248" i="23"/>
  <c r="H248" i="23"/>
  <c r="D248" i="23"/>
  <c r="K247" i="23"/>
  <c r="J247" i="23"/>
  <c r="J250" i="23" s="1"/>
  <c r="I247" i="23"/>
  <c r="I250" i="23" s="1"/>
  <c r="H247" i="23"/>
  <c r="D247" i="23"/>
  <c r="G246" i="23"/>
  <c r="F246" i="23"/>
  <c r="E246" i="23"/>
  <c r="C246" i="23"/>
  <c r="B246" i="23"/>
  <c r="A246" i="23"/>
  <c r="K245" i="23"/>
  <c r="J245" i="23"/>
  <c r="I245" i="23"/>
  <c r="H245" i="23"/>
  <c r="D245" i="23"/>
  <c r="K244" i="23"/>
  <c r="J244" i="23"/>
  <c r="I244" i="23"/>
  <c r="H244" i="23"/>
  <c r="D244" i="23"/>
  <c r="L244" i="23" s="1"/>
  <c r="K243" i="23"/>
  <c r="K246" i="23" s="1"/>
  <c r="J243" i="23"/>
  <c r="J246" i="23" s="1"/>
  <c r="I243" i="23"/>
  <c r="H243" i="23"/>
  <c r="D243" i="23"/>
  <c r="D246" i="23" s="1"/>
  <c r="G242" i="23"/>
  <c r="F242" i="23"/>
  <c r="E242" i="23"/>
  <c r="C242" i="23"/>
  <c r="B242" i="23"/>
  <c r="A242" i="23"/>
  <c r="K241" i="23"/>
  <c r="J241" i="23"/>
  <c r="I241" i="23"/>
  <c r="H241" i="23"/>
  <c r="D241" i="23"/>
  <c r="L241" i="23" s="1"/>
  <c r="K240" i="23"/>
  <c r="J240" i="23"/>
  <c r="I240" i="23"/>
  <c r="H240" i="23"/>
  <c r="D240" i="23"/>
  <c r="K239" i="23"/>
  <c r="K242" i="23" s="1"/>
  <c r="J239" i="23"/>
  <c r="I239" i="23"/>
  <c r="H239" i="23"/>
  <c r="H242" i="23" s="1"/>
  <c r="D239" i="23"/>
  <c r="D242" i="23" s="1"/>
  <c r="G238" i="23"/>
  <c r="F238" i="23"/>
  <c r="E238" i="23"/>
  <c r="C238" i="23"/>
  <c r="B238" i="23"/>
  <c r="A238" i="23"/>
  <c r="K237" i="23"/>
  <c r="J237" i="23"/>
  <c r="I237" i="23"/>
  <c r="H237" i="23"/>
  <c r="D237" i="23"/>
  <c r="K236" i="23"/>
  <c r="J236" i="23"/>
  <c r="I236" i="23"/>
  <c r="H236" i="23"/>
  <c r="D236" i="23"/>
  <c r="L236" i="23" s="1"/>
  <c r="K235" i="23"/>
  <c r="J235" i="23"/>
  <c r="I235" i="23"/>
  <c r="I238" i="23" s="1"/>
  <c r="H235" i="23"/>
  <c r="H238" i="23" s="1"/>
  <c r="D235" i="23"/>
  <c r="G233" i="23"/>
  <c r="F233" i="23"/>
  <c r="E233" i="23"/>
  <c r="C233" i="23"/>
  <c r="B233" i="23"/>
  <c r="A233" i="23"/>
  <c r="K232" i="23"/>
  <c r="J232" i="23"/>
  <c r="I232" i="23"/>
  <c r="H232" i="23"/>
  <c r="D232" i="23"/>
  <c r="L232" i="23" s="1"/>
  <c r="K231" i="23"/>
  <c r="J231" i="23"/>
  <c r="I231" i="23"/>
  <c r="H231" i="23"/>
  <c r="D231" i="23"/>
  <c r="K230" i="23"/>
  <c r="J230" i="23"/>
  <c r="J233" i="23" s="1"/>
  <c r="I230" i="23"/>
  <c r="I233" i="23" s="1"/>
  <c r="H230" i="23"/>
  <c r="D230" i="23"/>
  <c r="G229" i="23"/>
  <c r="F229" i="23"/>
  <c r="E229" i="23"/>
  <c r="C229" i="23"/>
  <c r="B229" i="23"/>
  <c r="A229" i="23"/>
  <c r="K228" i="23"/>
  <c r="J228" i="23"/>
  <c r="I228" i="23"/>
  <c r="H228" i="23"/>
  <c r="D228" i="23"/>
  <c r="K227" i="23"/>
  <c r="J227" i="23"/>
  <c r="I227" i="23"/>
  <c r="H227" i="23"/>
  <c r="D227" i="23"/>
  <c r="L227" i="23" s="1"/>
  <c r="K226" i="23"/>
  <c r="K229" i="23" s="1"/>
  <c r="J226" i="23"/>
  <c r="J229" i="23" s="1"/>
  <c r="I226" i="23"/>
  <c r="H226" i="23"/>
  <c r="D226" i="23"/>
  <c r="D229" i="23" s="1"/>
  <c r="G225" i="23"/>
  <c r="F225" i="23"/>
  <c r="E225" i="23"/>
  <c r="C225" i="23"/>
  <c r="B225" i="23"/>
  <c r="A225" i="23"/>
  <c r="K224" i="23"/>
  <c r="J224" i="23"/>
  <c r="I224" i="23"/>
  <c r="H224" i="23"/>
  <c r="D224" i="23"/>
  <c r="L224" i="23" s="1"/>
  <c r="K223" i="23"/>
  <c r="J223" i="23"/>
  <c r="I223" i="23"/>
  <c r="H223" i="23"/>
  <c r="D223" i="23"/>
  <c r="K222" i="23"/>
  <c r="K225" i="23" s="1"/>
  <c r="J222" i="23"/>
  <c r="I222" i="23"/>
  <c r="H222" i="23"/>
  <c r="H225" i="23" s="1"/>
  <c r="D222" i="23"/>
  <c r="D225" i="23" s="1"/>
  <c r="G221" i="23"/>
  <c r="F221" i="23"/>
  <c r="E221" i="23"/>
  <c r="C221" i="23"/>
  <c r="B221" i="23"/>
  <c r="A221" i="23"/>
  <c r="K220" i="23"/>
  <c r="J220" i="23"/>
  <c r="I220" i="23"/>
  <c r="H220" i="23"/>
  <c r="D220" i="23"/>
  <c r="L220" i="23" s="1"/>
  <c r="K219" i="23"/>
  <c r="J219" i="23"/>
  <c r="I219" i="23"/>
  <c r="H219" i="23"/>
  <c r="D219" i="23"/>
  <c r="L219" i="23" s="1"/>
  <c r="K218" i="23"/>
  <c r="J218" i="23"/>
  <c r="I218" i="23"/>
  <c r="I221" i="23" s="1"/>
  <c r="H218" i="23"/>
  <c r="H221" i="23" s="1"/>
  <c r="D218" i="23"/>
  <c r="G216" i="23"/>
  <c r="F216" i="23"/>
  <c r="E216" i="23"/>
  <c r="C216" i="23"/>
  <c r="B216" i="23"/>
  <c r="A216" i="23"/>
  <c r="K215" i="23"/>
  <c r="J215" i="23"/>
  <c r="I215" i="23"/>
  <c r="H215" i="23"/>
  <c r="D215" i="23"/>
  <c r="L215" i="23" s="1"/>
  <c r="K214" i="23"/>
  <c r="J214" i="23"/>
  <c r="I214" i="23"/>
  <c r="H214" i="23"/>
  <c r="D214" i="23"/>
  <c r="K213" i="23"/>
  <c r="J213" i="23"/>
  <c r="J216" i="23" s="1"/>
  <c r="I213" i="23"/>
  <c r="I216" i="23" s="1"/>
  <c r="H213" i="23"/>
  <c r="D213" i="23"/>
  <c r="G212" i="23"/>
  <c r="F212" i="23"/>
  <c r="E212" i="23"/>
  <c r="C212" i="23"/>
  <c r="B212" i="23"/>
  <c r="A212" i="23"/>
  <c r="K211" i="23"/>
  <c r="J211" i="23"/>
  <c r="I211" i="23"/>
  <c r="H211" i="23"/>
  <c r="D211" i="23"/>
  <c r="K210" i="23"/>
  <c r="J210" i="23"/>
  <c r="I210" i="23"/>
  <c r="H210" i="23"/>
  <c r="D210" i="23"/>
  <c r="L210" i="23" s="1"/>
  <c r="K209" i="23"/>
  <c r="K212" i="23" s="1"/>
  <c r="J209" i="23"/>
  <c r="J212" i="23" s="1"/>
  <c r="I209" i="23"/>
  <c r="H209" i="23"/>
  <c r="D209" i="23"/>
  <c r="D212" i="23" s="1"/>
  <c r="G208" i="23"/>
  <c r="F208" i="23"/>
  <c r="E208" i="23"/>
  <c r="C208" i="23"/>
  <c r="B208" i="23"/>
  <c r="A208" i="23"/>
  <c r="K207" i="23"/>
  <c r="J207" i="23"/>
  <c r="I207" i="23"/>
  <c r="H207" i="23"/>
  <c r="D207" i="23"/>
  <c r="L207" i="23" s="1"/>
  <c r="K206" i="23"/>
  <c r="J206" i="23"/>
  <c r="I206" i="23"/>
  <c r="H206" i="23"/>
  <c r="D206" i="23"/>
  <c r="L206" i="23" s="1"/>
  <c r="K205" i="23"/>
  <c r="K208" i="23" s="1"/>
  <c r="J205" i="23"/>
  <c r="I205" i="23"/>
  <c r="H205" i="23"/>
  <c r="H208" i="23" s="1"/>
  <c r="D205" i="23"/>
  <c r="D208" i="23" s="1"/>
  <c r="G204" i="23"/>
  <c r="F204" i="23"/>
  <c r="E204" i="23"/>
  <c r="C204" i="23"/>
  <c r="B204" i="23"/>
  <c r="A204" i="23"/>
  <c r="K203" i="23"/>
  <c r="J203" i="23"/>
  <c r="I203" i="23"/>
  <c r="H203" i="23"/>
  <c r="D203" i="23"/>
  <c r="L203" i="23" s="1"/>
  <c r="K202" i="23"/>
  <c r="J202" i="23"/>
  <c r="I202" i="23"/>
  <c r="H202" i="23"/>
  <c r="D202" i="23"/>
  <c r="L202" i="23" s="1"/>
  <c r="K201" i="23"/>
  <c r="J201" i="23"/>
  <c r="I201" i="23"/>
  <c r="I204" i="23" s="1"/>
  <c r="H201" i="23"/>
  <c r="H204" i="23" s="1"/>
  <c r="D201" i="23"/>
  <c r="G199" i="23"/>
  <c r="F199" i="23"/>
  <c r="E199" i="23"/>
  <c r="C199" i="23"/>
  <c r="B199" i="23"/>
  <c r="A199" i="23"/>
  <c r="K198" i="23"/>
  <c r="J198" i="23"/>
  <c r="I198" i="23"/>
  <c r="H198" i="23"/>
  <c r="D198" i="23"/>
  <c r="L198" i="23" s="1"/>
  <c r="K197" i="23"/>
  <c r="J197" i="23"/>
  <c r="I197" i="23"/>
  <c r="H197" i="23"/>
  <c r="D197" i="23"/>
  <c r="K196" i="23"/>
  <c r="J196" i="23"/>
  <c r="J199" i="23" s="1"/>
  <c r="I196" i="23"/>
  <c r="I199" i="23" s="1"/>
  <c r="H196" i="23"/>
  <c r="D196" i="23"/>
  <c r="G195" i="23"/>
  <c r="F195" i="23"/>
  <c r="E195" i="23"/>
  <c r="C195" i="23"/>
  <c r="B195" i="23"/>
  <c r="A195" i="23"/>
  <c r="K194" i="23"/>
  <c r="J194" i="23"/>
  <c r="I194" i="23"/>
  <c r="H194" i="23"/>
  <c r="D194" i="23"/>
  <c r="K193" i="23"/>
  <c r="J193" i="23"/>
  <c r="I193" i="23"/>
  <c r="H193" i="23"/>
  <c r="D193" i="23"/>
  <c r="L193" i="23" s="1"/>
  <c r="K192" i="23"/>
  <c r="K195" i="23" s="1"/>
  <c r="J192" i="23"/>
  <c r="J195" i="23" s="1"/>
  <c r="I192" i="23"/>
  <c r="H192" i="23"/>
  <c r="D192" i="23"/>
  <c r="D195" i="23" s="1"/>
  <c r="G191" i="23"/>
  <c r="F191" i="23"/>
  <c r="E191" i="23"/>
  <c r="C191" i="23"/>
  <c r="B191" i="23"/>
  <c r="A191" i="23"/>
  <c r="K190" i="23"/>
  <c r="J190" i="23"/>
  <c r="I190" i="23"/>
  <c r="H190" i="23"/>
  <c r="D190" i="23"/>
  <c r="L190" i="23" s="1"/>
  <c r="K189" i="23"/>
  <c r="J189" i="23"/>
  <c r="I189" i="23"/>
  <c r="H189" i="23"/>
  <c r="D189" i="23"/>
  <c r="K188" i="23"/>
  <c r="K191" i="23" s="1"/>
  <c r="J188" i="23"/>
  <c r="I188" i="23"/>
  <c r="H188" i="23"/>
  <c r="H191" i="23" s="1"/>
  <c r="D188" i="23"/>
  <c r="D191" i="23" s="1"/>
  <c r="G187" i="23"/>
  <c r="F187" i="23"/>
  <c r="E187" i="23"/>
  <c r="C187" i="23"/>
  <c r="B187" i="23"/>
  <c r="A187" i="23"/>
  <c r="K186" i="23"/>
  <c r="J186" i="23"/>
  <c r="I186" i="23"/>
  <c r="H186" i="23"/>
  <c r="D186" i="23"/>
  <c r="K185" i="23"/>
  <c r="J185" i="23"/>
  <c r="I185" i="23"/>
  <c r="H185" i="23"/>
  <c r="D185" i="23"/>
  <c r="L185" i="23" s="1"/>
  <c r="K184" i="23"/>
  <c r="J184" i="23"/>
  <c r="I184" i="23"/>
  <c r="I187" i="23" s="1"/>
  <c r="H184" i="23"/>
  <c r="H187" i="23" s="1"/>
  <c r="D184" i="23"/>
  <c r="G182" i="23"/>
  <c r="F182" i="23"/>
  <c r="E182" i="23"/>
  <c r="C182" i="23"/>
  <c r="B182" i="23"/>
  <c r="A182" i="23"/>
  <c r="K181" i="23"/>
  <c r="J181" i="23"/>
  <c r="I181" i="23"/>
  <c r="H181" i="23"/>
  <c r="D181" i="23"/>
  <c r="L181" i="23" s="1"/>
  <c r="K180" i="23"/>
  <c r="J180" i="23"/>
  <c r="I180" i="23"/>
  <c r="H180" i="23"/>
  <c r="D180" i="23"/>
  <c r="K179" i="23"/>
  <c r="J179" i="23"/>
  <c r="J182" i="23" s="1"/>
  <c r="I179" i="23"/>
  <c r="I182" i="23" s="1"/>
  <c r="H179" i="23"/>
  <c r="D179" i="23"/>
  <c r="G178" i="23"/>
  <c r="F178" i="23"/>
  <c r="E178" i="23"/>
  <c r="C178" i="23"/>
  <c r="B178" i="23"/>
  <c r="A178" i="23"/>
  <c r="K177" i="23"/>
  <c r="J177" i="23"/>
  <c r="I177" i="23"/>
  <c r="H177" i="23"/>
  <c r="D177" i="23"/>
  <c r="K176" i="23"/>
  <c r="J176" i="23"/>
  <c r="I176" i="23"/>
  <c r="H176" i="23"/>
  <c r="D176" i="23"/>
  <c r="L176" i="23" s="1"/>
  <c r="K175" i="23"/>
  <c r="K178" i="23" s="1"/>
  <c r="J175" i="23"/>
  <c r="J178" i="23" s="1"/>
  <c r="I175" i="23"/>
  <c r="H175" i="23"/>
  <c r="D175" i="23"/>
  <c r="D178" i="23" s="1"/>
  <c r="G174" i="23"/>
  <c r="F174" i="23"/>
  <c r="E174" i="23"/>
  <c r="C174" i="23"/>
  <c r="B174" i="23"/>
  <c r="A174" i="23"/>
  <c r="K173" i="23"/>
  <c r="J173" i="23"/>
  <c r="I173" i="23"/>
  <c r="H173" i="23"/>
  <c r="D173" i="23"/>
  <c r="L173" i="23" s="1"/>
  <c r="K172" i="23"/>
  <c r="J172" i="23"/>
  <c r="I172" i="23"/>
  <c r="H172" i="23"/>
  <c r="D172" i="23"/>
  <c r="K171" i="23"/>
  <c r="K174" i="23" s="1"/>
  <c r="J171" i="23"/>
  <c r="I171" i="23"/>
  <c r="H171" i="23"/>
  <c r="H174" i="23" s="1"/>
  <c r="D171" i="23"/>
  <c r="D174" i="23" s="1"/>
  <c r="G170" i="23"/>
  <c r="F170" i="23"/>
  <c r="E170" i="23"/>
  <c r="C170" i="23"/>
  <c r="B170" i="23"/>
  <c r="A170" i="23"/>
  <c r="K169" i="23"/>
  <c r="J169" i="23"/>
  <c r="I169" i="23"/>
  <c r="H169" i="23"/>
  <c r="D169" i="23"/>
  <c r="K168" i="23"/>
  <c r="J168" i="23"/>
  <c r="I168" i="23"/>
  <c r="H168" i="23"/>
  <c r="D168" i="23"/>
  <c r="L168" i="23" s="1"/>
  <c r="K167" i="23"/>
  <c r="J167" i="23"/>
  <c r="I167" i="23"/>
  <c r="I170" i="23" s="1"/>
  <c r="H167" i="23"/>
  <c r="H170" i="23" s="1"/>
  <c r="D167" i="23"/>
  <c r="G165" i="23"/>
  <c r="F165" i="23"/>
  <c r="E165" i="23"/>
  <c r="C165" i="23"/>
  <c r="B165" i="23"/>
  <c r="A165" i="23"/>
  <c r="K164" i="23"/>
  <c r="J164" i="23"/>
  <c r="I164" i="23"/>
  <c r="H164" i="23"/>
  <c r="D164" i="23"/>
  <c r="L164" i="23" s="1"/>
  <c r="K163" i="23"/>
  <c r="J163" i="23"/>
  <c r="I163" i="23"/>
  <c r="H163" i="23"/>
  <c r="D163" i="23"/>
  <c r="K162" i="23"/>
  <c r="J162" i="23"/>
  <c r="J165" i="23" s="1"/>
  <c r="I162" i="23"/>
  <c r="I165" i="23" s="1"/>
  <c r="H162" i="23"/>
  <c r="D162" i="23"/>
  <c r="G161" i="23"/>
  <c r="F161" i="23"/>
  <c r="E161" i="23"/>
  <c r="C161" i="23"/>
  <c r="B161" i="23"/>
  <c r="A161" i="23"/>
  <c r="K160" i="23"/>
  <c r="J160" i="23"/>
  <c r="I160" i="23"/>
  <c r="H160" i="23"/>
  <c r="D160" i="23"/>
  <c r="K159" i="23"/>
  <c r="J159" i="23"/>
  <c r="I159" i="23"/>
  <c r="H159" i="23"/>
  <c r="D159" i="23"/>
  <c r="L159" i="23" s="1"/>
  <c r="K158" i="23"/>
  <c r="K161" i="23" s="1"/>
  <c r="J158" i="23"/>
  <c r="J161" i="23" s="1"/>
  <c r="I158" i="23"/>
  <c r="H158" i="23"/>
  <c r="H161" i="23" s="1"/>
  <c r="D158" i="23"/>
  <c r="D161" i="23" s="1"/>
  <c r="G157" i="23"/>
  <c r="F157" i="23"/>
  <c r="E157" i="23"/>
  <c r="C157" i="23"/>
  <c r="B157" i="23"/>
  <c r="A157" i="23"/>
  <c r="K156" i="23"/>
  <c r="J156" i="23"/>
  <c r="I156" i="23"/>
  <c r="H156" i="23"/>
  <c r="D156" i="23"/>
  <c r="L156" i="23" s="1"/>
  <c r="K155" i="23"/>
  <c r="J155" i="23"/>
  <c r="I155" i="23"/>
  <c r="H155" i="23"/>
  <c r="D155" i="23"/>
  <c r="K154" i="23"/>
  <c r="K157" i="23" s="1"/>
  <c r="J154" i="23"/>
  <c r="I154" i="23"/>
  <c r="I157" i="23" s="1"/>
  <c r="H154" i="23"/>
  <c r="H157" i="23" s="1"/>
  <c r="D154" i="23"/>
  <c r="D157" i="23" s="1"/>
  <c r="G153" i="23"/>
  <c r="F153" i="23"/>
  <c r="E153" i="23"/>
  <c r="C153" i="23"/>
  <c r="B153" i="23"/>
  <c r="A153" i="23"/>
  <c r="K152" i="23"/>
  <c r="J152" i="23"/>
  <c r="I152" i="23"/>
  <c r="H152" i="23"/>
  <c r="D152" i="23"/>
  <c r="K151" i="23"/>
  <c r="J151" i="23"/>
  <c r="I151" i="23"/>
  <c r="H151" i="23"/>
  <c r="D151" i="23"/>
  <c r="L151" i="23" s="1"/>
  <c r="K150" i="23"/>
  <c r="J150" i="23"/>
  <c r="J153" i="23" s="1"/>
  <c r="I150" i="23"/>
  <c r="I153" i="23" s="1"/>
  <c r="H150" i="23"/>
  <c r="H153" i="23" s="1"/>
  <c r="D150" i="23"/>
  <c r="G148" i="23"/>
  <c r="F148" i="23"/>
  <c r="E148" i="23"/>
  <c r="C148" i="23"/>
  <c r="B148" i="23"/>
  <c r="A148" i="23"/>
  <c r="K147" i="23"/>
  <c r="J147" i="23"/>
  <c r="I147" i="23"/>
  <c r="H147" i="23"/>
  <c r="D147" i="23"/>
  <c r="L147" i="23" s="1"/>
  <c r="K146" i="23"/>
  <c r="J146" i="23"/>
  <c r="I146" i="23"/>
  <c r="H146" i="23"/>
  <c r="D146" i="23"/>
  <c r="K145" i="23"/>
  <c r="K148" i="23" s="1"/>
  <c r="J145" i="23"/>
  <c r="J148" i="23" s="1"/>
  <c r="I145" i="23"/>
  <c r="I148" i="23" s="1"/>
  <c r="H145" i="23"/>
  <c r="D145" i="23"/>
  <c r="D148" i="23" s="1"/>
  <c r="G144" i="23"/>
  <c r="F144" i="23"/>
  <c r="E144" i="23"/>
  <c r="C144" i="23"/>
  <c r="B144" i="23"/>
  <c r="A144" i="23"/>
  <c r="K143" i="23"/>
  <c r="J143" i="23"/>
  <c r="I143" i="23"/>
  <c r="H143" i="23"/>
  <c r="D143" i="23"/>
  <c r="K142" i="23"/>
  <c r="J142" i="23"/>
  <c r="I142" i="23"/>
  <c r="H142" i="23"/>
  <c r="D142" i="23"/>
  <c r="L142" i="23" s="1"/>
  <c r="K141" i="23"/>
  <c r="K144" i="23" s="1"/>
  <c r="J141" i="23"/>
  <c r="J144" i="23" s="1"/>
  <c r="I141" i="23"/>
  <c r="H141" i="23"/>
  <c r="H144" i="23" s="1"/>
  <c r="D141" i="23"/>
  <c r="D144" i="23" s="1"/>
  <c r="G140" i="23"/>
  <c r="F140" i="23"/>
  <c r="E140" i="23"/>
  <c r="C140" i="23"/>
  <c r="B140" i="23"/>
  <c r="A140" i="23"/>
  <c r="K139" i="23"/>
  <c r="J139" i="23"/>
  <c r="I139" i="23"/>
  <c r="H139" i="23"/>
  <c r="D139" i="23"/>
  <c r="L139" i="23" s="1"/>
  <c r="K138" i="23"/>
  <c r="J138" i="23"/>
  <c r="I138" i="23"/>
  <c r="H138" i="23"/>
  <c r="D138" i="23"/>
  <c r="K137" i="23"/>
  <c r="K140" i="23" s="1"/>
  <c r="J137" i="23"/>
  <c r="I137" i="23"/>
  <c r="I140" i="23" s="1"/>
  <c r="H137" i="23"/>
  <c r="D137" i="23"/>
  <c r="D140" i="23" s="1"/>
  <c r="G136" i="23"/>
  <c r="F136" i="23"/>
  <c r="E136" i="23"/>
  <c r="C136" i="23"/>
  <c r="B136" i="23"/>
  <c r="A136" i="23"/>
  <c r="K135" i="23"/>
  <c r="J135" i="23"/>
  <c r="I135" i="23"/>
  <c r="H135" i="23"/>
  <c r="D135" i="23"/>
  <c r="K134" i="23"/>
  <c r="J134" i="23"/>
  <c r="I134" i="23"/>
  <c r="H134" i="23"/>
  <c r="D134" i="23"/>
  <c r="L134" i="23" s="1"/>
  <c r="K133" i="23"/>
  <c r="J133" i="23"/>
  <c r="J136" i="23" s="1"/>
  <c r="I133" i="23"/>
  <c r="H133" i="23"/>
  <c r="H136" i="23" s="1"/>
  <c r="D133" i="23"/>
  <c r="G131" i="23"/>
  <c r="F131" i="23"/>
  <c r="E131" i="23"/>
  <c r="C131" i="23"/>
  <c r="B131" i="23"/>
  <c r="A131" i="23"/>
  <c r="K130" i="23"/>
  <c r="J130" i="23"/>
  <c r="I130" i="23"/>
  <c r="H130" i="23"/>
  <c r="D130" i="23"/>
  <c r="L130" i="23" s="1"/>
  <c r="K129" i="23"/>
  <c r="J129" i="23"/>
  <c r="I129" i="23"/>
  <c r="H129" i="23"/>
  <c r="D129" i="23"/>
  <c r="K128" i="23"/>
  <c r="K131" i="23" s="1"/>
  <c r="J128" i="23"/>
  <c r="I128" i="23"/>
  <c r="I131" i="23" s="1"/>
  <c r="H128" i="23"/>
  <c r="D128" i="23"/>
  <c r="D131" i="23" s="1"/>
  <c r="G127" i="23"/>
  <c r="F127" i="23"/>
  <c r="E127" i="23"/>
  <c r="C127" i="23"/>
  <c r="B127" i="23"/>
  <c r="A127" i="23"/>
  <c r="K126" i="23"/>
  <c r="J126" i="23"/>
  <c r="I126" i="23"/>
  <c r="H126" i="23"/>
  <c r="D126" i="23"/>
  <c r="K125" i="23"/>
  <c r="J125" i="23"/>
  <c r="I125" i="23"/>
  <c r="H125" i="23"/>
  <c r="D125" i="23"/>
  <c r="L125" i="23" s="1"/>
  <c r="K124" i="23"/>
  <c r="J124" i="23"/>
  <c r="J127" i="23" s="1"/>
  <c r="I124" i="23"/>
  <c r="H124" i="23"/>
  <c r="H127" i="23" s="1"/>
  <c r="D124" i="23"/>
  <c r="G123" i="23"/>
  <c r="F123" i="23"/>
  <c r="E123" i="23"/>
  <c r="C123" i="23"/>
  <c r="B123" i="23"/>
  <c r="A123" i="23"/>
  <c r="K122" i="23"/>
  <c r="J122" i="23"/>
  <c r="I122" i="23"/>
  <c r="H122" i="23"/>
  <c r="D122" i="23"/>
  <c r="L122" i="23" s="1"/>
  <c r="K121" i="23"/>
  <c r="J121" i="23"/>
  <c r="I121" i="23"/>
  <c r="H121" i="23"/>
  <c r="D121" i="23"/>
  <c r="K120" i="23"/>
  <c r="K123" i="23" s="1"/>
  <c r="J120" i="23"/>
  <c r="I120" i="23"/>
  <c r="I123" i="23" s="1"/>
  <c r="H120" i="23"/>
  <c r="D120" i="23"/>
  <c r="D123" i="23" s="1"/>
  <c r="G119" i="23"/>
  <c r="F119" i="23"/>
  <c r="E119" i="23"/>
  <c r="C119" i="23"/>
  <c r="B119" i="23"/>
  <c r="A119" i="23"/>
  <c r="K118" i="23"/>
  <c r="J118" i="23"/>
  <c r="I118" i="23"/>
  <c r="H118" i="23"/>
  <c r="D118" i="23"/>
  <c r="K117" i="23"/>
  <c r="J117" i="23"/>
  <c r="I117" i="23"/>
  <c r="H117" i="23"/>
  <c r="D117" i="23"/>
  <c r="L117" i="23" s="1"/>
  <c r="K116" i="23"/>
  <c r="J116" i="23"/>
  <c r="J119" i="23" s="1"/>
  <c r="I116" i="23"/>
  <c r="H116" i="23"/>
  <c r="H119" i="23" s="1"/>
  <c r="D116" i="23"/>
  <c r="G114" i="23"/>
  <c r="F114" i="23"/>
  <c r="E114" i="23"/>
  <c r="C114" i="23"/>
  <c r="B114" i="23"/>
  <c r="A114" i="23"/>
  <c r="K113" i="23"/>
  <c r="J113" i="23"/>
  <c r="I113" i="23"/>
  <c r="H113" i="23"/>
  <c r="D113" i="23"/>
  <c r="L113" i="23" s="1"/>
  <c r="K112" i="23"/>
  <c r="J112" i="23"/>
  <c r="I112" i="23"/>
  <c r="H112" i="23"/>
  <c r="D112" i="23"/>
  <c r="K111" i="23"/>
  <c r="K114" i="23" s="1"/>
  <c r="J111" i="23"/>
  <c r="I111" i="23"/>
  <c r="I114" i="23" s="1"/>
  <c r="H111" i="23"/>
  <c r="D111" i="23"/>
  <c r="D114" i="23" s="1"/>
  <c r="G110" i="23"/>
  <c r="F110" i="23"/>
  <c r="E110" i="23"/>
  <c r="C110" i="23"/>
  <c r="B110" i="23"/>
  <c r="A110" i="23"/>
  <c r="K109" i="23"/>
  <c r="J109" i="23"/>
  <c r="I109" i="23"/>
  <c r="H109" i="23"/>
  <c r="D109" i="23"/>
  <c r="K108" i="23"/>
  <c r="J108" i="23"/>
  <c r="I108" i="23"/>
  <c r="H108" i="23"/>
  <c r="D108" i="23"/>
  <c r="L108" i="23" s="1"/>
  <c r="K107" i="23"/>
  <c r="J107" i="23"/>
  <c r="I107" i="23"/>
  <c r="H107" i="23"/>
  <c r="H110" i="23" s="1"/>
  <c r="D107" i="23"/>
  <c r="G106" i="23"/>
  <c r="F106" i="23"/>
  <c r="E106" i="23"/>
  <c r="C106" i="23"/>
  <c r="B106" i="23"/>
  <c r="A106" i="23"/>
  <c r="K105" i="23"/>
  <c r="J105" i="23"/>
  <c r="I105" i="23"/>
  <c r="H105" i="23"/>
  <c r="D105" i="23"/>
  <c r="L105" i="23" s="1"/>
  <c r="K104" i="23"/>
  <c r="J104" i="23"/>
  <c r="I104" i="23"/>
  <c r="H104" i="23"/>
  <c r="D104" i="23"/>
  <c r="K103" i="23"/>
  <c r="J103" i="23"/>
  <c r="I103" i="23"/>
  <c r="I106" i="23" s="1"/>
  <c r="H103" i="23"/>
  <c r="D103" i="23"/>
  <c r="G102" i="23"/>
  <c r="F102" i="23"/>
  <c r="E102" i="23"/>
  <c r="C102" i="23"/>
  <c r="B102" i="23"/>
  <c r="A102" i="23"/>
  <c r="K101" i="23"/>
  <c r="J101" i="23"/>
  <c r="I101" i="23"/>
  <c r="H101" i="23"/>
  <c r="L101" i="23" s="1"/>
  <c r="D101" i="23"/>
  <c r="K100" i="23"/>
  <c r="J100" i="23"/>
  <c r="I100" i="23"/>
  <c r="H100" i="23"/>
  <c r="D100" i="23"/>
  <c r="K99" i="23"/>
  <c r="J99" i="23"/>
  <c r="J102" i="23" s="1"/>
  <c r="I99" i="23"/>
  <c r="H99" i="23"/>
  <c r="D99" i="23"/>
  <c r="G97" i="23"/>
  <c r="F97" i="23"/>
  <c r="E97" i="23"/>
  <c r="C97" i="23"/>
  <c r="B97" i="23"/>
  <c r="A97" i="23"/>
  <c r="K96" i="23"/>
  <c r="J96" i="23"/>
  <c r="I96" i="23"/>
  <c r="H96" i="23"/>
  <c r="D96" i="23"/>
  <c r="L96" i="23" s="1"/>
  <c r="K95" i="23"/>
  <c r="J95" i="23"/>
  <c r="I95" i="23"/>
  <c r="H95" i="23"/>
  <c r="D95" i="23"/>
  <c r="K94" i="23"/>
  <c r="K97" i="23" s="1"/>
  <c r="J94" i="23"/>
  <c r="I94" i="23"/>
  <c r="H94" i="23"/>
  <c r="D94" i="23"/>
  <c r="D97" i="23" s="1"/>
  <c r="G93" i="23"/>
  <c r="F93" i="23"/>
  <c r="E93" i="23"/>
  <c r="C93" i="23"/>
  <c r="B93" i="23"/>
  <c r="A93" i="23"/>
  <c r="K92" i="23"/>
  <c r="J92" i="23"/>
  <c r="I92" i="23"/>
  <c r="H92" i="23"/>
  <c r="D92" i="23"/>
  <c r="K91" i="23"/>
  <c r="J91" i="23"/>
  <c r="I91" i="23"/>
  <c r="H91" i="23"/>
  <c r="D91" i="23"/>
  <c r="L91" i="23" s="1"/>
  <c r="K90" i="23"/>
  <c r="J90" i="23"/>
  <c r="I90" i="23"/>
  <c r="H90" i="23"/>
  <c r="H93" i="23" s="1"/>
  <c r="D90" i="23"/>
  <c r="G89" i="23"/>
  <c r="F89" i="23"/>
  <c r="E89" i="23"/>
  <c r="C89" i="23"/>
  <c r="B89" i="23"/>
  <c r="A89" i="23"/>
  <c r="K88" i="23"/>
  <c r="J88" i="23"/>
  <c r="I88" i="23"/>
  <c r="H88" i="23"/>
  <c r="D88" i="23"/>
  <c r="L88" i="23" s="1"/>
  <c r="K87" i="23"/>
  <c r="J87" i="23"/>
  <c r="I87" i="23"/>
  <c r="H87" i="23"/>
  <c r="D87" i="23"/>
  <c r="K86" i="23"/>
  <c r="J86" i="23"/>
  <c r="I86" i="23"/>
  <c r="I89" i="23" s="1"/>
  <c r="H86" i="23"/>
  <c r="D86" i="23"/>
  <c r="G85" i="23"/>
  <c r="F85" i="23"/>
  <c r="E85" i="23"/>
  <c r="C85" i="23"/>
  <c r="B85" i="23"/>
  <c r="A85" i="23"/>
  <c r="G83" i="23"/>
  <c r="F83" i="23"/>
  <c r="E83" i="23"/>
  <c r="C83" i="23"/>
  <c r="B83" i="23"/>
  <c r="A83" i="23"/>
  <c r="G82" i="23"/>
  <c r="F82" i="23"/>
  <c r="E82" i="23"/>
  <c r="C82" i="23"/>
  <c r="B82" i="23"/>
  <c r="A82" i="23"/>
  <c r="G81" i="23"/>
  <c r="F81" i="23"/>
  <c r="E81" i="23"/>
  <c r="C81" i="23"/>
  <c r="B81" i="23"/>
  <c r="A81" i="23"/>
  <c r="G80" i="23"/>
  <c r="F80" i="23"/>
  <c r="E80" i="23"/>
  <c r="C80" i="23"/>
  <c r="B80" i="23"/>
  <c r="A80" i="23"/>
  <c r="G79" i="23"/>
  <c r="F79" i="23"/>
  <c r="E79" i="23"/>
  <c r="C79" i="23"/>
  <c r="B79" i="23"/>
  <c r="A79" i="23"/>
  <c r="G78" i="23"/>
  <c r="F78" i="23"/>
  <c r="E78" i="23"/>
  <c r="C78" i="23"/>
  <c r="B78" i="23"/>
  <c r="A78" i="23"/>
  <c r="G77" i="23"/>
  <c r="F77" i="23"/>
  <c r="E77" i="23"/>
  <c r="C77" i="23"/>
  <c r="B77" i="23"/>
  <c r="A77" i="23"/>
  <c r="G76" i="23"/>
  <c r="F76" i="23"/>
  <c r="E76" i="23"/>
  <c r="C76" i="23"/>
  <c r="B76" i="23"/>
  <c r="A76" i="23"/>
  <c r="K75" i="23"/>
  <c r="J75" i="23"/>
  <c r="I75" i="23"/>
  <c r="H75" i="23"/>
  <c r="D75" i="23"/>
  <c r="K74" i="23"/>
  <c r="J74" i="23"/>
  <c r="I74" i="23"/>
  <c r="H74" i="23"/>
  <c r="D74" i="23"/>
  <c r="L74" i="23" s="1"/>
  <c r="K73" i="23"/>
  <c r="J73" i="23"/>
  <c r="J85" i="23" s="1"/>
  <c r="I73" i="23"/>
  <c r="H73" i="23"/>
  <c r="D73" i="23"/>
  <c r="D85" i="23" s="1"/>
  <c r="G71" i="23"/>
  <c r="F71" i="23"/>
  <c r="E71" i="23"/>
  <c r="C71" i="23"/>
  <c r="B71" i="23"/>
  <c r="A71" i="23"/>
  <c r="K70" i="23"/>
  <c r="J70" i="23"/>
  <c r="I70" i="23"/>
  <c r="H70" i="23"/>
  <c r="D70" i="23"/>
  <c r="L70" i="23" s="1"/>
  <c r="K69" i="23"/>
  <c r="J69" i="23"/>
  <c r="I69" i="23"/>
  <c r="H69" i="23"/>
  <c r="D69" i="23"/>
  <c r="K68" i="23"/>
  <c r="K71" i="23" s="1"/>
  <c r="J68" i="23"/>
  <c r="I68" i="23"/>
  <c r="H68" i="23"/>
  <c r="H71" i="23" s="1"/>
  <c r="D68" i="23"/>
  <c r="D71" i="23" s="1"/>
  <c r="G67" i="23"/>
  <c r="F67" i="23"/>
  <c r="E67" i="23"/>
  <c r="C67" i="23"/>
  <c r="B67" i="23"/>
  <c r="A67" i="23"/>
  <c r="K66" i="23"/>
  <c r="J66" i="23"/>
  <c r="I66" i="23"/>
  <c r="H66" i="23"/>
  <c r="D66" i="23"/>
  <c r="L66" i="23" s="1"/>
  <c r="K65" i="23"/>
  <c r="J65" i="23"/>
  <c r="I65" i="23"/>
  <c r="H65" i="23"/>
  <c r="D65" i="23"/>
  <c r="L65" i="23" s="1"/>
  <c r="K64" i="23"/>
  <c r="J64" i="23"/>
  <c r="I64" i="23"/>
  <c r="I67" i="23" s="1"/>
  <c r="H64" i="23"/>
  <c r="H67" i="23" s="1"/>
  <c r="D64" i="23"/>
  <c r="G63" i="23"/>
  <c r="F63" i="23"/>
  <c r="E63" i="23"/>
  <c r="C63" i="23"/>
  <c r="B63" i="23"/>
  <c r="A63" i="23"/>
  <c r="K62" i="23"/>
  <c r="J62" i="23"/>
  <c r="I62" i="23"/>
  <c r="H62" i="23"/>
  <c r="D62" i="23"/>
  <c r="L62" i="23" s="1"/>
  <c r="K61" i="23"/>
  <c r="J61" i="23"/>
  <c r="I61" i="23"/>
  <c r="H61" i="23"/>
  <c r="D61" i="23"/>
  <c r="K60" i="23"/>
  <c r="J60" i="23"/>
  <c r="J63" i="23" s="1"/>
  <c r="I60" i="23"/>
  <c r="I63" i="23" s="1"/>
  <c r="H60" i="23"/>
  <c r="D60" i="23"/>
  <c r="G59" i="23"/>
  <c r="F59" i="23"/>
  <c r="E59" i="23"/>
  <c r="C59" i="23"/>
  <c r="B59" i="23"/>
  <c r="A59" i="23"/>
  <c r="K58" i="23"/>
  <c r="J58" i="23"/>
  <c r="I58" i="23"/>
  <c r="H58" i="23"/>
  <c r="D58" i="23"/>
  <c r="K57" i="23"/>
  <c r="J57" i="23"/>
  <c r="I57" i="23"/>
  <c r="H57" i="23"/>
  <c r="D57" i="23"/>
  <c r="L57" i="23" s="1"/>
  <c r="K56" i="23"/>
  <c r="K59" i="23" s="1"/>
  <c r="J56" i="23"/>
  <c r="J59" i="23" s="1"/>
  <c r="I56" i="23"/>
  <c r="H56" i="23"/>
  <c r="D56" i="23"/>
  <c r="D59" i="23" s="1"/>
  <c r="G54" i="23"/>
  <c r="F54" i="23"/>
  <c r="E54" i="23"/>
  <c r="C54" i="23"/>
  <c r="B54" i="23"/>
  <c r="A54" i="23"/>
  <c r="K53" i="23"/>
  <c r="J53" i="23"/>
  <c r="I53" i="23"/>
  <c r="H53" i="23"/>
  <c r="D53" i="23"/>
  <c r="L53" i="23" s="1"/>
  <c r="K52" i="23"/>
  <c r="J52" i="23"/>
  <c r="I52" i="23"/>
  <c r="H52" i="23"/>
  <c r="D52" i="23"/>
  <c r="L52" i="23" s="1"/>
  <c r="K51" i="23"/>
  <c r="K54" i="23" s="1"/>
  <c r="J51" i="23"/>
  <c r="I51" i="23"/>
  <c r="H51" i="23"/>
  <c r="H54" i="23" s="1"/>
  <c r="D51" i="23"/>
  <c r="D54" i="23" s="1"/>
  <c r="G50" i="23"/>
  <c r="F50" i="23"/>
  <c r="E50" i="23"/>
  <c r="C50" i="23"/>
  <c r="B50" i="23"/>
  <c r="A50" i="23"/>
  <c r="K49" i="23"/>
  <c r="J49" i="23"/>
  <c r="I49" i="23"/>
  <c r="H49" i="23"/>
  <c r="D49" i="23"/>
  <c r="L49" i="23" s="1"/>
  <c r="K48" i="23"/>
  <c r="J48" i="23"/>
  <c r="I48" i="23"/>
  <c r="H48" i="23"/>
  <c r="D48" i="23"/>
  <c r="L48" i="23" s="1"/>
  <c r="K47" i="23"/>
  <c r="J47" i="23"/>
  <c r="I47" i="23"/>
  <c r="I50" i="23" s="1"/>
  <c r="H47" i="23"/>
  <c r="H50" i="23" s="1"/>
  <c r="D47" i="23"/>
  <c r="G46" i="23"/>
  <c r="F46" i="23"/>
  <c r="E46" i="23"/>
  <c r="C46" i="23"/>
  <c r="B46" i="23"/>
  <c r="A46" i="23"/>
  <c r="K45" i="23"/>
  <c r="J45" i="23"/>
  <c r="I45" i="23"/>
  <c r="H45" i="23"/>
  <c r="D45" i="23"/>
  <c r="L45" i="23" s="1"/>
  <c r="K44" i="23"/>
  <c r="J44" i="23"/>
  <c r="I44" i="23"/>
  <c r="H44" i="23"/>
  <c r="D44" i="23"/>
  <c r="K43" i="23"/>
  <c r="J43" i="23"/>
  <c r="J46" i="23" s="1"/>
  <c r="I43" i="23"/>
  <c r="I46" i="23" s="1"/>
  <c r="H43" i="23"/>
  <c r="D43" i="23"/>
  <c r="G42" i="23"/>
  <c r="F42" i="23"/>
  <c r="E42" i="23"/>
  <c r="C42" i="23"/>
  <c r="B42" i="23"/>
  <c r="A42" i="23"/>
  <c r="K41" i="23"/>
  <c r="J41" i="23"/>
  <c r="I41" i="23"/>
  <c r="H41" i="23"/>
  <c r="D41" i="23"/>
  <c r="K40" i="23"/>
  <c r="J40" i="23"/>
  <c r="I40" i="23"/>
  <c r="H40" i="23"/>
  <c r="D40" i="23"/>
  <c r="K39" i="23"/>
  <c r="K42" i="23" s="1"/>
  <c r="J39" i="23"/>
  <c r="J42" i="23" s="1"/>
  <c r="I39" i="23"/>
  <c r="H39" i="23"/>
  <c r="D39" i="23"/>
  <c r="D42" i="23" s="1"/>
  <c r="G37" i="23"/>
  <c r="F37" i="23"/>
  <c r="E37" i="23"/>
  <c r="C37" i="23"/>
  <c r="B37" i="23"/>
  <c r="A37" i="23"/>
  <c r="K36" i="23"/>
  <c r="J36" i="23"/>
  <c r="I36" i="23"/>
  <c r="I16" i="23" s="1"/>
  <c r="H36" i="23"/>
  <c r="D36" i="23"/>
  <c r="L36" i="23" s="1"/>
  <c r="K35" i="23"/>
  <c r="J35" i="23"/>
  <c r="I35" i="23"/>
  <c r="H35" i="23"/>
  <c r="D35" i="23"/>
  <c r="L35" i="23" s="1"/>
  <c r="K34" i="23"/>
  <c r="J34" i="23"/>
  <c r="I34" i="23"/>
  <c r="H34" i="23"/>
  <c r="D34" i="23"/>
  <c r="G31" i="23"/>
  <c r="F31" i="23"/>
  <c r="E31" i="23"/>
  <c r="C31" i="23"/>
  <c r="B31" i="23"/>
  <c r="A31" i="23"/>
  <c r="G30" i="23"/>
  <c r="F30" i="23"/>
  <c r="E30" i="23"/>
  <c r="C30" i="23"/>
  <c r="B30" i="23"/>
  <c r="A30" i="23"/>
  <c r="G29" i="23"/>
  <c r="F29" i="23"/>
  <c r="E29" i="23"/>
  <c r="C29" i="23"/>
  <c r="B29" i="23"/>
  <c r="A29" i="23"/>
  <c r="K26" i="23"/>
  <c r="J26" i="23"/>
  <c r="I26" i="23"/>
  <c r="H26" i="23"/>
  <c r="D26" i="23"/>
  <c r="L25" i="23"/>
  <c r="K25" i="23"/>
  <c r="J25" i="23"/>
  <c r="I25" i="23"/>
  <c r="K22" i="23"/>
  <c r="K14" i="23" s="1"/>
  <c r="J22" i="23"/>
  <c r="I22" i="23"/>
  <c r="H22" i="23"/>
  <c r="D22" i="23"/>
  <c r="K21" i="23"/>
  <c r="J21" i="23"/>
  <c r="I21" i="23"/>
  <c r="L21" i="23" s="1"/>
  <c r="H21" i="23"/>
  <c r="H14" i="23" s="1"/>
  <c r="D21" i="23"/>
  <c r="K20" i="23"/>
  <c r="J20" i="23"/>
  <c r="I20" i="23"/>
  <c r="L20" i="23" s="1"/>
  <c r="H20" i="23"/>
  <c r="D20" i="23"/>
  <c r="D14" i="23" s="1"/>
  <c r="G18" i="23"/>
  <c r="F18" i="23"/>
  <c r="E18" i="23"/>
  <c r="C18" i="23"/>
  <c r="B18" i="23"/>
  <c r="A18" i="23"/>
  <c r="G17" i="23"/>
  <c r="F17" i="23"/>
  <c r="E17" i="23"/>
  <c r="C17" i="23"/>
  <c r="B17" i="23"/>
  <c r="A17" i="23"/>
  <c r="K16" i="23"/>
  <c r="J16" i="23"/>
  <c r="H16" i="23"/>
  <c r="G16" i="23"/>
  <c r="F16" i="23"/>
  <c r="E16" i="23"/>
  <c r="D16" i="23"/>
  <c r="C16" i="23"/>
  <c r="B16" i="23"/>
  <c r="A16" i="23"/>
  <c r="J14" i="23"/>
  <c r="I14" i="23"/>
  <c r="G14" i="23"/>
  <c r="F14" i="23"/>
  <c r="E14" i="23"/>
  <c r="C14" i="23"/>
  <c r="B14" i="23"/>
  <c r="A14" i="23"/>
  <c r="K13" i="23"/>
  <c r="L11" i="23"/>
  <c r="H11" i="23"/>
  <c r="D11" i="23"/>
  <c r="L10" i="23"/>
  <c r="H10" i="23"/>
  <c r="D10" i="23"/>
  <c r="L9" i="23"/>
  <c r="H9" i="23"/>
  <c r="D9" i="23"/>
  <c r="E79" i="24" l="1"/>
  <c r="C83" i="24"/>
  <c r="E83" i="24"/>
  <c r="L34" i="23"/>
  <c r="L16" i="23" s="1"/>
  <c r="L69" i="23"/>
  <c r="K85" i="23"/>
  <c r="K29" i="23" s="1"/>
  <c r="J89" i="23"/>
  <c r="J29" i="23" s="1"/>
  <c r="I93" i="23"/>
  <c r="L92" i="23"/>
  <c r="H97" i="23"/>
  <c r="L22" i="23"/>
  <c r="L26" i="23"/>
  <c r="H42" i="23"/>
  <c r="D46" i="23"/>
  <c r="D17" i="23" s="1"/>
  <c r="K46" i="23"/>
  <c r="K17" i="23" s="1"/>
  <c r="J50" i="23"/>
  <c r="I54" i="23"/>
  <c r="H59" i="23"/>
  <c r="D63" i="23"/>
  <c r="D18" i="23" s="1"/>
  <c r="K63" i="23"/>
  <c r="J67" i="23"/>
  <c r="J18" i="23" s="1"/>
  <c r="I71" i="23"/>
  <c r="H85" i="23"/>
  <c r="D89" i="23"/>
  <c r="K89" i="23"/>
  <c r="J93" i="23"/>
  <c r="I97" i="23"/>
  <c r="H102" i="23"/>
  <c r="D106" i="23"/>
  <c r="K106" i="23"/>
  <c r="J110" i="23"/>
  <c r="I42" i="23"/>
  <c r="L40" i="23"/>
  <c r="L41" i="23"/>
  <c r="H46" i="23"/>
  <c r="L44" i="23"/>
  <c r="D50" i="23"/>
  <c r="K50" i="23"/>
  <c r="J54" i="23"/>
  <c r="I59" i="23"/>
  <c r="L58" i="23"/>
  <c r="H63" i="23"/>
  <c r="L61" i="23"/>
  <c r="D67" i="23"/>
  <c r="K67" i="23"/>
  <c r="K18" i="23" s="1"/>
  <c r="J71" i="23"/>
  <c r="I85" i="23"/>
  <c r="I29" i="23" s="1"/>
  <c r="L75" i="23"/>
  <c r="H89" i="23"/>
  <c r="L87" i="23"/>
  <c r="D93" i="23"/>
  <c r="D29" i="23" s="1"/>
  <c r="K93" i="23"/>
  <c r="J97" i="23"/>
  <c r="I102" i="23"/>
  <c r="L100" i="23"/>
  <c r="H106" i="23"/>
  <c r="L104" i="23"/>
  <c r="D110" i="23"/>
  <c r="K110" i="23"/>
  <c r="J114" i="23"/>
  <c r="I119" i="23"/>
  <c r="I31" i="23" s="1"/>
  <c r="L118" i="23"/>
  <c r="H123" i="23"/>
  <c r="L121" i="23"/>
  <c r="D127" i="23"/>
  <c r="K127" i="23"/>
  <c r="J131" i="23"/>
  <c r="I136" i="23"/>
  <c r="L135" i="23"/>
  <c r="H140" i="23"/>
  <c r="L138" i="23"/>
  <c r="L152" i="23"/>
  <c r="L155" i="23"/>
  <c r="L169" i="23"/>
  <c r="L172" i="23"/>
  <c r="L186" i="23"/>
  <c r="L189" i="23"/>
  <c r="L223" i="23"/>
  <c r="L237" i="23"/>
  <c r="L240" i="23"/>
  <c r="L257" i="23"/>
  <c r="L271" i="23"/>
  <c r="L274" i="23"/>
  <c r="F272" i="24"/>
  <c r="D165" i="23"/>
  <c r="K165" i="23"/>
  <c r="J170" i="23"/>
  <c r="I174" i="23"/>
  <c r="I77" i="23" s="1"/>
  <c r="H178" i="23"/>
  <c r="D182" i="23"/>
  <c r="K182" i="23"/>
  <c r="J187" i="23"/>
  <c r="I191" i="23"/>
  <c r="H195" i="23"/>
  <c r="D199" i="23"/>
  <c r="K199" i="23"/>
  <c r="J204" i="23"/>
  <c r="I208" i="23"/>
  <c r="H212" i="23"/>
  <c r="D216" i="23"/>
  <c r="K216" i="23"/>
  <c r="J221" i="23"/>
  <c r="I225" i="23"/>
  <c r="H229" i="23"/>
  <c r="D233" i="23"/>
  <c r="K233" i="23"/>
  <c r="J238" i="23"/>
  <c r="I242" i="23"/>
  <c r="I81" i="23" s="1"/>
  <c r="H246" i="23"/>
  <c r="D250" i="23"/>
  <c r="K250" i="23"/>
  <c r="J255" i="23"/>
  <c r="I259" i="23"/>
  <c r="H263" i="23"/>
  <c r="L261" i="23"/>
  <c r="D267" i="23"/>
  <c r="K267" i="23"/>
  <c r="J272" i="23"/>
  <c r="I276" i="23"/>
  <c r="H280" i="23"/>
  <c r="H83" i="23" s="1"/>
  <c r="D284" i="23"/>
  <c r="K284" i="23"/>
  <c r="L95" i="23"/>
  <c r="D102" i="23"/>
  <c r="D30" i="23" s="1"/>
  <c r="K102" i="23"/>
  <c r="K30" i="23" s="1"/>
  <c r="J106" i="23"/>
  <c r="J30" i="23" s="1"/>
  <c r="I110" i="23"/>
  <c r="L109" i="23"/>
  <c r="H114" i="23"/>
  <c r="L112" i="23"/>
  <c r="D119" i="23"/>
  <c r="D31" i="23" s="1"/>
  <c r="K119" i="23"/>
  <c r="K31" i="23" s="1"/>
  <c r="J123" i="23"/>
  <c r="J31" i="23" s="1"/>
  <c r="I127" i="23"/>
  <c r="L126" i="23"/>
  <c r="H131" i="23"/>
  <c r="H31" i="23" s="1"/>
  <c r="L129" i="23"/>
  <c r="K136" i="23"/>
  <c r="K37" i="23" s="1"/>
  <c r="J140" i="23"/>
  <c r="J37" i="23" s="1"/>
  <c r="I144" i="23"/>
  <c r="L143" i="23"/>
  <c r="H148" i="23"/>
  <c r="L146" i="23"/>
  <c r="D153" i="23"/>
  <c r="D76" i="23" s="1"/>
  <c r="K153" i="23"/>
  <c r="K76" i="23" s="1"/>
  <c r="J157" i="23"/>
  <c r="J76" i="23" s="1"/>
  <c r="I161" i="23"/>
  <c r="I76" i="23" s="1"/>
  <c r="L160" i="23"/>
  <c r="H165" i="23"/>
  <c r="H76" i="23" s="1"/>
  <c r="L163" i="23"/>
  <c r="D170" i="23"/>
  <c r="D77" i="23" s="1"/>
  <c r="K170" i="23"/>
  <c r="K77" i="23" s="1"/>
  <c r="J174" i="23"/>
  <c r="I178" i="23"/>
  <c r="L177" i="23"/>
  <c r="H182" i="23"/>
  <c r="L180" i="23"/>
  <c r="D187" i="23"/>
  <c r="D78" i="23" s="1"/>
  <c r="K187" i="23"/>
  <c r="K78" i="23" s="1"/>
  <c r="J191" i="23"/>
  <c r="I195" i="23"/>
  <c r="L194" i="23"/>
  <c r="H199" i="23"/>
  <c r="L197" i="23"/>
  <c r="D204" i="23"/>
  <c r="D79" i="23" s="1"/>
  <c r="K204" i="23"/>
  <c r="K79" i="23" s="1"/>
  <c r="J208" i="23"/>
  <c r="I212" i="23"/>
  <c r="L211" i="23"/>
  <c r="H216" i="23"/>
  <c r="L214" i="23"/>
  <c r="D221" i="23"/>
  <c r="D80" i="23" s="1"/>
  <c r="K221" i="23"/>
  <c r="K80" i="23" s="1"/>
  <c r="J225" i="23"/>
  <c r="I229" i="23"/>
  <c r="L228" i="23"/>
  <c r="H233" i="23"/>
  <c r="L231" i="23"/>
  <c r="D238" i="23"/>
  <c r="D81" i="23" s="1"/>
  <c r="K238" i="23"/>
  <c r="K81" i="23" s="1"/>
  <c r="J242" i="23"/>
  <c r="I246" i="23"/>
  <c r="L245" i="23"/>
  <c r="H250" i="23"/>
  <c r="L248" i="23"/>
  <c r="D255" i="23"/>
  <c r="K255" i="23"/>
  <c r="K82" i="23" s="1"/>
  <c r="J259" i="23"/>
  <c r="I263" i="23"/>
  <c r="L262" i="23"/>
  <c r="H267" i="23"/>
  <c r="L265" i="23"/>
  <c r="D272" i="23"/>
  <c r="D83" i="23" s="1"/>
  <c r="K272" i="23"/>
  <c r="K83" i="23" s="1"/>
  <c r="J276" i="23"/>
  <c r="I280" i="23"/>
  <c r="L279" i="23"/>
  <c r="H284" i="23"/>
  <c r="L282" i="23"/>
  <c r="A83" i="24"/>
  <c r="F42" i="24"/>
  <c r="F46" i="24"/>
  <c r="F50" i="24"/>
  <c r="F54" i="24"/>
  <c r="F63" i="24"/>
  <c r="F67" i="24"/>
  <c r="F71" i="24"/>
  <c r="F89" i="24"/>
  <c r="F93" i="24"/>
  <c r="F97" i="24"/>
  <c r="F102" i="24"/>
  <c r="F106" i="24"/>
  <c r="F110" i="24"/>
  <c r="F114" i="24"/>
  <c r="F119" i="24"/>
  <c r="F123" i="24"/>
  <c r="F127" i="24"/>
  <c r="F131" i="24"/>
  <c r="F136" i="24"/>
  <c r="F140" i="24"/>
  <c r="F144" i="24"/>
  <c r="F148" i="24"/>
  <c r="F153" i="24"/>
  <c r="F157" i="24"/>
  <c r="F161" i="24"/>
  <c r="F165" i="24"/>
  <c r="F170" i="24"/>
  <c r="F174" i="24"/>
  <c r="F178" i="24"/>
  <c r="F182" i="24"/>
  <c r="F187" i="24"/>
  <c r="F191" i="24"/>
  <c r="F195" i="24"/>
  <c r="F199" i="24"/>
  <c r="F204" i="24"/>
  <c r="F208" i="24"/>
  <c r="F212" i="24"/>
  <c r="F216" i="24"/>
  <c r="F221" i="24"/>
  <c r="F225" i="24"/>
  <c r="F229" i="24"/>
  <c r="F233" i="24"/>
  <c r="F238" i="24"/>
  <c r="F242" i="24"/>
  <c r="F246" i="24"/>
  <c r="F250" i="24"/>
  <c r="F255" i="24"/>
  <c r="F259" i="24"/>
  <c r="F263" i="24"/>
  <c r="F267" i="24"/>
  <c r="F276" i="24"/>
  <c r="F85" i="24"/>
  <c r="F59" i="24"/>
  <c r="F18" i="24" s="1"/>
  <c r="F16" i="24"/>
  <c r="L14" i="23"/>
  <c r="J17" i="23"/>
  <c r="L39" i="23"/>
  <c r="L42" i="23" s="1"/>
  <c r="L43" i="23"/>
  <c r="L46" i="23" s="1"/>
  <c r="L47" i="23"/>
  <c r="L50" i="23" s="1"/>
  <c r="L51" i="23"/>
  <c r="L54" i="23" s="1"/>
  <c r="L56" i="23"/>
  <c r="L59" i="23" s="1"/>
  <c r="L60" i="23"/>
  <c r="L63" i="23" s="1"/>
  <c r="L64" i="23"/>
  <c r="L67" i="23" s="1"/>
  <c r="L68" i="23"/>
  <c r="L71" i="23" s="1"/>
  <c r="L73" i="23"/>
  <c r="L85" i="23" s="1"/>
  <c r="L86" i="23"/>
  <c r="L89" i="23" s="1"/>
  <c r="L90" i="23"/>
  <c r="L93" i="23" s="1"/>
  <c r="L94" i="23"/>
  <c r="L97" i="23" s="1"/>
  <c r="L99" i="23"/>
  <c r="L102" i="23" s="1"/>
  <c r="L103" i="23"/>
  <c r="L106" i="23" s="1"/>
  <c r="L107" i="23"/>
  <c r="L110" i="23" s="1"/>
  <c r="L111" i="23"/>
  <c r="L114" i="23" s="1"/>
  <c r="L116" i="23"/>
  <c r="L119" i="23" s="1"/>
  <c r="L120" i="23"/>
  <c r="L123" i="23" s="1"/>
  <c r="L124" i="23"/>
  <c r="L127" i="23" s="1"/>
  <c r="L128" i="23"/>
  <c r="L131" i="23" s="1"/>
  <c r="D136" i="23"/>
  <c r="D37" i="23" s="1"/>
  <c r="L133" i="23"/>
  <c r="L136" i="23" s="1"/>
  <c r="L137" i="23"/>
  <c r="L140" i="23" s="1"/>
  <c r="L141" i="23"/>
  <c r="L144" i="23" s="1"/>
  <c r="L145" i="23"/>
  <c r="L148" i="23" s="1"/>
  <c r="L150" i="23"/>
  <c r="L153" i="23" s="1"/>
  <c r="L154" i="23"/>
  <c r="L157" i="23" s="1"/>
  <c r="L158" i="23"/>
  <c r="L161" i="23" s="1"/>
  <c r="L162" i="23"/>
  <c r="L165" i="23" s="1"/>
  <c r="L167" i="23"/>
  <c r="L170" i="23" s="1"/>
  <c r="L171" i="23"/>
  <c r="L174" i="23" s="1"/>
  <c r="L175" i="23"/>
  <c r="L178" i="23" s="1"/>
  <c r="L179" i="23"/>
  <c r="L182" i="23" s="1"/>
  <c r="L184" i="23"/>
  <c r="L187" i="23" s="1"/>
  <c r="L188" i="23"/>
  <c r="L191" i="23" s="1"/>
  <c r="L192" i="23"/>
  <c r="L195" i="23" s="1"/>
  <c r="L196" i="23"/>
  <c r="L199" i="23" s="1"/>
  <c r="L201" i="23"/>
  <c r="L204" i="23" s="1"/>
  <c r="L205" i="23"/>
  <c r="L208" i="23" s="1"/>
  <c r="L209" i="23"/>
  <c r="L212" i="23" s="1"/>
  <c r="L213" i="23"/>
  <c r="L216" i="23" s="1"/>
  <c r="L218" i="23"/>
  <c r="L221" i="23" s="1"/>
  <c r="L222" i="23"/>
  <c r="L225" i="23" s="1"/>
  <c r="L226" i="23"/>
  <c r="L229" i="23" s="1"/>
  <c r="L230" i="23"/>
  <c r="L233" i="23" s="1"/>
  <c r="L235" i="23"/>
  <c r="L238" i="23" s="1"/>
  <c r="L239" i="23"/>
  <c r="L242" i="23" s="1"/>
  <c r="L243" i="23"/>
  <c r="L246" i="23" s="1"/>
  <c r="L247" i="23"/>
  <c r="L250" i="23" s="1"/>
  <c r="L252" i="23"/>
  <c r="L255" i="23" s="1"/>
  <c r="L256" i="23"/>
  <c r="L259" i="23" s="1"/>
  <c r="L260" i="23"/>
  <c r="L263" i="23" s="1"/>
  <c r="L264" i="23"/>
  <c r="L267" i="23" s="1"/>
  <c r="L269" i="23"/>
  <c r="L272" i="23" s="1"/>
  <c r="L273" i="23"/>
  <c r="L276" i="23" s="1"/>
  <c r="L277" i="23"/>
  <c r="L280" i="23" s="1"/>
  <c r="L281" i="23"/>
  <c r="L284" i="23" s="1"/>
  <c r="I82" i="23" l="1"/>
  <c r="H81" i="23"/>
  <c r="J79" i="23"/>
  <c r="I78" i="23"/>
  <c r="H77" i="23"/>
  <c r="H37" i="23"/>
  <c r="H29" i="23"/>
  <c r="J82" i="23"/>
  <c r="H80" i="23"/>
  <c r="J78" i="23"/>
  <c r="I30" i="23"/>
  <c r="H18" i="23"/>
  <c r="I83" i="23"/>
  <c r="J81" i="23"/>
  <c r="I80" i="23"/>
  <c r="H79" i="23"/>
  <c r="J77" i="23"/>
  <c r="F83" i="24"/>
  <c r="I37" i="23"/>
  <c r="H17" i="23"/>
  <c r="D82" i="23"/>
  <c r="J83" i="23"/>
  <c r="H82" i="23"/>
  <c r="J80" i="23"/>
  <c r="I79" i="23"/>
  <c r="H78" i="23"/>
  <c r="I18" i="23"/>
  <c r="I17" i="23"/>
  <c r="H30" i="23"/>
  <c r="F29" i="24"/>
  <c r="F82" i="24"/>
  <c r="F81" i="24"/>
  <c r="F80" i="24"/>
  <c r="F79" i="24"/>
  <c r="F78" i="24"/>
  <c r="F77" i="24"/>
  <c r="F76" i="24"/>
  <c r="F37" i="24"/>
  <c r="F31" i="24"/>
  <c r="F30" i="24"/>
  <c r="F17" i="24"/>
  <c r="L31" i="23"/>
  <c r="L30" i="23"/>
  <c r="L29" i="23"/>
  <c r="L18" i="23"/>
  <c r="L17" i="23"/>
  <c r="L83" i="23"/>
  <c r="L82" i="23"/>
  <c r="L81" i="23"/>
  <c r="L80" i="23"/>
  <c r="L79" i="23"/>
  <c r="L78" i="23"/>
  <c r="L77" i="23"/>
  <c r="L76" i="23"/>
  <c r="L37" i="23"/>
  <c r="G74" i="18" l="1"/>
  <c r="G73" i="18" l="1"/>
  <c r="B93" i="18" l="1"/>
  <c r="D93" i="18"/>
  <c r="F93" i="18"/>
  <c r="G72" i="18"/>
  <c r="G71" i="18" l="1"/>
  <c r="G70" i="18" l="1"/>
  <c r="B92" i="18" l="1"/>
  <c r="G69" i="18"/>
  <c r="G93" i="18" s="1"/>
  <c r="D92" i="18" l="1"/>
  <c r="F92" i="18" l="1"/>
  <c r="G67" i="18" l="1"/>
  <c r="G66" i="18" l="1"/>
  <c r="G65" i="18"/>
  <c r="G92" i="18" l="1"/>
  <c r="D91" i="18" l="1"/>
  <c r="F91" i="18"/>
  <c r="B91" i="18"/>
  <c r="G64" i="18"/>
  <c r="G63" i="18" l="1"/>
  <c r="G62" i="18" l="1"/>
  <c r="F90" i="18" l="1"/>
  <c r="D90" i="18"/>
  <c r="B90" i="18"/>
  <c r="G90" i="18" s="1"/>
  <c r="F89" i="18"/>
  <c r="D89" i="18"/>
  <c r="B89" i="18"/>
  <c r="F88" i="18"/>
  <c r="D88" i="18"/>
  <c r="B88" i="18"/>
  <c r="F87" i="18"/>
  <c r="D87" i="18"/>
  <c r="B87" i="18"/>
  <c r="G87" i="18" s="1"/>
  <c r="F86" i="18"/>
  <c r="B86" i="18"/>
  <c r="F85" i="18"/>
  <c r="D85" i="18"/>
  <c r="B85" i="18"/>
  <c r="F84" i="18"/>
  <c r="D84" i="18"/>
  <c r="B84" i="18"/>
  <c r="F83" i="18"/>
  <c r="D83" i="18"/>
  <c r="B83" i="18"/>
  <c r="F82" i="18"/>
  <c r="D82" i="18"/>
  <c r="B82" i="18"/>
  <c r="F81" i="18"/>
  <c r="D81" i="18"/>
  <c r="B81" i="18"/>
  <c r="G61" i="18"/>
  <c r="G91" i="18" s="1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E26" i="13"/>
  <c r="C26" i="13"/>
  <c r="A26" i="13"/>
  <c r="F25" i="13"/>
  <c r="E25" i="13"/>
  <c r="C25" i="13"/>
  <c r="A25" i="13"/>
  <c r="E22" i="13"/>
  <c r="C22" i="13"/>
  <c r="A22" i="13"/>
  <c r="E21" i="13"/>
  <c r="C21" i="13"/>
  <c r="A21" i="13"/>
  <c r="F21" i="13" s="1"/>
  <c r="E20" i="13"/>
  <c r="C20" i="13"/>
  <c r="C14" i="13" s="1"/>
  <c r="A20" i="13"/>
  <c r="F20" i="13" s="1"/>
  <c r="E13" i="13"/>
  <c r="F11" i="13"/>
  <c r="F10" i="13"/>
  <c r="F9" i="13"/>
  <c r="I32" i="14"/>
  <c r="H32" i="14"/>
  <c r="I31" i="14"/>
  <c r="H31" i="14"/>
  <c r="I30" i="14"/>
  <c r="H30" i="14"/>
  <c r="I29" i="14"/>
  <c r="H29" i="14"/>
  <c r="I23" i="14"/>
  <c r="H23" i="14"/>
  <c r="I22" i="14"/>
  <c r="H22" i="14"/>
  <c r="I21" i="14"/>
  <c r="H21" i="14"/>
  <c r="I20" i="14"/>
  <c r="H20" i="14"/>
  <c r="I11" i="14"/>
  <c r="H11" i="14"/>
  <c r="I10" i="14"/>
  <c r="H10" i="14"/>
  <c r="I9" i="14"/>
  <c r="H9" i="14"/>
  <c r="I8" i="14"/>
  <c r="H8" i="14"/>
  <c r="AU37" i="5"/>
  <c r="AU36" i="5"/>
  <c r="AU35" i="5"/>
  <c r="AU34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U32" i="5"/>
  <c r="AU31" i="5"/>
  <c r="AU30" i="5"/>
  <c r="AU29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U27" i="5"/>
  <c r="AU26" i="5"/>
  <c r="AU25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V20" i="5" s="1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V19" i="5" s="1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T17" i="5"/>
  <c r="S17" i="5"/>
  <c r="R17" i="5"/>
  <c r="Q17" i="5"/>
  <c r="P17" i="5"/>
  <c r="O17" i="5"/>
  <c r="N17" i="5"/>
  <c r="V17" i="5" s="1"/>
  <c r="M17" i="5"/>
  <c r="L17" i="5"/>
  <c r="K17" i="5"/>
  <c r="J17" i="5"/>
  <c r="I17" i="5"/>
  <c r="H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T15" i="5"/>
  <c r="S15" i="5"/>
  <c r="R15" i="5"/>
  <c r="Q15" i="5"/>
  <c r="P15" i="5"/>
  <c r="O15" i="5"/>
  <c r="N15" i="5"/>
  <c r="V15" i="5" s="1"/>
  <c r="M15" i="5"/>
  <c r="L15" i="5"/>
  <c r="K15" i="5"/>
  <c r="J15" i="5"/>
  <c r="I15" i="5"/>
  <c r="H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V12" i="5" s="1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V10" i="5" s="1"/>
  <c r="Z9" i="5"/>
  <c r="Y9" i="5"/>
  <c r="X9" i="5"/>
  <c r="T9" i="5"/>
  <c r="S9" i="5"/>
  <c r="R9" i="5"/>
  <c r="Q9" i="5"/>
  <c r="P9" i="5"/>
  <c r="O9" i="5"/>
  <c r="N9" i="5"/>
  <c r="M9" i="5"/>
  <c r="L9" i="5"/>
  <c r="K9" i="5"/>
  <c r="J9" i="5"/>
  <c r="I9" i="5"/>
  <c r="H9" i="5"/>
  <c r="V9" i="5" s="1"/>
  <c r="Z8" i="5"/>
  <c r="Y8" i="5"/>
  <c r="X8" i="5"/>
  <c r="S8" i="5"/>
  <c r="R8" i="5"/>
  <c r="Q8" i="5"/>
  <c r="P8" i="5"/>
  <c r="O8" i="5"/>
  <c r="N8" i="5"/>
  <c r="V8" i="5" s="1"/>
  <c r="M8" i="5"/>
  <c r="L8" i="5"/>
  <c r="K8" i="5"/>
  <c r="J8" i="5"/>
  <c r="I8" i="5"/>
  <c r="H8" i="5"/>
  <c r="Y7" i="5"/>
  <c r="X7" i="5"/>
  <c r="V7" i="5"/>
  <c r="T3" i="5"/>
  <c r="N3" i="5"/>
  <c r="H3" i="5"/>
  <c r="G83" i="18" l="1"/>
  <c r="G84" i="18"/>
  <c r="Z7" i="5"/>
  <c r="V14" i="5"/>
  <c r="V13" i="5"/>
  <c r="V18" i="5"/>
  <c r="G82" i="18"/>
  <c r="G81" i="18"/>
  <c r="G85" i="18"/>
  <c r="G88" i="18"/>
  <c r="G89" i="18"/>
  <c r="E14" i="13"/>
  <c r="F26" i="13"/>
  <c r="F22" i="13"/>
  <c r="F14" i="13" s="1"/>
  <c r="A16" i="13"/>
  <c r="D42" i="18"/>
  <c r="D86" i="18" s="1"/>
  <c r="G86" i="18" s="1"/>
  <c r="F16" i="13"/>
  <c r="C16" i="13"/>
  <c r="E17" i="13"/>
  <c r="C17" i="13"/>
  <c r="E16" i="13"/>
  <c r="A14" i="13"/>
  <c r="C18" i="13" l="1"/>
  <c r="E18" i="13"/>
  <c r="G42" i="18"/>
  <c r="F18" i="13"/>
  <c r="A18" i="13"/>
  <c r="A17" i="13"/>
  <c r="F17" i="13"/>
</calcChain>
</file>

<file path=xl/sharedStrings.xml><?xml version="1.0" encoding="utf-8"?>
<sst xmlns="http://schemas.openxmlformats.org/spreadsheetml/2006/main" count="1239" uniqueCount="175">
  <si>
    <t>תנועת מטענים בטונות(מכולות גם ב-TEU)- חתך נמלים</t>
  </si>
  <si>
    <t>נמל</t>
  </si>
  <si>
    <t>רבעון 1</t>
  </si>
  <si>
    <t>רבעון 2</t>
  </si>
  <si>
    <t>רבעון 3</t>
  </si>
  <si>
    <t>רבעון 4</t>
  </si>
  <si>
    <t>שנתי</t>
  </si>
  <si>
    <t>Q4- 2005</t>
  </si>
  <si>
    <t>Q3- 2005</t>
  </si>
  <si>
    <t>Q1- 2003</t>
  </si>
  <si>
    <t>Q2- 2005</t>
  </si>
  <si>
    <t>Q2- 2003</t>
  </si>
  <si>
    <t>Q1- 2005</t>
  </si>
  <si>
    <t>Q3- 2003</t>
  </si>
  <si>
    <t>Q4- 2004</t>
  </si>
  <si>
    <t>Q4- 2003</t>
  </si>
  <si>
    <t>Q3- 2004</t>
  </si>
  <si>
    <t>Q1- 2004</t>
  </si>
  <si>
    <t>Q2- 2004</t>
  </si>
  <si>
    <t>חיפה</t>
  </si>
  <si>
    <t>אשדוד</t>
  </si>
  <si>
    <t>אילת</t>
  </si>
  <si>
    <t>סה"כ</t>
  </si>
  <si>
    <t>משרד התחבורה - רשות הספנות והנמלים</t>
  </si>
  <si>
    <t>Loaded</t>
  </si>
  <si>
    <t>נטענו</t>
  </si>
  <si>
    <t>Unloaded</t>
  </si>
  <si>
    <t>נפרקו</t>
  </si>
  <si>
    <t>נפרקו ונטענו - סך הכל</t>
  </si>
  <si>
    <t xml:space="preserve"> </t>
  </si>
  <si>
    <t>Loaded and unloaded - total</t>
  </si>
  <si>
    <t>Ashdod</t>
  </si>
  <si>
    <t>Haifa</t>
  </si>
  <si>
    <t>Q1</t>
  </si>
  <si>
    <t>Q2</t>
  </si>
  <si>
    <t>Q3</t>
  </si>
  <si>
    <t>Q4</t>
  </si>
  <si>
    <t>אלפי TEU</t>
  </si>
  <si>
    <t>Thousand TEU</t>
  </si>
  <si>
    <t>מקור הנתונים: חברות נמל / חנ"י.</t>
  </si>
  <si>
    <t>שנה</t>
  </si>
  <si>
    <t>Eilat</t>
  </si>
  <si>
    <t>כל הנמלים</t>
  </si>
  <si>
    <t>All Ports</t>
  </si>
  <si>
    <r>
      <t xml:space="preserve">לוח 2.2 : </t>
    </r>
    <r>
      <rPr>
        <b/>
        <sz val="12"/>
        <color indexed="10"/>
        <rFont val="Arial (Hebrew)"/>
        <charset val="177"/>
      </rPr>
      <t>מכולות באלפי TEU</t>
    </r>
    <r>
      <rPr>
        <b/>
        <sz val="12"/>
        <color indexed="8"/>
        <rFont val="Arial (Hebrew)"/>
        <family val="2"/>
        <charset val="177"/>
      </rPr>
      <t xml:space="preserve"> - </t>
    </r>
    <r>
      <rPr>
        <b/>
        <sz val="14"/>
        <color indexed="8"/>
        <rFont val="Arial (Hebrew)"/>
        <charset val="177"/>
      </rPr>
      <t>סה"כ תנועות בנמלי ישראל</t>
    </r>
  </si>
  <si>
    <r>
      <t xml:space="preserve">TABLE 2.2: </t>
    </r>
    <r>
      <rPr>
        <b/>
        <sz val="11"/>
        <color indexed="10"/>
        <rFont val="Arial (Hebrew)"/>
        <charset val="177"/>
      </rPr>
      <t>Containers(Thousand TEU)</t>
    </r>
    <r>
      <rPr>
        <b/>
        <sz val="11"/>
        <color indexed="8"/>
        <rFont val="Arial (Hebrew)"/>
        <family val="2"/>
        <charset val="177"/>
      </rPr>
      <t xml:space="preserve"> in Israeli Ports</t>
    </r>
  </si>
  <si>
    <t>רבעון</t>
  </si>
  <si>
    <t>חודש</t>
  </si>
  <si>
    <t>01-03</t>
  </si>
  <si>
    <t>04-06</t>
  </si>
  <si>
    <t>07-09</t>
  </si>
  <si>
    <t>10-12</t>
  </si>
  <si>
    <t>שנת 2003</t>
  </si>
  <si>
    <t>שנת 2004</t>
  </si>
  <si>
    <t>שנת 2005</t>
  </si>
  <si>
    <t>שינוי 03-04</t>
  </si>
  <si>
    <t>שינוי 04-05</t>
  </si>
  <si>
    <t xml:space="preserve">Ministry Of Transport - Administration of Shipping &amp; Ports </t>
  </si>
  <si>
    <t>Economics and International Affairs Division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</si>
  <si>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</si>
  <si>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</si>
  <si>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</si>
  <si>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</si>
  <si>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</si>
  <si>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</si>
  <si>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</si>
  <si>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</si>
  <si>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</si>
  <si>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</si>
  <si>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</si>
  <si>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</si>
  <si>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</si>
  <si>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</si>
  <si>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</si>
  <si>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</si>
  <si>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01</t>
  </si>
  <si>
    <t>02</t>
  </si>
  <si>
    <t>03</t>
  </si>
  <si>
    <t>Q1-2008</t>
  </si>
  <si>
    <t>04</t>
  </si>
  <si>
    <t>05</t>
  </si>
  <si>
    <t>06</t>
  </si>
  <si>
    <t>Q2-2008</t>
  </si>
  <si>
    <t>07</t>
  </si>
  <si>
    <t>08</t>
  </si>
  <si>
    <t>09</t>
  </si>
  <si>
    <t>Q3-2008</t>
  </si>
  <si>
    <t>10</t>
  </si>
  <si>
    <t>11</t>
  </si>
  <si>
    <t>12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</si>
  <si>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</si>
  <si>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</si>
  <si>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</si>
  <si>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</si>
  <si>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</si>
  <si>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</si>
  <si>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</si>
  <si>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</si>
  <si>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</si>
  <si>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</si>
  <si>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</si>
  <si>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</si>
  <si>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</si>
  <si>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</si>
  <si>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</si>
  <si>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</si>
  <si>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</si>
  <si>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</si>
  <si>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</si>
  <si>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</si>
  <si>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Month</t>
  </si>
  <si>
    <t>Year</t>
  </si>
  <si>
    <t>כל הנמלים
Total ports</t>
  </si>
  <si>
    <t>Q4-2013</t>
  </si>
  <si>
    <t>Q1-2014</t>
  </si>
  <si>
    <t>Q2-2014</t>
  </si>
  <si>
    <t>אגף  כלכלה וקשרי חוץ</t>
  </si>
  <si>
    <t>Q3-2014</t>
  </si>
  <si>
    <t>Q4-2014</t>
  </si>
  <si>
    <t>שנה
Year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</si>
  <si>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</si>
  <si>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</si>
  <si>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</si>
  <si>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</si>
  <si>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</si>
  <si>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</si>
  <si>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</si>
  <si>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</si>
  <si>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</si>
  <si>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</si>
  <si>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</si>
  <si>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</si>
  <si>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</si>
  <si>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</si>
  <si>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</si>
  <si>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</si>
  <si>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</si>
  <si>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</si>
  <si>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</si>
  <si>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</si>
  <si>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</si>
  <si>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</si>
  <si>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</si>
  <si>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</si>
  <si>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</si>
  <si>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</si>
  <si>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</si>
  <si>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ח.נ חיפה</t>
  </si>
  <si>
    <t>ח.נ אשדוד</t>
  </si>
  <si>
    <t>ח.נ אילת</t>
  </si>
  <si>
    <t>נמל המפרץ</t>
  </si>
  <si>
    <t>SIPG</t>
  </si>
  <si>
    <t>נמל הדרום</t>
  </si>
  <si>
    <t>HCT</t>
  </si>
  <si>
    <t>סה"כ תנועות</t>
  </si>
  <si>
    <t>Total Traffic</t>
  </si>
  <si>
    <r>
      <t xml:space="preserve">TABLE 2.2: </t>
    </r>
    <r>
      <rPr>
        <b/>
        <sz val="9"/>
        <color indexed="10"/>
        <rFont val="Arial (Hebrew)"/>
        <charset val="177"/>
      </rPr>
      <t>Containers-</t>
    </r>
    <r>
      <rPr>
        <b/>
        <sz val="9"/>
        <rFont val="Arial (Hebrew)"/>
        <charset val="177"/>
      </rPr>
      <t>Total Traffic in Israeli Ports</t>
    </r>
  </si>
  <si>
    <r>
      <t xml:space="preserve">לוח 2.2 : </t>
    </r>
    <r>
      <rPr>
        <b/>
        <sz val="10"/>
        <color indexed="10"/>
        <rFont val="Arial (Hebrew)"/>
        <family val="2"/>
        <charset val="177"/>
      </rPr>
      <t xml:space="preserve">מכולות </t>
    </r>
    <r>
      <rPr>
        <b/>
        <sz val="10"/>
        <color indexed="8"/>
        <rFont val="Arial (Hebrew)"/>
        <family val="2"/>
        <charset val="177"/>
      </rPr>
      <t>- סה"כ תנועות בנמלי ישראל</t>
    </r>
  </si>
  <si>
    <r>
      <t xml:space="preserve">TABLE 2.2: </t>
    </r>
    <r>
      <rPr>
        <b/>
        <sz val="9"/>
        <color indexed="10"/>
        <rFont val="Arial (Hebrew)"/>
        <charset val="177"/>
      </rPr>
      <t>Containers</t>
    </r>
    <r>
      <rPr>
        <b/>
        <sz val="9"/>
        <color indexed="8"/>
        <rFont val="Arial (Hebrew)"/>
        <family val="2"/>
        <charset val="177"/>
      </rPr>
      <t xml:space="preserve"> - Total Unload in Israeli Ports</t>
    </r>
  </si>
  <si>
    <r>
      <t xml:space="preserve">TABLE 2.2: </t>
    </r>
    <r>
      <rPr>
        <b/>
        <sz val="9"/>
        <color indexed="10"/>
        <rFont val="Arial (Hebrew)"/>
        <charset val="177"/>
      </rPr>
      <t>Containers</t>
    </r>
    <r>
      <rPr>
        <b/>
        <sz val="9"/>
        <rFont val="Arial (Hebrew)"/>
        <charset val="177"/>
      </rPr>
      <t xml:space="preserve"> - Total Load in Israeli Ports</t>
    </r>
  </si>
  <si>
    <r>
      <t xml:space="preserve">לוח 2.2 : </t>
    </r>
    <r>
      <rPr>
        <b/>
        <sz val="9"/>
        <color indexed="10"/>
        <rFont val="Arial (Hebrew)"/>
        <family val="2"/>
        <charset val="177"/>
      </rPr>
      <t xml:space="preserve">מכולות </t>
    </r>
    <r>
      <rPr>
        <b/>
        <sz val="9"/>
        <color indexed="8"/>
        <rFont val="Arial (Hebrew)"/>
        <family val="2"/>
        <charset val="177"/>
      </rPr>
      <t>- סה"כ טעינות בנמלי ישראל</t>
    </r>
  </si>
  <si>
    <r>
      <t xml:space="preserve">לוח 2.2 : </t>
    </r>
    <r>
      <rPr>
        <b/>
        <sz val="9"/>
        <color indexed="10"/>
        <rFont val="Arial (Hebrew)"/>
        <family val="2"/>
        <charset val="177"/>
      </rPr>
      <t xml:space="preserve">מכולות </t>
    </r>
    <r>
      <rPr>
        <b/>
        <sz val="9"/>
        <color indexed="8"/>
        <rFont val="Arial (Hebrew)"/>
        <family val="2"/>
        <charset val="177"/>
      </rPr>
      <t>- סה"כ פריקות בנמלי ישראל</t>
    </r>
  </si>
  <si>
    <t>Total Unloaded</t>
  </si>
  <si>
    <t>סה"כ נפרקו</t>
  </si>
  <si>
    <t>Total Loaded</t>
  </si>
  <si>
    <t>סה"כ נטענו</t>
  </si>
  <si>
    <t>Q4-2021</t>
  </si>
  <si>
    <t>ח.נמל חיפה
Haifa port</t>
  </si>
  <si>
    <t>ח.נמל אשדוד
Ashdos port</t>
  </si>
  <si>
    <t>נמל המפרץ
SIPG</t>
  </si>
  <si>
    <t>נמל הדרום
HCT</t>
  </si>
  <si>
    <t>ח.נמל אשדוד
Ashdod port</t>
  </si>
  <si>
    <t>ח.נמל אילת
Eilat port</t>
  </si>
  <si>
    <t>Q1-2022</t>
  </si>
  <si>
    <t>Q1/2022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</si>
</sst>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\ @"/>
    <numFmt numFmtId="166" formatCode="0.000"/>
    <numFmt numFmtId="167" formatCode="0.0"/>
    <numFmt numFmtId="168" formatCode="0.0%"/>
    <numFmt numFmtId="169" formatCode="0_ ;\-0\ "/>
    <numFmt numFmtId="170" formatCode="#,##0.000_);\(#,##0.000\)"/>
  </numFmts>
  <fonts count="4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7"/>
      <name val="Arial"/>
      <family val="2"/>
    </font>
    <font>
      <b/>
      <i/>
      <u/>
      <sz val="18"/>
      <color indexed="61"/>
      <name val="Arial"/>
      <family val="2"/>
    </font>
    <font>
      <b/>
      <i/>
      <sz val="18"/>
      <name val="Arial"/>
      <family val="2"/>
    </font>
    <font>
      <b/>
      <i/>
      <sz val="14"/>
      <name val="Arial"/>
      <family val="2"/>
    </font>
    <font>
      <b/>
      <i/>
      <sz val="14"/>
      <color indexed="17"/>
      <name val="Arial"/>
      <family val="2"/>
    </font>
    <font>
      <b/>
      <i/>
      <sz val="14"/>
      <color indexed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sz val="12"/>
      <name val="Courier"/>
      <family val="3"/>
      <charset val="177"/>
    </font>
    <font>
      <b/>
      <sz val="12"/>
      <color indexed="8"/>
      <name val="Arial"/>
      <family val="2"/>
    </font>
    <font>
      <sz val="12"/>
      <color indexed="8"/>
      <name val="Times New Roman"/>
      <family val="1"/>
      <charset val="177"/>
    </font>
    <font>
      <sz val="11"/>
      <color indexed="8"/>
      <name val="Times New Roman"/>
      <family val="1"/>
      <charset val="177"/>
    </font>
    <font>
      <sz val="11"/>
      <color indexed="8"/>
      <name val="Arial (Hebrew)"/>
      <family val="2"/>
      <charset val="177"/>
    </font>
    <font>
      <sz val="12"/>
      <color indexed="8"/>
      <name val="Arial (Hebrew)"/>
      <family val="2"/>
      <charset val="177"/>
    </font>
    <font>
      <b/>
      <sz val="14"/>
      <color indexed="8"/>
      <name val="Arial (Hebrew)"/>
      <family val="2"/>
      <charset val="177"/>
    </font>
    <font>
      <b/>
      <sz val="11"/>
      <color indexed="10"/>
      <name val="Arial (Hebrew)"/>
      <charset val="177"/>
    </font>
    <font>
      <b/>
      <sz val="11"/>
      <color indexed="8"/>
      <name val="Arial (Hebrew)"/>
      <family val="2"/>
      <charset val="177"/>
    </font>
    <font>
      <b/>
      <sz val="9"/>
      <color indexed="8"/>
      <name val="Arial (Hebrew)"/>
      <family val="2"/>
      <charset val="177"/>
    </font>
    <font>
      <b/>
      <sz val="12"/>
      <color indexed="10"/>
      <name val="Arial (Hebrew)"/>
      <charset val="177"/>
    </font>
    <font>
      <b/>
      <sz val="12"/>
      <color indexed="8"/>
      <name val="Arial (Hebrew)"/>
      <family val="2"/>
      <charset val="177"/>
    </font>
    <font>
      <sz val="10"/>
      <color indexed="8"/>
      <name val="Arial (Hebrew)"/>
      <family val="2"/>
      <charset val="177"/>
    </font>
    <font>
      <sz val="9"/>
      <color indexed="8"/>
      <name val="Arial (Hebrew)"/>
      <family val="2"/>
      <charset val="177"/>
    </font>
    <font>
      <sz val="9"/>
      <name val="Arial (Hebrew)"/>
      <family val="2"/>
      <charset val="177"/>
    </font>
    <font>
      <sz val="7"/>
      <color indexed="8"/>
      <name val="Arial (Hebrew)"/>
      <family val="2"/>
      <charset val="177"/>
    </font>
    <font>
      <sz val="8"/>
      <color indexed="8"/>
      <name val="Arial (Hebrew)"/>
      <family val="2"/>
      <charset val="177"/>
    </font>
    <font>
      <b/>
      <sz val="10"/>
      <color indexed="8"/>
      <name val="Arial (Hebrew)"/>
      <charset val="177"/>
    </font>
    <font>
      <sz val="10"/>
      <color indexed="8"/>
      <name val="Arial (Hebrew)"/>
      <charset val="177"/>
    </font>
    <font>
      <b/>
      <sz val="9"/>
      <color indexed="8"/>
      <name val="Arial (Hebrew)"/>
      <charset val="177"/>
    </font>
    <font>
      <b/>
      <sz val="14"/>
      <color indexed="8"/>
      <name val="Arial (Hebrew)"/>
      <charset val="177"/>
    </font>
    <font>
      <sz val="8"/>
      <name val="Arial"/>
      <family val="2"/>
    </font>
    <font>
      <b/>
      <sz val="9"/>
      <name val="Arial (Hebrew)"/>
      <charset val="177"/>
    </font>
    <font>
      <b/>
      <sz val="8"/>
      <color indexed="8"/>
      <name val="Arial (Hebrew)"/>
      <charset val="177"/>
    </font>
    <font>
      <b/>
      <sz val="11"/>
      <color indexed="8"/>
      <name val="Arial (Hebrew)"/>
      <charset val="177"/>
    </font>
    <font>
      <sz val="8"/>
      <color indexed="8"/>
      <name val="Arial (Hebrew)"/>
      <charset val="177"/>
    </font>
    <font>
      <sz val="11"/>
      <color indexed="8"/>
      <name val="Arial (Hebrew)"/>
      <charset val="177"/>
    </font>
    <font>
      <b/>
      <sz val="8"/>
      <name val="Arial (Hebrew)"/>
      <charset val="177"/>
    </font>
    <font>
      <sz val="8"/>
      <name val="Arial (Hebrew)"/>
      <charset val="177"/>
    </font>
    <font>
      <b/>
      <sz val="10"/>
      <color indexed="8"/>
      <name val="Arial (Hebrew)"/>
      <family val="2"/>
      <charset val="177"/>
    </font>
    <font>
      <b/>
      <sz val="10"/>
      <color indexed="10"/>
      <name val="Arial (Hebrew)"/>
      <family val="2"/>
      <charset val="177"/>
    </font>
    <font>
      <b/>
      <sz val="9"/>
      <color rgb="FF0070C0"/>
      <name val="Arial (Hebrew)"/>
      <charset val="177"/>
    </font>
    <font>
      <b/>
      <sz val="9"/>
      <color indexed="8"/>
      <name val="Arial"/>
      <family val="2"/>
    </font>
    <font>
      <b/>
      <sz val="9"/>
      <color indexed="10"/>
      <name val="Arial (Hebrew)"/>
      <charset val="177"/>
    </font>
    <font>
      <b/>
      <sz val="9"/>
      <color indexed="10"/>
      <name val="Arial (Hebrew)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2" fillId="0" borderId="0"/>
  </cellStyleXfs>
  <cellXfs count="201">
    <xf numFmtId="0" fontId="0" fillId="0" borderId="0" xfId="0"/>
    <xf numFmtId="0" fontId="1" fillId="0" borderId="0" xfId="1"/>
    <xf numFmtId="3" fontId="1" fillId="0" borderId="0" xfId="1" applyNumberFormat="1"/>
    <xf numFmtId="0" fontId="3" fillId="0" borderId="0" xfId="1" applyFont="1"/>
    <xf numFmtId="0" fontId="4" fillId="0" borderId="0" xfId="1" applyFont="1" applyAlignment="1"/>
    <xf numFmtId="0" fontId="1" fillId="0" borderId="1" xfId="1" applyBorder="1"/>
    <xf numFmtId="0" fontId="5" fillId="2" borderId="2" xfId="1" applyFont="1" applyFill="1" applyBorder="1"/>
    <xf numFmtId="0" fontId="7" fillId="0" borderId="3" xfId="1" applyFont="1" applyBorder="1"/>
    <xf numFmtId="3" fontId="1" fillId="0" borderId="4" xfId="1" applyNumberFormat="1" applyBorder="1"/>
    <xf numFmtId="3" fontId="1" fillId="0" borderId="1" xfId="1" applyNumberFormat="1" applyBorder="1"/>
    <xf numFmtId="3" fontId="1" fillId="0" borderId="5" xfId="1" applyNumberFormat="1" applyBorder="1"/>
    <xf numFmtId="3" fontId="1" fillId="0" borderId="6" xfId="1" applyNumberFormat="1" applyBorder="1"/>
    <xf numFmtId="3" fontId="1" fillId="0" borderId="7" xfId="1" applyNumberFormat="1" applyBorder="1"/>
    <xf numFmtId="3" fontId="1" fillId="0" borderId="8" xfId="1" applyNumberFormat="1" applyBorder="1"/>
    <xf numFmtId="0" fontId="7" fillId="0" borderId="9" xfId="1" applyFont="1" applyBorder="1"/>
    <xf numFmtId="3" fontId="1" fillId="0" borderId="10" xfId="1" applyNumberFormat="1" applyBorder="1"/>
    <xf numFmtId="3" fontId="1" fillId="0" borderId="11" xfId="1" applyNumberFormat="1" applyBorder="1"/>
    <xf numFmtId="3" fontId="1" fillId="0" borderId="12" xfId="1" applyNumberFormat="1" applyBorder="1"/>
    <xf numFmtId="3" fontId="1" fillId="0" borderId="13" xfId="1" applyNumberFormat="1" applyBorder="1"/>
    <xf numFmtId="3" fontId="1" fillId="0" borderId="14" xfId="1" applyNumberFormat="1" applyBorder="1"/>
    <xf numFmtId="3" fontId="1" fillId="0" borderId="15" xfId="1" applyNumberFormat="1" applyBorder="1"/>
    <xf numFmtId="3" fontId="1" fillId="0" borderId="16" xfId="1" applyNumberFormat="1" applyBorder="1"/>
    <xf numFmtId="0" fontId="8" fillId="0" borderId="3" xfId="1" applyFont="1" applyBorder="1"/>
    <xf numFmtId="3" fontId="9" fillId="0" borderId="17" xfId="1" applyNumberFormat="1" applyFont="1" applyBorder="1"/>
    <xf numFmtId="3" fontId="9" fillId="0" borderId="18" xfId="1" applyNumberFormat="1" applyFont="1" applyBorder="1"/>
    <xf numFmtId="3" fontId="9" fillId="0" borderId="19" xfId="1" applyNumberFormat="1" applyFont="1" applyBorder="1"/>
    <xf numFmtId="3" fontId="9" fillId="0" borderId="20" xfId="1" applyNumberFormat="1" applyFont="1" applyBorder="1"/>
    <xf numFmtId="3" fontId="9" fillId="0" borderId="1" xfId="1" applyNumberFormat="1" applyFont="1" applyBorder="1"/>
    <xf numFmtId="0" fontId="7" fillId="0" borderId="21" xfId="1" applyFont="1" applyBorder="1"/>
    <xf numFmtId="0" fontId="1" fillId="0" borderId="0" xfId="1" applyBorder="1"/>
    <xf numFmtId="3" fontId="1" fillId="0" borderId="17" xfId="1" applyNumberFormat="1" applyBorder="1"/>
    <xf numFmtId="3" fontId="1" fillId="0" borderId="18" xfId="1" applyNumberFormat="1" applyBorder="1"/>
    <xf numFmtId="3" fontId="1" fillId="0" borderId="22" xfId="1" applyNumberFormat="1" applyBorder="1"/>
    <xf numFmtId="3" fontId="1" fillId="0" borderId="23" xfId="1" applyNumberFormat="1" applyBorder="1"/>
    <xf numFmtId="3" fontId="1" fillId="0" borderId="24" xfId="1" applyNumberFormat="1" applyBorder="1"/>
    <xf numFmtId="3" fontId="1" fillId="0" borderId="20" xfId="1" applyNumberFormat="1" applyBorder="1"/>
    <xf numFmtId="3" fontId="1" fillId="0" borderId="25" xfId="1" applyNumberFormat="1" applyBorder="1"/>
    <xf numFmtId="3" fontId="1" fillId="0" borderId="26" xfId="1" applyNumberFormat="1" applyBorder="1"/>
    <xf numFmtId="0" fontId="11" fillId="2" borderId="3" xfId="1" applyFont="1" applyFill="1" applyBorder="1"/>
    <xf numFmtId="0" fontId="1" fillId="0" borderId="0" xfId="1" applyFont="1"/>
    <xf numFmtId="164" fontId="13" fillId="0" borderId="0" xfId="2" applyFont="1" applyFill="1" applyAlignment="1" applyProtection="1">
      <alignment horizontal="left"/>
      <protection locked="0"/>
    </xf>
    <xf numFmtId="164" fontId="14" fillId="0" borderId="0" xfId="2" applyFont="1"/>
    <xf numFmtId="164" fontId="15" fillId="0" borderId="0" xfId="2" applyFont="1" applyFill="1" applyBorder="1"/>
    <xf numFmtId="164" fontId="16" fillId="0" borderId="0" xfId="2" applyFont="1" applyFill="1" applyBorder="1"/>
    <xf numFmtId="164" fontId="17" fillId="0" borderId="0" xfId="2" applyFont="1" applyFill="1"/>
    <xf numFmtId="0" fontId="18" fillId="0" borderId="0" xfId="2" applyNumberFormat="1" applyFont="1" applyAlignment="1">
      <alignment horizontal="right" readingOrder="2"/>
    </xf>
    <xf numFmtId="164" fontId="21" fillId="0" borderId="0" xfId="2" applyFont="1" applyFill="1" applyAlignment="1">
      <alignment vertical="top"/>
    </xf>
    <xf numFmtId="0" fontId="23" fillId="0" borderId="0" xfId="2" applyNumberFormat="1" applyFont="1" applyFill="1" applyAlignment="1">
      <alignment horizontal="right" vertical="top" readingOrder="2"/>
    </xf>
    <xf numFmtId="164" fontId="25" fillId="0" borderId="0" xfId="2" applyFont="1" applyFill="1"/>
    <xf numFmtId="0" fontId="25" fillId="0" borderId="27" xfId="2" applyNumberFormat="1" applyFont="1" applyFill="1" applyBorder="1" applyAlignment="1">
      <alignment readingOrder="2"/>
    </xf>
    <xf numFmtId="164" fontId="25" fillId="0" borderId="0" xfId="2" applyFont="1" applyFill="1" applyAlignment="1"/>
    <xf numFmtId="0" fontId="24" fillId="0" borderId="27" xfId="2" applyNumberFormat="1" applyFont="1" applyFill="1" applyBorder="1" applyAlignment="1">
      <alignment readingOrder="2"/>
    </xf>
    <xf numFmtId="0" fontId="25" fillId="0" borderId="0" xfId="2" applyNumberFormat="1" applyFont="1" applyFill="1" applyAlignment="1">
      <alignment horizontal="centerContinuous" readingOrder="2"/>
    </xf>
    <xf numFmtId="164" fontId="25" fillId="0" borderId="0" xfId="2" applyFont="1" applyFill="1" applyAlignment="1">
      <alignment horizontal="centerContinuous"/>
    </xf>
    <xf numFmtId="164" fontId="25" fillId="0" borderId="27" xfId="2" applyFont="1" applyFill="1" applyBorder="1" applyAlignment="1">
      <alignment horizontal="centerContinuous"/>
    </xf>
    <xf numFmtId="164" fontId="25" fillId="0" borderId="0" xfId="2" applyFont="1" applyFill="1" applyBorder="1" applyAlignment="1">
      <alignment horizontal="centerContinuous"/>
    </xf>
    <xf numFmtId="164" fontId="25" fillId="0" borderId="0" xfId="2" applyFont="1" applyFill="1" applyBorder="1"/>
    <xf numFmtId="164" fontId="25" fillId="0" borderId="28" xfId="2" applyFont="1" applyFill="1" applyBorder="1"/>
    <xf numFmtId="164" fontId="25" fillId="0" borderId="15" xfId="2" applyFont="1" applyFill="1" applyBorder="1"/>
    <xf numFmtId="164" fontId="25" fillId="0" borderId="28" xfId="2" applyFont="1" applyFill="1" applyBorder="1" applyAlignment="1">
      <alignment horizontal="centerContinuous"/>
    </xf>
    <xf numFmtId="164" fontId="25" fillId="0" borderId="15" xfId="2" applyFont="1" applyFill="1" applyBorder="1" applyAlignment="1">
      <alignment horizontal="centerContinuous"/>
    </xf>
    <xf numFmtId="164" fontId="24" fillId="0" borderId="0" xfId="2" applyFont="1" applyFill="1" applyBorder="1" applyAlignment="1">
      <alignment horizontal="center"/>
    </xf>
    <xf numFmtId="164" fontId="25" fillId="0" borderId="0" xfId="2" applyFont="1" applyFill="1" applyBorder="1" applyAlignment="1">
      <alignment horizontal="center"/>
    </xf>
    <xf numFmtId="164" fontId="25" fillId="0" borderId="0" xfId="2" applyFont="1" applyFill="1" applyAlignment="1">
      <alignment horizontal="center"/>
    </xf>
    <xf numFmtId="164" fontId="25" fillId="0" borderId="27" xfId="2" applyFont="1" applyFill="1" applyBorder="1" applyAlignment="1">
      <alignment horizontal="center"/>
    </xf>
    <xf numFmtId="37" fontId="16" fillId="0" borderId="29" xfId="2" applyNumberFormat="1" applyFont="1" applyFill="1" applyBorder="1" applyProtection="1">
      <protection locked="0"/>
    </xf>
    <xf numFmtId="164" fontId="27" fillId="0" borderId="29" xfId="2" applyFont="1" applyFill="1" applyBorder="1"/>
    <xf numFmtId="164" fontId="27" fillId="0" borderId="0" xfId="2" applyFont="1" applyFill="1"/>
    <xf numFmtId="37" fontId="16" fillId="0" borderId="0" xfId="2" applyNumberFormat="1" applyFont="1" applyFill="1" applyBorder="1" applyProtection="1"/>
    <xf numFmtId="165" fontId="28" fillId="0" borderId="0" xfId="2" applyNumberFormat="1" applyFont="1" applyFill="1" applyBorder="1"/>
    <xf numFmtId="164" fontId="28" fillId="0" borderId="0" xfId="2" applyFont="1" applyFill="1"/>
    <xf numFmtId="37" fontId="16" fillId="0" borderId="0" xfId="2" applyNumberFormat="1" applyFont="1" applyFill="1" applyBorder="1" applyProtection="1">
      <protection locked="0"/>
    </xf>
    <xf numFmtId="165" fontId="28" fillId="0" borderId="0" xfId="2" applyNumberFormat="1" applyFont="1" applyFill="1" applyBorder="1" applyAlignment="1" applyProtection="1">
      <alignment horizontal="left"/>
      <protection locked="0"/>
    </xf>
    <xf numFmtId="164" fontId="29" fillId="0" borderId="30" xfId="2" applyFont="1" applyFill="1" applyBorder="1" applyAlignment="1" applyProtection="1">
      <alignment horizontal="left" vertical="top"/>
      <protection locked="0"/>
    </xf>
    <xf numFmtId="164" fontId="29" fillId="0" borderId="30" xfId="2" applyFont="1" applyFill="1" applyBorder="1" applyAlignment="1">
      <alignment vertical="top"/>
    </xf>
    <xf numFmtId="0" fontId="29" fillId="0" borderId="30" xfId="2" applyNumberFormat="1" applyFont="1" applyFill="1" applyBorder="1" applyAlignment="1">
      <alignment horizontal="right" vertical="top" readingOrder="2"/>
    </xf>
    <xf numFmtId="164" fontId="29" fillId="0" borderId="0" xfId="2" applyFont="1" applyFill="1" applyAlignment="1">
      <alignment vertical="top"/>
    </xf>
    <xf numFmtId="0" fontId="30" fillId="0" borderId="0" xfId="2" applyNumberFormat="1" applyFont="1" applyFill="1" applyBorder="1" applyAlignment="1">
      <alignment horizontal="right" vertical="top" readingOrder="2"/>
    </xf>
    <xf numFmtId="164" fontId="25" fillId="0" borderId="13" xfId="2" applyFont="1" applyFill="1" applyBorder="1" applyAlignment="1" applyProtection="1">
      <alignment horizontal="center"/>
      <protection locked="0"/>
    </xf>
    <xf numFmtId="164" fontId="27" fillId="0" borderId="0" xfId="2" applyFont="1" applyFill="1" applyBorder="1"/>
    <xf numFmtId="37" fontId="28" fillId="0" borderId="29" xfId="2" applyNumberFormat="1" applyFont="1" applyFill="1" applyBorder="1" applyAlignment="1" applyProtection="1">
      <alignment horizontal="center"/>
      <protection locked="0"/>
    </xf>
    <xf numFmtId="37" fontId="28" fillId="0" borderId="0" xfId="2" applyNumberFormat="1" applyFont="1" applyFill="1" applyAlignment="1" applyProtection="1">
      <alignment horizontal="center"/>
    </xf>
    <xf numFmtId="37" fontId="28" fillId="0" borderId="29" xfId="2" applyNumberFormat="1" applyFont="1" applyFill="1" applyBorder="1" applyAlignment="1" applyProtection="1">
      <alignment horizontal="center"/>
    </xf>
    <xf numFmtId="37" fontId="28" fillId="0" borderId="10" xfId="2" applyNumberFormat="1" applyFont="1" applyFill="1" applyBorder="1" applyAlignment="1" applyProtection="1">
      <alignment horizontal="center"/>
      <protection locked="0"/>
    </xf>
    <xf numFmtId="37" fontId="28" fillId="0" borderId="0" xfId="2" applyNumberFormat="1" applyFont="1" applyFill="1" applyBorder="1" applyAlignment="1" applyProtection="1">
      <alignment horizontal="center"/>
      <protection locked="0"/>
    </xf>
    <xf numFmtId="37" fontId="28" fillId="0" borderId="0" xfId="2" applyNumberFormat="1" applyFont="1" applyFill="1" applyBorder="1" applyAlignment="1" applyProtection="1">
      <alignment horizontal="center"/>
    </xf>
    <xf numFmtId="37" fontId="28" fillId="0" borderId="27" xfId="2" applyNumberFormat="1" applyFont="1" applyFill="1" applyBorder="1" applyAlignment="1" applyProtection="1">
      <alignment horizontal="center"/>
      <protection locked="0"/>
    </xf>
    <xf numFmtId="37" fontId="28" fillId="0" borderId="27" xfId="2" applyNumberFormat="1" applyFont="1" applyFill="1" applyBorder="1" applyAlignment="1" applyProtection="1">
      <alignment horizontal="center"/>
    </xf>
    <xf numFmtId="37" fontId="28" fillId="0" borderId="0" xfId="2" applyNumberFormat="1" applyFont="1" applyFill="1" applyAlignment="1" applyProtection="1">
      <alignment horizontal="center"/>
      <protection locked="0"/>
    </xf>
    <xf numFmtId="164" fontId="25" fillId="0" borderId="31" xfId="2" applyFont="1" applyFill="1" applyBorder="1" applyAlignment="1" applyProtection="1">
      <alignment horizontal="left"/>
      <protection locked="0"/>
    </xf>
    <xf numFmtId="164" fontId="25" fillId="0" borderId="32" xfId="2" applyFont="1" applyFill="1" applyBorder="1"/>
    <xf numFmtId="164" fontId="25" fillId="0" borderId="25" xfId="2" applyFont="1" applyFill="1" applyBorder="1" applyAlignment="1" applyProtection="1">
      <alignment horizontal="left"/>
      <protection locked="0"/>
    </xf>
    <xf numFmtId="37" fontId="28" fillId="0" borderId="12" xfId="2" applyNumberFormat="1" applyFont="1" applyFill="1" applyBorder="1" applyAlignment="1" applyProtection="1">
      <alignment horizontal="center"/>
      <protection locked="0"/>
    </xf>
    <xf numFmtId="37" fontId="28" fillId="0" borderId="33" xfId="2" applyNumberFormat="1" applyFont="1" applyFill="1" applyBorder="1" applyAlignment="1" applyProtection="1">
      <alignment horizontal="center"/>
      <protection locked="0"/>
    </xf>
    <xf numFmtId="37" fontId="28" fillId="0" borderId="33" xfId="2" applyNumberFormat="1" applyFont="1" applyFill="1" applyBorder="1" applyAlignment="1" applyProtection="1">
      <alignment horizontal="center"/>
    </xf>
    <xf numFmtId="164" fontId="25" fillId="0" borderId="34" xfId="2" applyFont="1" applyFill="1" applyBorder="1"/>
    <xf numFmtId="164" fontId="25" fillId="0" borderId="27" xfId="2" applyFont="1" applyFill="1" applyBorder="1"/>
    <xf numFmtId="164" fontId="28" fillId="0" borderId="10" xfId="2" applyFont="1" applyFill="1" applyBorder="1" applyAlignment="1" applyProtection="1">
      <alignment horizontal="left"/>
      <protection locked="0"/>
    </xf>
    <xf numFmtId="164" fontId="28" fillId="0" borderId="27" xfId="2" applyFont="1" applyFill="1" applyBorder="1" applyAlignment="1" applyProtection="1">
      <alignment horizontal="left"/>
      <protection locked="0"/>
    </xf>
    <xf numFmtId="164" fontId="28" fillId="0" borderId="27" xfId="2" applyFont="1" applyFill="1" applyBorder="1" applyAlignment="1" applyProtection="1">
      <alignment horizontal="left"/>
    </xf>
    <xf numFmtId="3" fontId="1" fillId="3" borderId="13" xfId="1" applyNumberFormat="1" applyFill="1" applyBorder="1"/>
    <xf numFmtId="3" fontId="0" fillId="0" borderId="0" xfId="0" applyNumberFormat="1"/>
    <xf numFmtId="0" fontId="25" fillId="0" borderId="1" xfId="2" applyNumberFormat="1" applyFont="1" applyFill="1" applyBorder="1" applyAlignment="1" applyProtection="1">
      <alignment horizontal="right" readingOrder="2"/>
      <protection locked="0"/>
    </xf>
    <xf numFmtId="164" fontId="25" fillId="0" borderId="1" xfId="2" applyFont="1" applyFill="1" applyBorder="1" applyAlignment="1" applyProtection="1">
      <alignment horizontal="right"/>
      <protection locked="0"/>
    </xf>
    <xf numFmtId="0" fontId="26" fillId="0" borderId="1" xfId="2" applyNumberFormat="1" applyFont="1" applyBorder="1" applyAlignment="1">
      <alignment horizontal="right" readingOrder="2"/>
    </xf>
    <xf numFmtId="0" fontId="25" fillId="0" borderId="1" xfId="2" applyNumberFormat="1" applyFont="1" applyFill="1" applyBorder="1" applyAlignment="1">
      <alignment horizontal="right" readingOrder="2"/>
    </xf>
    <xf numFmtId="3" fontId="0" fillId="0" borderId="1" xfId="0" applyNumberFormat="1" applyBorder="1" applyAlignment="1">
      <alignment horizontal="right"/>
    </xf>
    <xf numFmtId="0" fontId="10" fillId="0" borderId="1" xfId="0" applyFont="1" applyBorder="1"/>
    <xf numFmtId="0" fontId="10" fillId="0" borderId="0" xfId="0" applyFont="1"/>
    <xf numFmtId="37" fontId="28" fillId="0" borderId="1" xfId="2" applyNumberFormat="1" applyFont="1" applyFill="1" applyBorder="1" applyAlignment="1" applyProtection="1">
      <alignment horizontal="center"/>
      <protection locked="0"/>
    </xf>
    <xf numFmtId="37" fontId="28" fillId="0" borderId="1" xfId="2" applyNumberFormat="1" applyFont="1" applyFill="1" applyBorder="1" applyAlignment="1" applyProtection="1">
      <alignment horizontal="center"/>
    </xf>
    <xf numFmtId="167" fontId="0" fillId="0" borderId="1" xfId="0" applyNumberFormat="1" applyBorder="1"/>
    <xf numFmtId="37" fontId="28" fillId="0" borderId="1" xfId="2" applyNumberFormat="1" applyFont="1" applyFill="1" applyBorder="1" applyAlignment="1" applyProtection="1">
      <alignment horizontal="center"/>
      <protection locked="0"/>
    </xf>
    <xf numFmtId="37" fontId="0" fillId="0" borderId="0" xfId="0" applyNumberFormat="1"/>
    <xf numFmtId="0" fontId="0" fillId="0" borderId="0" xfId="0" applyBorder="1"/>
    <xf numFmtId="164" fontId="28" fillId="0" borderId="0" xfId="2" applyFont="1" applyFill="1" applyBorder="1"/>
    <xf numFmtId="168" fontId="17" fillId="0" borderId="0" xfId="2" applyNumberFormat="1" applyFont="1" applyFill="1"/>
    <xf numFmtId="166" fontId="17" fillId="0" borderId="0" xfId="2" applyNumberFormat="1" applyFont="1" applyFill="1"/>
    <xf numFmtId="37" fontId="35" fillId="0" borderId="33" xfId="2" applyNumberFormat="1" applyFont="1" applyFill="1" applyBorder="1" applyAlignment="1" applyProtection="1">
      <alignment horizontal="center"/>
    </xf>
    <xf numFmtId="37" fontId="35" fillId="0" borderId="0" xfId="2" applyNumberFormat="1" applyFont="1" applyFill="1" applyBorder="1" applyAlignment="1" applyProtection="1">
      <alignment horizontal="center"/>
    </xf>
    <xf numFmtId="37" fontId="35" fillId="0" borderId="27" xfId="2" applyNumberFormat="1" applyFont="1" applyFill="1" applyBorder="1" applyAlignment="1" applyProtection="1">
      <alignment horizontal="center"/>
    </xf>
    <xf numFmtId="37" fontId="36" fillId="0" borderId="0" xfId="2" applyNumberFormat="1" applyFont="1" applyFill="1" applyBorder="1" applyProtection="1">
      <protection locked="0"/>
    </xf>
    <xf numFmtId="165" fontId="35" fillId="0" borderId="0" xfId="2" applyNumberFormat="1" applyFont="1" applyFill="1" applyBorder="1" applyAlignment="1" applyProtection="1">
      <alignment horizontal="left"/>
      <protection locked="0"/>
    </xf>
    <xf numFmtId="164" fontId="35" fillId="0" borderId="27" xfId="2" applyFont="1" applyFill="1" applyBorder="1" applyAlignment="1" applyProtection="1">
      <alignment horizontal="left"/>
    </xf>
    <xf numFmtId="166" fontId="35" fillId="0" borderId="0" xfId="2" applyNumberFormat="1" applyFont="1" applyFill="1" applyBorder="1" applyAlignment="1" applyProtection="1">
      <alignment horizontal="center"/>
    </xf>
    <xf numFmtId="164" fontId="31" fillId="0" borderId="0" xfId="2" applyFont="1" applyFill="1" applyBorder="1" applyAlignment="1">
      <alignment horizontal="center"/>
    </xf>
    <xf numFmtId="164" fontId="31" fillId="0" borderId="27" xfId="2" applyFont="1" applyFill="1" applyBorder="1" applyAlignment="1">
      <alignment horizontal="center"/>
    </xf>
    <xf numFmtId="0" fontId="34" fillId="0" borderId="1" xfId="2" applyNumberFormat="1" applyFont="1" applyBorder="1" applyAlignment="1">
      <alignment horizontal="center" wrapText="1" readingOrder="2"/>
    </xf>
    <xf numFmtId="0" fontId="31" fillId="0" borderId="1" xfId="2" applyNumberFormat="1" applyFont="1" applyFill="1" applyBorder="1" applyAlignment="1">
      <alignment horizontal="center" wrapText="1" readingOrder="2"/>
    </xf>
    <xf numFmtId="37" fontId="37" fillId="0" borderId="33" xfId="2" applyNumberFormat="1" applyFont="1" applyFill="1" applyBorder="1" applyAlignment="1" applyProtection="1">
      <alignment horizontal="center"/>
    </xf>
    <xf numFmtId="37" fontId="37" fillId="0" borderId="0" xfId="2" applyNumberFormat="1" applyFont="1" applyFill="1" applyBorder="1" applyAlignment="1" applyProtection="1">
      <alignment horizontal="center"/>
    </xf>
    <xf numFmtId="37" fontId="37" fillId="0" borderId="27" xfId="2" applyNumberFormat="1" applyFont="1" applyFill="1" applyBorder="1" applyAlignment="1" applyProtection="1">
      <alignment horizontal="center"/>
    </xf>
    <xf numFmtId="37" fontId="38" fillId="0" borderId="0" xfId="2" applyNumberFormat="1" applyFont="1" applyFill="1" applyBorder="1" applyProtection="1">
      <protection locked="0"/>
    </xf>
    <xf numFmtId="165" fontId="37" fillId="0" borderId="0" xfId="2" applyNumberFormat="1" applyFont="1" applyFill="1" applyBorder="1" applyAlignment="1" applyProtection="1">
      <alignment horizontal="left"/>
      <protection locked="0"/>
    </xf>
    <xf numFmtId="165" fontId="35" fillId="0" borderId="28" xfId="2" applyNumberFormat="1" applyFont="1" applyFill="1" applyBorder="1" applyAlignment="1" applyProtection="1">
      <alignment horizontal="left"/>
      <protection locked="0"/>
    </xf>
    <xf numFmtId="164" fontId="35" fillId="0" borderId="15" xfId="2" applyFont="1" applyFill="1" applyBorder="1" applyAlignment="1" applyProtection="1">
      <alignment horizontal="left"/>
    </xf>
    <xf numFmtId="164" fontId="37" fillId="0" borderId="27" xfId="2" applyFont="1" applyFill="1" applyBorder="1" applyAlignment="1" applyProtection="1">
      <alignment horizontal="left"/>
    </xf>
    <xf numFmtId="37" fontId="35" fillId="0" borderId="25" xfId="2" applyNumberFormat="1" applyFont="1" applyFill="1" applyBorder="1" applyAlignment="1" applyProtection="1">
      <alignment horizontal="center"/>
    </xf>
    <xf numFmtId="37" fontId="35" fillId="0" borderId="28" xfId="2" applyNumberFormat="1" applyFont="1" applyFill="1" applyBorder="1" applyAlignment="1" applyProtection="1">
      <alignment horizontal="center"/>
    </xf>
    <xf numFmtId="37" fontId="35" fillId="0" borderId="15" xfId="2" applyNumberFormat="1" applyFont="1" applyFill="1" applyBorder="1" applyAlignment="1" applyProtection="1">
      <alignment horizontal="center"/>
    </xf>
    <xf numFmtId="37" fontId="35" fillId="0" borderId="28" xfId="2" applyNumberFormat="1" applyFont="1" applyFill="1" applyBorder="1" applyAlignment="1" applyProtection="1">
      <alignment horizontal="center"/>
      <protection locked="0"/>
    </xf>
    <xf numFmtId="37" fontId="35" fillId="0" borderId="15" xfId="2" applyNumberFormat="1" applyFont="1" applyFill="1" applyBorder="1" applyAlignment="1" applyProtection="1">
      <alignment horizontal="center"/>
      <protection locked="0"/>
    </xf>
    <xf numFmtId="37" fontId="36" fillId="0" borderId="28" xfId="2" applyNumberFormat="1" applyFont="1" applyFill="1" applyBorder="1" applyProtection="1">
      <protection locked="0"/>
    </xf>
    <xf numFmtId="37" fontId="35" fillId="0" borderId="33" xfId="2" applyNumberFormat="1" applyFont="1" applyFill="1" applyBorder="1" applyAlignment="1" applyProtection="1">
      <alignment horizontal="center"/>
      <protection locked="0"/>
    </xf>
    <xf numFmtId="37" fontId="35" fillId="0" borderId="0" xfId="2" applyNumberFormat="1" applyFont="1" applyFill="1" applyBorder="1" applyAlignment="1" applyProtection="1">
      <alignment horizontal="center"/>
      <protection locked="0"/>
    </xf>
    <xf numFmtId="37" fontId="35" fillId="0" borderId="27" xfId="2" applyNumberFormat="1" applyFont="1" applyFill="1" applyBorder="1" applyAlignment="1" applyProtection="1">
      <alignment horizontal="center"/>
      <protection locked="0"/>
    </xf>
    <xf numFmtId="37" fontId="37" fillId="0" borderId="33" xfId="2" applyNumberFormat="1" applyFont="1" applyFill="1" applyBorder="1" applyAlignment="1" applyProtection="1">
      <alignment horizontal="center"/>
      <protection locked="0"/>
    </xf>
    <xf numFmtId="37" fontId="37" fillId="0" borderId="0" xfId="2" applyNumberFormat="1" applyFont="1" applyFill="1" applyBorder="1" applyAlignment="1" applyProtection="1">
      <alignment horizontal="center"/>
      <protection locked="0"/>
    </xf>
    <xf numFmtId="37" fontId="37" fillId="0" borderId="27" xfId="2" applyNumberFormat="1" applyFont="1" applyFill="1" applyBorder="1" applyAlignment="1" applyProtection="1">
      <alignment horizontal="center"/>
      <protection locked="0"/>
    </xf>
    <xf numFmtId="169" fontId="35" fillId="0" borderId="1" xfId="2" applyNumberFormat="1" applyFont="1" applyFill="1" applyBorder="1" applyAlignment="1" applyProtection="1">
      <alignment horizontal="center"/>
      <protection locked="0"/>
    </xf>
    <xf numFmtId="3" fontId="35" fillId="0" borderId="1" xfId="2" applyNumberFormat="1" applyFont="1" applyFill="1" applyBorder="1" applyAlignment="1" applyProtection="1">
      <alignment horizontal="center"/>
    </xf>
    <xf numFmtId="170" fontId="35" fillId="0" borderId="0" xfId="2" applyNumberFormat="1" applyFont="1" applyFill="1" applyBorder="1" applyAlignment="1" applyProtection="1">
      <alignment horizontal="center"/>
    </xf>
    <xf numFmtId="170" fontId="35" fillId="0" borderId="33" xfId="2" applyNumberFormat="1" applyFont="1" applyFill="1" applyBorder="1" applyAlignment="1" applyProtection="1">
      <alignment horizontal="center"/>
    </xf>
    <xf numFmtId="0" fontId="25" fillId="0" borderId="11" xfId="2" applyNumberFormat="1" applyFont="1" applyFill="1" applyBorder="1" applyAlignment="1" applyProtection="1">
      <alignment horizontal="center" readingOrder="2"/>
      <protection locked="0"/>
    </xf>
    <xf numFmtId="164" fontId="25" fillId="0" borderId="11" xfId="2" applyFont="1" applyFill="1" applyBorder="1" applyAlignment="1" applyProtection="1">
      <alignment horizontal="center"/>
      <protection locked="0"/>
    </xf>
    <xf numFmtId="0" fontId="26" fillId="0" borderId="10" xfId="2" applyNumberFormat="1" applyFont="1" applyBorder="1" applyAlignment="1">
      <alignment horizontal="center" readingOrder="2"/>
    </xf>
    <xf numFmtId="0" fontId="25" fillId="0" borderId="10" xfId="2" applyNumberFormat="1" applyFont="1" applyFill="1" applyBorder="1" applyAlignment="1">
      <alignment horizontal="center" readingOrder="2"/>
    </xf>
    <xf numFmtId="0" fontId="25" fillId="0" borderId="10" xfId="2" applyNumberFormat="1" applyFont="1" applyFill="1" applyBorder="1" applyAlignment="1" applyProtection="1">
      <alignment horizontal="center" readingOrder="2"/>
      <protection locked="0"/>
    </xf>
    <xf numFmtId="164" fontId="25" fillId="0" borderId="15" xfId="2" applyFont="1" applyFill="1" applyBorder="1" applyAlignment="1">
      <alignment horizontal="center"/>
    </xf>
    <xf numFmtId="164" fontId="25" fillId="0" borderId="15" xfId="2" applyFont="1" applyFill="1" applyBorder="1" applyAlignment="1" applyProtection="1">
      <alignment horizontal="center"/>
      <protection locked="0"/>
    </xf>
    <xf numFmtId="170" fontId="37" fillId="0" borderId="0" xfId="2" applyNumberFormat="1" applyFont="1" applyFill="1" applyBorder="1" applyAlignment="1" applyProtection="1">
      <alignment horizontal="center"/>
    </xf>
    <xf numFmtId="37" fontId="39" fillId="0" borderId="0" xfId="2" applyNumberFormat="1" applyFont="1" applyFill="1" applyBorder="1" applyAlignment="1" applyProtection="1">
      <alignment horizontal="center"/>
    </xf>
    <xf numFmtId="37" fontId="40" fillId="0" borderId="0" xfId="2" applyNumberFormat="1" applyFont="1" applyFill="1" applyBorder="1" applyAlignment="1" applyProtection="1">
      <alignment horizontal="center"/>
    </xf>
    <xf numFmtId="37" fontId="28" fillId="0" borderId="0" xfId="2" applyNumberFormat="1" applyFont="1" applyFill="1" applyBorder="1" applyAlignment="1" applyProtection="1">
      <alignment horizontal="center"/>
      <protection locked="0"/>
    </xf>
    <xf numFmtId="0" fontId="41" fillId="0" borderId="0" xfId="2" applyNumberFormat="1" applyFont="1" applyAlignment="1">
      <alignment horizontal="right" readingOrder="2"/>
    </xf>
    <xf numFmtId="0" fontId="41" fillId="0" borderId="30" xfId="2" applyNumberFormat="1" applyFont="1" applyFill="1" applyBorder="1" applyAlignment="1">
      <alignment horizontal="right" vertical="top" readingOrder="2"/>
    </xf>
    <xf numFmtId="0" fontId="43" fillId="0" borderId="11" xfId="2" applyNumberFormat="1" applyFont="1" applyFill="1" applyBorder="1" applyAlignment="1">
      <alignment horizontal="center" readingOrder="2"/>
    </xf>
    <xf numFmtId="164" fontId="43" fillId="0" borderId="13" xfId="2" applyFont="1" applyFill="1" applyBorder="1" applyAlignment="1">
      <alignment horizontal="center"/>
    </xf>
    <xf numFmtId="164" fontId="31" fillId="0" borderId="27" xfId="2" applyFont="1" applyFill="1" applyBorder="1" applyAlignment="1">
      <alignment horizontal="centerContinuous"/>
    </xf>
    <xf numFmtId="164" fontId="44" fillId="0" borderId="0" xfId="2" applyFont="1" applyFill="1" applyAlignment="1" applyProtection="1">
      <alignment horizontal="left"/>
      <protection locked="0"/>
    </xf>
    <xf numFmtId="164" fontId="31" fillId="0" borderId="30" xfId="2" applyFont="1" applyFill="1" applyBorder="1" applyAlignment="1" applyProtection="1">
      <alignment horizontal="left" vertical="top"/>
      <protection locked="0"/>
    </xf>
    <xf numFmtId="0" fontId="21" fillId="0" borderId="0" xfId="2" applyNumberFormat="1" applyFont="1" applyAlignment="1">
      <alignment horizontal="right" readingOrder="2"/>
    </xf>
    <xf numFmtId="0" fontId="21" fillId="0" borderId="30" xfId="2" applyNumberFormat="1" applyFont="1" applyFill="1" applyBorder="1" applyAlignment="1">
      <alignment horizontal="right" vertical="top" readingOrder="2"/>
    </xf>
    <xf numFmtId="164" fontId="25" fillId="0" borderId="31" xfId="2" applyFont="1" applyFill="1" applyBorder="1"/>
    <xf numFmtId="164" fontId="25" fillId="0" borderId="33" xfId="2" applyFont="1" applyFill="1" applyBorder="1"/>
    <xf numFmtId="164" fontId="31" fillId="0" borderId="33" xfId="2" applyFont="1" applyFill="1" applyBorder="1" applyAlignment="1">
      <alignment horizontal="center"/>
    </xf>
    <xf numFmtId="164" fontId="25" fillId="0" borderId="33" xfId="2" applyFont="1" applyFill="1" applyBorder="1" applyAlignment="1">
      <alignment horizontal="center"/>
    </xf>
    <xf numFmtId="164" fontId="27" fillId="0" borderId="12" xfId="2" applyFont="1" applyFill="1" applyBorder="1"/>
    <xf numFmtId="164" fontId="27" fillId="0" borderId="33" xfId="2" applyFont="1" applyFill="1" applyBorder="1"/>
    <xf numFmtId="165" fontId="28" fillId="0" borderId="33" xfId="2" applyNumberFormat="1" applyFont="1" applyFill="1" applyBorder="1"/>
    <xf numFmtId="165" fontId="28" fillId="0" borderId="33" xfId="2" applyNumberFormat="1" applyFont="1" applyFill="1" applyBorder="1" applyAlignment="1" applyProtection="1">
      <alignment horizontal="left"/>
      <protection locked="0"/>
    </xf>
    <xf numFmtId="165" fontId="37" fillId="0" borderId="33" xfId="2" applyNumberFormat="1" applyFont="1" applyFill="1" applyBorder="1" applyAlignment="1" applyProtection="1">
      <alignment horizontal="left"/>
      <protection locked="0"/>
    </xf>
    <xf numFmtId="165" fontId="35" fillId="0" borderId="33" xfId="2" applyNumberFormat="1" applyFont="1" applyFill="1" applyBorder="1" applyAlignment="1" applyProtection="1">
      <alignment horizontal="left"/>
      <protection locked="0"/>
    </xf>
    <xf numFmtId="165" fontId="35" fillId="0" borderId="25" xfId="2" applyNumberFormat="1" applyFont="1" applyFill="1" applyBorder="1" applyAlignment="1" applyProtection="1">
      <alignment horizontal="left"/>
      <protection locked="0"/>
    </xf>
    <xf numFmtId="164" fontId="31" fillId="0" borderId="28" xfId="2" applyFont="1" applyFill="1" applyBorder="1"/>
    <xf numFmtId="164" fontId="25" fillId="0" borderId="32" xfId="2" applyFont="1" applyFill="1" applyBorder="1" applyAlignment="1" applyProtection="1">
      <alignment horizontal="left"/>
      <protection locked="0"/>
    </xf>
    <xf numFmtId="164" fontId="25" fillId="0" borderId="28" xfId="2" applyFont="1" applyFill="1" applyBorder="1" applyAlignment="1" applyProtection="1">
      <alignment horizontal="left"/>
      <protection locked="0"/>
    </xf>
    <xf numFmtId="164" fontId="31" fillId="0" borderId="25" xfId="2" applyFont="1" applyFill="1" applyBorder="1" applyAlignment="1" applyProtection="1">
      <alignment horizontal="left"/>
      <protection locked="0"/>
    </xf>
    <xf numFmtId="0" fontId="31" fillId="0" borderId="27" xfId="2" applyNumberFormat="1" applyFont="1" applyFill="1" applyBorder="1" applyAlignment="1">
      <alignment readingOrder="2"/>
    </xf>
    <xf numFmtId="0" fontId="31" fillId="0" borderId="0" xfId="2" applyNumberFormat="1" applyFont="1" applyFill="1" applyBorder="1" applyAlignment="1">
      <alignment readingOrder="2"/>
    </xf>
    <xf numFmtId="37" fontId="39" fillId="0" borderId="27" xfId="2" applyNumberFormat="1" applyFont="1" applyFill="1" applyBorder="1" applyAlignment="1" applyProtection="1">
      <alignment horizontal="center"/>
    </xf>
    <xf numFmtId="37" fontId="37" fillId="0" borderId="1" xfId="2" applyNumberFormat="1" applyFont="1" applyFill="1" applyBorder="1" applyAlignment="1" applyProtection="1">
      <alignment horizontal="center"/>
      <protection locked="0"/>
    </xf>
    <xf numFmtId="0" fontId="31" fillId="0" borderId="31" xfId="2" applyNumberFormat="1" applyFont="1" applyFill="1" applyBorder="1" applyAlignment="1">
      <alignment horizontal="centerContinuous" readingOrder="2"/>
    </xf>
    <xf numFmtId="164" fontId="31" fillId="0" borderId="25" xfId="2" applyFont="1" applyFill="1" applyBorder="1" applyAlignment="1">
      <alignment horizontal="left"/>
    </xf>
    <xf numFmtId="37" fontId="35" fillId="0" borderId="25" xfId="2" applyNumberFormat="1" applyFont="1" applyFill="1" applyBorder="1" applyAlignment="1" applyProtection="1">
      <alignment horizontal="center"/>
      <protection locked="0"/>
    </xf>
    <xf numFmtId="37" fontId="39" fillId="0" borderId="33" xfId="2" applyNumberFormat="1" applyFont="1" applyFill="1" applyBorder="1" applyAlignment="1" applyProtection="1">
      <alignment horizontal="center"/>
    </xf>
    <xf numFmtId="0" fontId="4" fillId="0" borderId="0" xfId="1" applyFont="1" applyAlignment="1"/>
    <xf numFmtId="0" fontId="6" fillId="4" borderId="9" xfId="1" applyFont="1" applyFill="1" applyBorder="1" applyAlignment="1">
      <alignment vertical="center" textRotation="180"/>
    </xf>
    <xf numFmtId="0" fontId="6" fillId="4" borderId="35" xfId="1" applyFont="1" applyFill="1" applyBorder="1" applyAlignment="1">
      <alignment vertical="center" textRotation="180"/>
    </xf>
    <xf numFmtId="0" fontId="1" fillId="0" borderId="36" xfId="1" applyBorder="1" applyAlignment="1"/>
    <xf numFmtId="0" fontId="1" fillId="0" borderId="21" xfId="1" applyBorder="1" applyAlignment="1"/>
  </cellXfs>
  <cellStyles count="3">
    <cellStyle name="Normal" xfId="0" builtinId="0"/>
    <cellStyle name="Normal_3תנועת מטענים-חתך מכולות" xfId="1" xr:uid="{00000000-0005-0000-0000-000001000000}"/>
    <cellStyle name="Normal_פריקה וטעינת מטענים בנמלי ישראל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1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מכולות - סה"כ תנועות (</a:t>
            </a:r>
            <a:r>
              <a:rPr lang="en-US" sz="1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TEU) </a:t>
            </a:r>
            <a:r>
              <a:rPr lang="he-IL" sz="1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בנמלי ישראל  2005-2003(</a:t>
            </a:r>
            <a:r>
              <a:rPr lang="en-US" sz="1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Q3)</a:t>
            </a:r>
          </a:p>
        </c:rich>
      </c:tx>
      <c:layout>
        <c:manualLayout>
          <c:xMode val="edge"/>
          <c:yMode val="edge"/>
          <c:x val="0.35976594463744188"/>
          <c:y val="3.02375809935205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6833434203240779E-2"/>
          <c:y val="0.13606925796990793"/>
          <c:w val="0.94731264638371671"/>
          <c:h val="0.5637154973039108"/>
        </c:manualLayout>
      </c:layout>
      <c:barChart>
        <c:barDir val="col"/>
        <c:grouping val="clustered"/>
        <c:varyColors val="0"/>
        <c:ser>
          <c:idx val="14"/>
          <c:order val="0"/>
          <c:tx>
            <c:strRef>
              <c:f>'לא להפצה'!$C$5:$C$6</c:f>
              <c:strCache>
                <c:ptCount val="2"/>
                <c:pt idx="1">
                  <c:v>נמל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להפצה'!$C$7:$C$21</c:f>
            </c:numRef>
          </c:val>
          <c:extLst>
            <c:ext xmlns:c16="http://schemas.microsoft.com/office/drawing/2014/chart" uri="{C3380CC4-5D6E-409C-BE32-E72D297353CC}">
              <c16:uniqueId val="{00000000-6FD2-47C1-B1FC-CF888CB8D916}"/>
            </c:ext>
          </c:extLst>
        </c:ser>
        <c:ser>
          <c:idx val="0"/>
          <c:order val="1"/>
          <c:tx>
            <c:strRef>
              <c:f>'לא להפצה'!$D$5:$D$6</c:f>
              <c:strCache>
                <c:ptCount val="2"/>
                <c:pt idx="1">
                  <c:v>חיפה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להפצה'!$D$7:$D$21</c:f>
            </c:numRef>
          </c:val>
          <c:extLst>
            <c:ext xmlns:c16="http://schemas.microsoft.com/office/drawing/2014/chart" uri="{C3380CC4-5D6E-409C-BE32-E72D297353CC}">
              <c16:uniqueId val="{00000001-6FD2-47C1-B1FC-CF888CB8D916}"/>
            </c:ext>
          </c:extLst>
        </c:ser>
        <c:ser>
          <c:idx val="1"/>
          <c:order val="2"/>
          <c:tx>
            <c:strRef>
              <c:f>'לא להפצה'!$E$5:$E$6</c:f>
              <c:strCache>
                <c:ptCount val="2"/>
                <c:pt idx="1">
                  <c:v>חיפה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להפצה'!$E$7:$E$21</c:f>
            </c:numRef>
          </c:val>
          <c:extLst>
            <c:ext xmlns:c16="http://schemas.microsoft.com/office/drawing/2014/chart" uri="{C3380CC4-5D6E-409C-BE32-E72D297353CC}">
              <c16:uniqueId val="{00000002-6FD2-47C1-B1FC-CF888CB8D916}"/>
            </c:ext>
          </c:extLst>
        </c:ser>
        <c:ser>
          <c:idx val="2"/>
          <c:order val="3"/>
          <c:tx>
            <c:strRef>
              <c:f>'לא להפצה'!$F$5:$F$6</c:f>
              <c:strCache>
                <c:ptCount val="2"/>
                <c:pt idx="1">
                  <c:v>חיפה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להפצה'!$F$7:$F$21</c:f>
            </c:numRef>
          </c:val>
          <c:extLst>
            <c:ext xmlns:c16="http://schemas.microsoft.com/office/drawing/2014/chart" uri="{C3380CC4-5D6E-409C-BE32-E72D297353CC}">
              <c16:uniqueId val="{00000003-6FD2-47C1-B1FC-CF888CB8D916}"/>
            </c:ext>
          </c:extLst>
        </c:ser>
        <c:ser>
          <c:idx val="3"/>
          <c:order val="4"/>
          <c:tx>
            <c:strRef>
              <c:f>'לא להפצה'!$G$5:$G$6</c:f>
              <c:strCache>
                <c:ptCount val="2"/>
                <c:pt idx="1">
                  <c:v>חיפה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להפצה'!$G$7:$G$21</c:f>
            </c:numRef>
          </c:val>
          <c:extLst>
            <c:ext xmlns:c16="http://schemas.microsoft.com/office/drawing/2014/chart" uri="{C3380CC4-5D6E-409C-BE32-E72D297353CC}">
              <c16:uniqueId val="{00000004-6FD2-47C1-B1FC-CF888CB8D916}"/>
            </c:ext>
          </c:extLst>
        </c:ser>
        <c:ser>
          <c:idx val="12"/>
          <c:order val="5"/>
          <c:tx>
            <c:strRef>
              <c:f>'לא להפצה'!$H$5:$H$6</c:f>
              <c:strCache>
                <c:ptCount val="2"/>
                <c:pt idx="1">
                  <c:v>חיפה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להפצה'!$H$7:$H$21</c:f>
              <c:numCache>
                <c:formatCode>#,##0</c:formatCode>
                <c:ptCount val="12"/>
                <c:pt idx="0">
                  <c:v>277</c:v>
                </c:pt>
                <c:pt idx="1">
                  <c:v>285.63200000000001</c:v>
                </c:pt>
                <c:pt idx="2">
                  <c:v>292.24799999999999</c:v>
                </c:pt>
                <c:pt idx="3">
                  <c:v>252.25800000000001</c:v>
                </c:pt>
                <c:pt idx="4">
                  <c:v>276.476</c:v>
                </c:pt>
                <c:pt idx="5">
                  <c:v>210.02099999999999</c:v>
                </c:pt>
                <c:pt idx="6">
                  <c:v>285.339</c:v>
                </c:pt>
                <c:pt idx="7">
                  <c:v>259.48399999999998</c:v>
                </c:pt>
                <c:pt idx="8">
                  <c:v>225.328</c:v>
                </c:pt>
                <c:pt idx="9">
                  <c:v>286.84899999999999</c:v>
                </c:pt>
                <c:pt idx="10">
                  <c:v>265.536</c:v>
                </c:pt>
                <c:pt idx="11">
                  <c:v>236.12299999999999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D2-47C1-B1FC-CF888CB8D916}"/>
            </c:ext>
          </c:extLst>
        </c:ser>
        <c:ser>
          <c:idx val="4"/>
          <c:order val="6"/>
          <c:tx>
            <c:strRef>
              <c:f>'לא להפצה'!$I$5:$I$6</c:f>
              <c:strCache>
                <c:ptCount val="2"/>
                <c:pt idx="1">
                  <c:v>חיפה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להפצה'!$I$7:$I$21</c:f>
            </c:numRef>
          </c:val>
          <c:extLst>
            <c:ext xmlns:c16="http://schemas.microsoft.com/office/drawing/2014/chart" uri="{C3380CC4-5D6E-409C-BE32-E72D297353CC}">
              <c16:uniqueId val="{00000006-6FD2-47C1-B1FC-CF888CB8D916}"/>
            </c:ext>
          </c:extLst>
        </c:ser>
        <c:ser>
          <c:idx val="5"/>
          <c:order val="7"/>
          <c:tx>
            <c:strRef>
              <c:f>'לא להפצה'!$J$5:$J$6</c:f>
              <c:strCache>
                <c:ptCount val="2"/>
                <c:pt idx="1">
                  <c:v>אשדוד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להפצה'!$J$7:$J$21</c:f>
            </c:numRef>
          </c:val>
          <c:extLst>
            <c:ext xmlns:c16="http://schemas.microsoft.com/office/drawing/2014/chart" uri="{C3380CC4-5D6E-409C-BE32-E72D297353CC}">
              <c16:uniqueId val="{00000007-6FD2-47C1-B1FC-CF888CB8D916}"/>
            </c:ext>
          </c:extLst>
        </c:ser>
        <c:ser>
          <c:idx val="6"/>
          <c:order val="8"/>
          <c:tx>
            <c:strRef>
              <c:f>'לא להפצה'!$K$5:$K$6</c:f>
              <c:strCache>
                <c:ptCount val="2"/>
                <c:pt idx="1">
                  <c:v>אשדוד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להפצה'!$K$7:$K$21</c:f>
            </c:numRef>
          </c:val>
          <c:extLst>
            <c:ext xmlns:c16="http://schemas.microsoft.com/office/drawing/2014/chart" uri="{C3380CC4-5D6E-409C-BE32-E72D297353CC}">
              <c16:uniqueId val="{00000008-6FD2-47C1-B1FC-CF888CB8D916}"/>
            </c:ext>
          </c:extLst>
        </c:ser>
        <c:ser>
          <c:idx val="7"/>
          <c:order val="9"/>
          <c:tx>
            <c:strRef>
              <c:f>'לא להפצה'!$L$5:$L$6</c:f>
              <c:strCache>
                <c:ptCount val="2"/>
                <c:pt idx="1">
                  <c:v>אשדוד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להפצה'!$L$7:$L$21</c:f>
            </c:numRef>
          </c:val>
          <c:extLst>
            <c:ext xmlns:c16="http://schemas.microsoft.com/office/drawing/2014/chart" uri="{C3380CC4-5D6E-409C-BE32-E72D297353CC}">
              <c16:uniqueId val="{00000009-6FD2-47C1-B1FC-CF888CB8D916}"/>
            </c:ext>
          </c:extLst>
        </c:ser>
        <c:ser>
          <c:idx val="15"/>
          <c:order val="10"/>
          <c:tx>
            <c:strRef>
              <c:f>'לא להפצה'!$M$5:$M$6</c:f>
              <c:strCache>
                <c:ptCount val="2"/>
                <c:pt idx="1">
                  <c:v>אשדוד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להפצה'!$M$7:$M$21</c:f>
            </c:numRef>
          </c:val>
          <c:extLst>
            <c:ext xmlns:c16="http://schemas.microsoft.com/office/drawing/2014/chart" uri="{C3380CC4-5D6E-409C-BE32-E72D297353CC}">
              <c16:uniqueId val="{0000000A-6FD2-47C1-B1FC-CF888CB8D916}"/>
            </c:ext>
          </c:extLst>
        </c:ser>
        <c:ser>
          <c:idx val="8"/>
          <c:order val="11"/>
          <c:tx>
            <c:strRef>
              <c:f>'לא להפצה'!$N$5:$N$6</c:f>
              <c:strCache>
                <c:ptCount val="2"/>
                <c:pt idx="1">
                  <c:v>אשדוד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להפצה'!$N$7:$N$21</c:f>
              <c:numCache>
                <c:formatCode>#,##0</c:formatCode>
                <c:ptCount val="12"/>
                <c:pt idx="0">
                  <c:v>137</c:v>
                </c:pt>
                <c:pt idx="1">
                  <c:v>139.85499999999999</c:v>
                </c:pt>
                <c:pt idx="2">
                  <c:v>154.524</c:v>
                </c:pt>
                <c:pt idx="3">
                  <c:v>154.87100000000001</c:v>
                </c:pt>
                <c:pt idx="4">
                  <c:v>156.43700000000001</c:v>
                </c:pt>
                <c:pt idx="5">
                  <c:v>113.30200000000001</c:v>
                </c:pt>
                <c:pt idx="6">
                  <c:v>142.827</c:v>
                </c:pt>
                <c:pt idx="7">
                  <c:v>132.434</c:v>
                </c:pt>
                <c:pt idx="8">
                  <c:v>123.809</c:v>
                </c:pt>
                <c:pt idx="9">
                  <c:v>138.94</c:v>
                </c:pt>
                <c:pt idx="10">
                  <c:v>129.14400000000001</c:v>
                </c:pt>
                <c:pt idx="11">
                  <c:v>122.384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D2-47C1-B1FC-CF888CB8D916}"/>
            </c:ext>
          </c:extLst>
        </c:ser>
        <c:ser>
          <c:idx val="9"/>
          <c:order val="12"/>
          <c:tx>
            <c:strRef>
              <c:f>'לא להפצה'!$O$5:$O$6</c:f>
              <c:strCache>
                <c:ptCount val="2"/>
                <c:pt idx="1">
                  <c:v>אשדוד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להפצה'!$O$7:$O$21</c:f>
            </c:numRef>
          </c:val>
          <c:extLst>
            <c:ext xmlns:c16="http://schemas.microsoft.com/office/drawing/2014/chart" uri="{C3380CC4-5D6E-409C-BE32-E72D297353CC}">
              <c16:uniqueId val="{0000000C-6FD2-47C1-B1FC-CF888CB8D916}"/>
            </c:ext>
          </c:extLst>
        </c:ser>
        <c:ser>
          <c:idx val="10"/>
          <c:order val="13"/>
          <c:tx>
            <c:strRef>
              <c:f>'לא להפצה'!$P$5:$P$6</c:f>
              <c:strCache>
                <c:ptCount val="2"/>
                <c:pt idx="1">
                  <c:v>אילת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להפצה'!$P$7:$P$21</c:f>
            </c:numRef>
          </c:val>
          <c:extLst>
            <c:ext xmlns:c16="http://schemas.microsoft.com/office/drawing/2014/chart" uri="{C3380CC4-5D6E-409C-BE32-E72D297353CC}">
              <c16:uniqueId val="{0000000D-6FD2-47C1-B1FC-CF888CB8D916}"/>
            </c:ext>
          </c:extLst>
        </c:ser>
        <c:ser>
          <c:idx val="11"/>
          <c:order val="14"/>
          <c:tx>
            <c:strRef>
              <c:f>'לא להפצה'!$Q$5:$Q$6</c:f>
              <c:strCache>
                <c:ptCount val="2"/>
                <c:pt idx="1">
                  <c:v>אילת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להפצה'!$Q$7:$Q$21</c:f>
            </c:numRef>
          </c:val>
          <c:extLst>
            <c:ext xmlns:c16="http://schemas.microsoft.com/office/drawing/2014/chart" uri="{C3380CC4-5D6E-409C-BE32-E72D297353CC}">
              <c16:uniqueId val="{0000000E-6FD2-47C1-B1FC-CF888CB8D916}"/>
            </c:ext>
          </c:extLst>
        </c:ser>
        <c:ser>
          <c:idx val="16"/>
          <c:order val="15"/>
          <c:tx>
            <c:strRef>
              <c:f>'לא להפצה'!$R$5:$R$6</c:f>
              <c:strCache>
                <c:ptCount val="2"/>
                <c:pt idx="1">
                  <c:v>אילת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להפצה'!$R$7:$R$21</c:f>
            </c:numRef>
          </c:val>
          <c:extLst>
            <c:ext xmlns:c16="http://schemas.microsoft.com/office/drawing/2014/chart" uri="{C3380CC4-5D6E-409C-BE32-E72D297353CC}">
              <c16:uniqueId val="{0000000F-6FD2-47C1-B1FC-CF888CB8D916}"/>
            </c:ext>
          </c:extLst>
        </c:ser>
        <c:ser>
          <c:idx val="17"/>
          <c:order val="16"/>
          <c:tx>
            <c:strRef>
              <c:f>'לא להפצה'!$S$5:$S$6</c:f>
              <c:strCache>
                <c:ptCount val="2"/>
                <c:pt idx="1">
                  <c:v>אילת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להפצה'!$S$7:$S$21</c:f>
            </c:numRef>
          </c:val>
          <c:extLst>
            <c:ext xmlns:c16="http://schemas.microsoft.com/office/drawing/2014/chart" uri="{C3380CC4-5D6E-409C-BE32-E72D297353CC}">
              <c16:uniqueId val="{00000010-6FD2-47C1-B1FC-CF888CB8D916}"/>
            </c:ext>
          </c:extLst>
        </c:ser>
        <c:ser>
          <c:idx val="13"/>
          <c:order val="17"/>
          <c:tx>
            <c:strRef>
              <c:f>'לא להפצה'!$T$5:$T$6</c:f>
              <c:strCache>
                <c:ptCount val="2"/>
                <c:pt idx="1">
                  <c:v>אילת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להפצה'!$T$7:$T$21</c:f>
              <c:numCache>
                <c:formatCode>#,##0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5.2009999999999996</c:v>
                </c:pt>
                <c:pt idx="3">
                  <c:v>4.0129999999999999</c:v>
                </c:pt>
                <c:pt idx="4">
                  <c:v>6.2380000000000004</c:v>
                </c:pt>
                <c:pt idx="5">
                  <c:v>10.035</c:v>
                </c:pt>
                <c:pt idx="6">
                  <c:v>6.4809999999999999</c:v>
                </c:pt>
                <c:pt idx="7">
                  <c:v>7.0970000000000004</c:v>
                </c:pt>
                <c:pt idx="8">
                  <c:v>5.0940000000000003</c:v>
                </c:pt>
                <c:pt idx="9">
                  <c:v>6.657</c:v>
                </c:pt>
                <c:pt idx="10">
                  <c:v>5.8639999999999999</c:v>
                </c:pt>
                <c:pt idx="11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FD2-47C1-B1FC-CF888CB8D916}"/>
            </c:ext>
          </c:extLst>
        </c:ser>
        <c:ser>
          <c:idx val="18"/>
          <c:order val="18"/>
          <c:tx>
            <c:strRef>
              <c:f>'לא להפצה'!$U$5:$U$6</c:f>
              <c:strCache>
                <c:ptCount val="2"/>
                <c:pt idx="1">
                  <c:v>אילת</c:v>
                </c:pt>
              </c:strCache>
            </c:strRef>
          </c:tx>
          <c:invertIfNegative val="0"/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להפצה'!$U$7:$U$21</c:f>
            </c:numRef>
          </c:val>
          <c:extLst>
            <c:ext xmlns:c16="http://schemas.microsoft.com/office/drawing/2014/chart" uri="{C3380CC4-5D6E-409C-BE32-E72D297353CC}">
              <c16:uniqueId val="{00000012-6FD2-47C1-B1FC-CF888CB8D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56576"/>
        <c:axId val="95716096"/>
      </c:barChart>
      <c:catAx>
        <c:axId val="9565657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t>שנה + רבעון</a:t>
                </a:r>
              </a:p>
            </c:rich>
          </c:tx>
          <c:layout>
            <c:manualLayout>
              <c:xMode val="edge"/>
              <c:yMode val="edge"/>
              <c:x val="0.4731241138763988"/>
              <c:y val="0.91144799124731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5716096"/>
        <c:crosses val="autoZero"/>
        <c:auto val="1"/>
        <c:lblAlgn val="ctr"/>
        <c:lblOffset val="100"/>
        <c:tickMarkSkip val="1"/>
        <c:noMultiLvlLbl val="0"/>
      </c:catAx>
      <c:valAx>
        <c:axId val="95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 sz="1550" b="1" i="0" u="none" strike="noStrike" baseline="0">
                    <a:solidFill>
                      <a:srgbClr val="FF00FF"/>
                    </a:solidFill>
                    <a:latin typeface="Arial"/>
                    <a:cs typeface="Arial"/>
                  </a:rPr>
                  <a:t>כמות מכולות ב- </a:t>
                </a:r>
                <a:r>
                  <a:rPr lang="en-US" sz="1550" b="1" i="0" u="none" strike="noStrike" baseline="0">
                    <a:solidFill>
                      <a:srgbClr val="FF00FF"/>
                    </a:solidFill>
                    <a:latin typeface="Arial"/>
                    <a:cs typeface="Arial"/>
                  </a:rPr>
                  <a:t>TEU</a:t>
                </a:r>
              </a:p>
            </c:rich>
          </c:tx>
          <c:layout>
            <c:manualLayout>
              <c:xMode val="edge"/>
              <c:yMode val="edge"/>
              <c:x val="2.6609898882384718E-3"/>
              <c:y val="0.2159829481358047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565657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</c:dTable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wMode val="edge"/>
          <c:hMode val="edge"/>
          <c:x val="2.6609898882384718E-3"/>
          <c:y val="2.1598272138228951E-2"/>
          <c:w val="0.12240559073277096"/>
          <c:h val="0.103671706263500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  <c:printSettings>
    <c:headerFooter alignWithMargins="0"/>
    <c:pageMargins b="0.5" l="0.25" r="0.25" t="1" header="0.5" footer="0.5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מכולות - סה"כ תנועות (</a:t>
            </a: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TEU) </a:t>
            </a:r>
            <a:r>
              <a:rPr lang="he-IL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בנמלי ישראל 2005-2003(</a:t>
            </a: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Q3)</a:t>
            </a:r>
          </a:p>
        </c:rich>
      </c:tx>
      <c:layout>
        <c:manualLayout>
          <c:xMode val="edge"/>
          <c:yMode val="edge"/>
          <c:x val="0.32770663562282215"/>
          <c:y val="2.8462998102466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95343422584503E-2"/>
          <c:y val="0.16508538899430741"/>
          <c:w val="0.90686845168801533"/>
          <c:h val="0.54079696394686849"/>
        </c:manualLayout>
      </c:layout>
      <c:lineChart>
        <c:grouping val="standard"/>
        <c:varyColors val="0"/>
        <c:ser>
          <c:idx val="12"/>
          <c:order val="0"/>
          <c:tx>
            <c:strRef>
              <c:f>'לא להפצה'!$C$5:$C$6</c:f>
              <c:strCache>
                <c:ptCount val="2"/>
                <c:pt idx="1">
                  <c:v>נמל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להפצה'!$C$7:$C$21</c:f>
            </c:numRef>
          </c:val>
          <c:smooth val="0"/>
          <c:extLst>
            <c:ext xmlns:c16="http://schemas.microsoft.com/office/drawing/2014/chart" uri="{C3380CC4-5D6E-409C-BE32-E72D297353CC}">
              <c16:uniqueId val="{00000000-08DF-474B-B3CB-6F9FCCCB216E}"/>
            </c:ext>
          </c:extLst>
        </c:ser>
        <c:ser>
          <c:idx val="0"/>
          <c:order val="1"/>
          <c:tx>
            <c:strRef>
              <c:f>'לא להפצה'!$D$5:$D$6</c:f>
              <c:strCache>
                <c:ptCount val="2"/>
                <c:pt idx="1">
                  <c:v>חיפה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להפצה'!$D$7:$D$21</c:f>
            </c:numRef>
          </c:val>
          <c:smooth val="0"/>
          <c:extLst>
            <c:ext xmlns:c16="http://schemas.microsoft.com/office/drawing/2014/chart" uri="{C3380CC4-5D6E-409C-BE32-E72D297353CC}">
              <c16:uniqueId val="{00000001-08DF-474B-B3CB-6F9FCCCB216E}"/>
            </c:ext>
          </c:extLst>
        </c:ser>
        <c:ser>
          <c:idx val="1"/>
          <c:order val="2"/>
          <c:tx>
            <c:strRef>
              <c:f>'לא להפצה'!$E$5:$E$6</c:f>
              <c:strCache>
                <c:ptCount val="2"/>
                <c:pt idx="1">
                  <c:v>חיפה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להפצה'!$E$7:$E$21</c:f>
            </c:numRef>
          </c:val>
          <c:smooth val="0"/>
          <c:extLst>
            <c:ext xmlns:c16="http://schemas.microsoft.com/office/drawing/2014/chart" uri="{C3380CC4-5D6E-409C-BE32-E72D297353CC}">
              <c16:uniqueId val="{00000002-08DF-474B-B3CB-6F9FCCCB216E}"/>
            </c:ext>
          </c:extLst>
        </c:ser>
        <c:ser>
          <c:idx val="2"/>
          <c:order val="3"/>
          <c:tx>
            <c:strRef>
              <c:f>'לא להפצה'!$F$5:$F$6</c:f>
              <c:strCache>
                <c:ptCount val="2"/>
                <c:pt idx="1">
                  <c:v>חיפה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להפצה'!$F$7:$F$21</c:f>
            </c:numRef>
          </c:val>
          <c:smooth val="0"/>
          <c:extLst>
            <c:ext xmlns:c16="http://schemas.microsoft.com/office/drawing/2014/chart" uri="{C3380CC4-5D6E-409C-BE32-E72D297353CC}">
              <c16:uniqueId val="{00000003-08DF-474B-B3CB-6F9FCCCB216E}"/>
            </c:ext>
          </c:extLst>
        </c:ser>
        <c:ser>
          <c:idx val="3"/>
          <c:order val="4"/>
          <c:tx>
            <c:strRef>
              <c:f>'לא להפצה'!$G$5:$G$6</c:f>
              <c:strCache>
                <c:ptCount val="2"/>
                <c:pt idx="1">
                  <c:v>חיפה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להפצה'!$G$7:$G$21</c:f>
            </c:numRef>
          </c:val>
          <c:smooth val="0"/>
          <c:extLst>
            <c:ext xmlns:c16="http://schemas.microsoft.com/office/drawing/2014/chart" uri="{C3380CC4-5D6E-409C-BE32-E72D297353CC}">
              <c16:uniqueId val="{00000004-08DF-474B-B3CB-6F9FCCCB216E}"/>
            </c:ext>
          </c:extLst>
        </c:ser>
        <c:ser>
          <c:idx val="13"/>
          <c:order val="5"/>
          <c:tx>
            <c:strRef>
              <c:f>'לא להפצה'!$H$5:$H$6</c:f>
              <c:strCache>
                <c:ptCount val="2"/>
                <c:pt idx="1">
                  <c:v>חיפה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827126091194407E-2"/>
                  <c:y val="-3.599515904914162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DF-474B-B3CB-6F9FCCCB216E}"/>
                </c:ext>
              </c:extLst>
            </c:dLbl>
            <c:dLbl>
              <c:idx val="1"/>
              <c:layout>
                <c:manualLayout>
                  <c:x val="-4.4771036332914724E-2"/>
                  <c:y val="-3.40428414190164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DF-474B-B3CB-6F9FCCCB216E}"/>
                </c:ext>
              </c:extLst>
            </c:dLbl>
            <c:dLbl>
              <c:idx val="2"/>
              <c:layout>
                <c:manualLayout>
                  <c:x val="-4.7778439802127079E-2"/>
                  <c:y val="-3.3307933282533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DF-474B-B3CB-6F9FCCCB216E}"/>
                </c:ext>
              </c:extLst>
            </c:dLbl>
            <c:dLbl>
              <c:idx val="3"/>
              <c:layout>
                <c:manualLayout>
                  <c:x val="-4.2636771684098414E-2"/>
                  <c:y val="-2.8684127956491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DF-474B-B3CB-6F9FCCCB216E}"/>
                </c:ext>
              </c:extLst>
            </c:dLbl>
            <c:dLbl>
              <c:idx val="4"/>
              <c:layout>
                <c:manualLayout>
                  <c:x val="-4.2733814268559898E-2"/>
                  <c:y val="-3.3009706803727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DF-474B-B3CB-6F9FCCCB216E}"/>
                </c:ext>
              </c:extLst>
            </c:dLbl>
            <c:dLbl>
              <c:idx val="5"/>
              <c:layout>
                <c:manualLayout>
                  <c:x val="-3.5845929619682401E-2"/>
                  <c:y val="-2.942979376154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DF-474B-B3CB-6F9FCCCB216E}"/>
                </c:ext>
              </c:extLst>
            </c:dLbl>
            <c:dLbl>
              <c:idx val="6"/>
              <c:layout>
                <c:manualLayout>
                  <c:x val="-4.4674054858392993E-2"/>
                  <c:y val="-2.69053275361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DF-474B-B3CB-6F9FCCCB216E}"/>
                </c:ext>
              </c:extLst>
            </c:dLbl>
            <c:dLbl>
              <c:idx val="7"/>
              <c:layout>
                <c:manualLayout>
                  <c:x val="-3.6039953678666185E-2"/>
                  <c:y val="-2.8904261730092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DF-474B-B3CB-6F9FCCCB216E}"/>
                </c:ext>
              </c:extLst>
            </c:dLbl>
            <c:dLbl>
              <c:idx val="8"/>
              <c:layout>
                <c:manualLayout>
                  <c:x val="-2.9734202316677852E-2"/>
                  <c:y val="-2.8548860234975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8DF-474B-B3CB-6F9FCCCB216E}"/>
                </c:ext>
              </c:extLst>
            </c:dLbl>
            <c:dLbl>
              <c:idx val="9"/>
              <c:layout>
                <c:manualLayout>
                  <c:x val="-3.448776120679909E-2"/>
                  <c:y val="-2.6469841174976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8DF-474B-B3CB-6F9FCCCB216E}"/>
                </c:ext>
              </c:extLst>
            </c:dLbl>
            <c:dLbl>
              <c:idx val="10"/>
              <c:layout>
                <c:manualLayout>
                  <c:x val="-3.7495164676010842E-2"/>
                  <c:y val="-2.714319154128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DF-474B-B3CB-6F9FCCCB216E}"/>
                </c:ext>
              </c:extLst>
            </c:dLbl>
            <c:dLbl>
              <c:idx val="11"/>
              <c:layout>
                <c:manualLayout>
                  <c:x val="-3.4099713088832452E-2"/>
                  <c:y val="-3.0844427179050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8DF-474B-B3CB-6F9FCCCB216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להפצה'!$H$7:$H$21</c:f>
              <c:numCache>
                <c:formatCode>#,##0</c:formatCode>
                <c:ptCount val="12"/>
                <c:pt idx="0">
                  <c:v>277</c:v>
                </c:pt>
                <c:pt idx="1">
                  <c:v>285.63200000000001</c:v>
                </c:pt>
                <c:pt idx="2">
                  <c:v>292.24799999999999</c:v>
                </c:pt>
                <c:pt idx="3">
                  <c:v>252.25800000000001</c:v>
                </c:pt>
                <c:pt idx="4">
                  <c:v>276.476</c:v>
                </c:pt>
                <c:pt idx="5">
                  <c:v>210.02099999999999</c:v>
                </c:pt>
                <c:pt idx="6">
                  <c:v>285.339</c:v>
                </c:pt>
                <c:pt idx="7">
                  <c:v>259.48399999999998</c:v>
                </c:pt>
                <c:pt idx="8">
                  <c:v>225.328</c:v>
                </c:pt>
                <c:pt idx="9">
                  <c:v>286.84899999999999</c:v>
                </c:pt>
                <c:pt idx="10">
                  <c:v>265.536</c:v>
                </c:pt>
                <c:pt idx="11">
                  <c:v>236.12299999999999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8DF-474B-B3CB-6F9FCCCB216E}"/>
            </c:ext>
          </c:extLst>
        </c:ser>
        <c:ser>
          <c:idx val="4"/>
          <c:order val="6"/>
          <c:tx>
            <c:strRef>
              <c:f>'לא להפצה'!$I$5:$I$6</c:f>
              <c:strCache>
                <c:ptCount val="2"/>
                <c:pt idx="1">
                  <c:v>חיפה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להפצה'!$I$7:$I$21</c:f>
            </c:numRef>
          </c:val>
          <c:smooth val="0"/>
          <c:extLst>
            <c:ext xmlns:c16="http://schemas.microsoft.com/office/drawing/2014/chart" uri="{C3380CC4-5D6E-409C-BE32-E72D297353CC}">
              <c16:uniqueId val="{00000012-08DF-474B-B3CB-6F9FCCCB216E}"/>
            </c:ext>
          </c:extLst>
        </c:ser>
        <c:ser>
          <c:idx val="5"/>
          <c:order val="7"/>
          <c:tx>
            <c:strRef>
              <c:f>'לא להפצה'!$J$5:$J$6</c:f>
              <c:strCache>
                <c:ptCount val="2"/>
                <c:pt idx="1">
                  <c:v>אשדוד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להפצה'!$J$7:$J$21</c:f>
            </c:numRef>
          </c:val>
          <c:smooth val="0"/>
          <c:extLst>
            <c:ext xmlns:c16="http://schemas.microsoft.com/office/drawing/2014/chart" uri="{C3380CC4-5D6E-409C-BE32-E72D297353CC}">
              <c16:uniqueId val="{00000013-08DF-474B-B3CB-6F9FCCCB216E}"/>
            </c:ext>
          </c:extLst>
        </c:ser>
        <c:ser>
          <c:idx val="6"/>
          <c:order val="8"/>
          <c:tx>
            <c:strRef>
              <c:f>'לא להפצה'!$K$5:$K$6</c:f>
              <c:strCache>
                <c:ptCount val="2"/>
                <c:pt idx="1">
                  <c:v>אשדוד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להפצה'!$K$7:$K$21</c:f>
            </c:numRef>
          </c:val>
          <c:smooth val="0"/>
          <c:extLst>
            <c:ext xmlns:c16="http://schemas.microsoft.com/office/drawing/2014/chart" uri="{C3380CC4-5D6E-409C-BE32-E72D297353CC}">
              <c16:uniqueId val="{00000014-08DF-474B-B3CB-6F9FCCCB216E}"/>
            </c:ext>
          </c:extLst>
        </c:ser>
        <c:ser>
          <c:idx val="7"/>
          <c:order val="9"/>
          <c:tx>
            <c:strRef>
              <c:f>'לא להפצה'!$L$5:$L$6</c:f>
              <c:strCache>
                <c:ptCount val="2"/>
                <c:pt idx="1">
                  <c:v>אשדוד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להפצה'!$L$7:$L$21</c:f>
            </c:numRef>
          </c:val>
          <c:smooth val="0"/>
          <c:extLst>
            <c:ext xmlns:c16="http://schemas.microsoft.com/office/drawing/2014/chart" uri="{C3380CC4-5D6E-409C-BE32-E72D297353CC}">
              <c16:uniqueId val="{00000015-08DF-474B-B3CB-6F9FCCCB216E}"/>
            </c:ext>
          </c:extLst>
        </c:ser>
        <c:ser>
          <c:idx val="14"/>
          <c:order val="10"/>
          <c:tx>
            <c:strRef>
              <c:f>'לא להפצה'!$M$5:$M$6</c:f>
              <c:strCache>
                <c:ptCount val="2"/>
                <c:pt idx="1">
                  <c:v>אשדוד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להפצה'!$M$7:$M$21</c:f>
            </c:numRef>
          </c:val>
          <c:smooth val="0"/>
          <c:extLst>
            <c:ext xmlns:c16="http://schemas.microsoft.com/office/drawing/2014/chart" uri="{C3380CC4-5D6E-409C-BE32-E72D297353CC}">
              <c16:uniqueId val="{00000016-08DF-474B-B3CB-6F9FCCCB216E}"/>
            </c:ext>
          </c:extLst>
        </c:ser>
        <c:ser>
          <c:idx val="8"/>
          <c:order val="11"/>
          <c:tx>
            <c:strRef>
              <c:f>'לא להפצה'!$N$5:$N$6</c:f>
              <c:strCache>
                <c:ptCount val="2"/>
                <c:pt idx="1">
                  <c:v>אשדוד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0599549619743429E-2"/>
                  <c:y val="-3.40976258423104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8DF-474B-B3CB-6F9FCCCB216E}"/>
                </c:ext>
              </c:extLst>
            </c:dLbl>
            <c:dLbl>
              <c:idx val="1"/>
              <c:layout>
                <c:manualLayout>
                  <c:x val="-4.3024819802064865E-2"/>
                  <c:y val="-3.3481450492312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8DF-474B-B3CB-6F9FCCCB216E}"/>
                </c:ext>
              </c:extLst>
            </c:dLbl>
            <c:dLbl>
              <c:idx val="2"/>
              <c:layout>
                <c:manualLayout>
                  <c:x val="-4.3121862386526447E-2"/>
                  <c:y val="-3.358623815286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8DF-474B-B3CB-6F9FCCCB216E}"/>
                </c:ext>
              </c:extLst>
            </c:dLbl>
            <c:dLbl>
              <c:idx val="3"/>
              <c:layout>
                <c:manualLayout>
                  <c:x val="-4.0890555153248534E-2"/>
                  <c:y val="-2.7357348832344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8DF-474B-B3CB-6F9FCCCB216E}"/>
                </c:ext>
              </c:extLst>
            </c:dLbl>
            <c:dLbl>
              <c:idx val="4"/>
              <c:layout>
                <c:manualLayout>
                  <c:x val="-4.5644175153309346E-2"/>
                  <c:y val="-3.252780309482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8DF-474B-B3CB-6F9FCCCB216E}"/>
                </c:ext>
              </c:extLst>
            </c:dLbl>
            <c:dLbl>
              <c:idx val="5"/>
              <c:layout>
                <c:manualLayout>
                  <c:x val="-3.8174218327482141E-2"/>
                  <c:y val="-3.08661417322834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8DF-474B-B3CB-6F9FCCCB216E}"/>
                </c:ext>
              </c:extLst>
            </c:dLbl>
            <c:dLbl>
              <c:idx val="6"/>
              <c:layout>
                <c:manualLayout>
                  <c:x val="-3.8271260911944084E-2"/>
                  <c:y val="-2.6991787316907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8DF-474B-B3CB-6F9FCCCB216E}"/>
                </c:ext>
              </c:extLst>
            </c:dLbl>
            <c:dLbl>
              <c:idx val="7"/>
              <c:layout>
                <c:manualLayout>
                  <c:x val="-3.6039953678666185E-2"/>
                  <c:y val="-2.02797989909704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8DF-474B-B3CB-6F9FCCCB216E}"/>
                </c:ext>
              </c:extLst>
            </c:dLbl>
            <c:dLbl>
              <c:idx val="8"/>
              <c:layout>
                <c:manualLayout>
                  <c:x val="-3.4972851909227332E-2"/>
                  <c:y val="-2.79141577891002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8DF-474B-B3CB-6F9FCCCB216E}"/>
                </c:ext>
              </c:extLst>
            </c:dLbl>
            <c:dLbl>
              <c:idx val="9"/>
              <c:layout>
                <c:manualLayout>
                  <c:x val="-4.0308482976298833E-2"/>
                  <c:y val="-2.54074217952357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8DF-474B-B3CB-6F9FCCCB216E}"/>
                </c:ext>
              </c:extLst>
            </c:dLbl>
            <c:dLbl>
              <c:idx val="10"/>
              <c:layout>
                <c:manualLayout>
                  <c:x val="-3.4584803791260672E-2"/>
                  <c:y val="-2.726092824734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8DF-474B-B3CB-6F9FCCCB216E}"/>
                </c:ext>
              </c:extLst>
            </c:dLbl>
            <c:dLbl>
              <c:idx val="11"/>
              <c:layout>
                <c:manualLayout>
                  <c:x val="-3.7592146150532114E-2"/>
                  <c:y val="-2.6320827543615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DF-474B-B3CB-6F9FCCCB216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1" i="0" u="none" strike="noStrike" baseline="0">
                    <a:solidFill>
                      <a:srgbClr val="99CC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להפצה'!$N$7:$N$21</c:f>
              <c:numCache>
                <c:formatCode>#,##0</c:formatCode>
                <c:ptCount val="12"/>
                <c:pt idx="0">
                  <c:v>137</c:v>
                </c:pt>
                <c:pt idx="1">
                  <c:v>139.85499999999999</c:v>
                </c:pt>
                <c:pt idx="2">
                  <c:v>154.524</c:v>
                </c:pt>
                <c:pt idx="3">
                  <c:v>154.87100000000001</c:v>
                </c:pt>
                <c:pt idx="4">
                  <c:v>156.43700000000001</c:v>
                </c:pt>
                <c:pt idx="5">
                  <c:v>113.30200000000001</c:v>
                </c:pt>
                <c:pt idx="6">
                  <c:v>142.827</c:v>
                </c:pt>
                <c:pt idx="7">
                  <c:v>132.434</c:v>
                </c:pt>
                <c:pt idx="8">
                  <c:v>123.809</c:v>
                </c:pt>
                <c:pt idx="9">
                  <c:v>138.94</c:v>
                </c:pt>
                <c:pt idx="10">
                  <c:v>129.14400000000001</c:v>
                </c:pt>
                <c:pt idx="11">
                  <c:v>122.384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08DF-474B-B3CB-6F9FCCCB216E}"/>
            </c:ext>
          </c:extLst>
        </c:ser>
        <c:ser>
          <c:idx val="9"/>
          <c:order val="12"/>
          <c:tx>
            <c:strRef>
              <c:f>'לא להפצה'!$O$5:$O$6</c:f>
              <c:strCache>
                <c:ptCount val="2"/>
                <c:pt idx="1">
                  <c:v>אשדוד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להפצה'!$O$7:$O$21</c:f>
            </c:numRef>
          </c:val>
          <c:smooth val="0"/>
          <c:extLst>
            <c:ext xmlns:c16="http://schemas.microsoft.com/office/drawing/2014/chart" uri="{C3380CC4-5D6E-409C-BE32-E72D297353CC}">
              <c16:uniqueId val="{00000024-08DF-474B-B3CB-6F9FCCCB216E}"/>
            </c:ext>
          </c:extLst>
        </c:ser>
        <c:ser>
          <c:idx val="10"/>
          <c:order val="13"/>
          <c:tx>
            <c:strRef>
              <c:f>'לא להפצה'!$P$5:$P$6</c:f>
              <c:strCache>
                <c:ptCount val="2"/>
                <c:pt idx="1">
                  <c:v>אילת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להפצה'!$P$7:$P$21</c:f>
            </c:numRef>
          </c:val>
          <c:smooth val="0"/>
          <c:extLst>
            <c:ext xmlns:c16="http://schemas.microsoft.com/office/drawing/2014/chart" uri="{C3380CC4-5D6E-409C-BE32-E72D297353CC}">
              <c16:uniqueId val="{00000025-08DF-474B-B3CB-6F9FCCCB216E}"/>
            </c:ext>
          </c:extLst>
        </c:ser>
        <c:ser>
          <c:idx val="11"/>
          <c:order val="14"/>
          <c:tx>
            <c:strRef>
              <c:f>'לא להפצה'!$Q$5:$Q$6</c:f>
              <c:strCache>
                <c:ptCount val="2"/>
                <c:pt idx="1">
                  <c:v>אילת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להפצה'!$Q$7:$Q$21</c:f>
            </c:numRef>
          </c:val>
          <c:smooth val="0"/>
          <c:extLst>
            <c:ext xmlns:c16="http://schemas.microsoft.com/office/drawing/2014/chart" uri="{C3380CC4-5D6E-409C-BE32-E72D297353CC}">
              <c16:uniqueId val="{00000026-08DF-474B-B3CB-6F9FCCCB216E}"/>
            </c:ext>
          </c:extLst>
        </c:ser>
        <c:ser>
          <c:idx val="15"/>
          <c:order val="15"/>
          <c:tx>
            <c:strRef>
              <c:f>'לא להפצה'!$R$5:$R$6</c:f>
              <c:strCache>
                <c:ptCount val="2"/>
                <c:pt idx="1">
                  <c:v>אילת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להפצה'!$R$7:$R$21</c:f>
            </c:numRef>
          </c:val>
          <c:smooth val="0"/>
          <c:extLst>
            <c:ext xmlns:c16="http://schemas.microsoft.com/office/drawing/2014/chart" uri="{C3380CC4-5D6E-409C-BE32-E72D297353CC}">
              <c16:uniqueId val="{00000027-08DF-474B-B3CB-6F9FCCCB216E}"/>
            </c:ext>
          </c:extLst>
        </c:ser>
        <c:ser>
          <c:idx val="16"/>
          <c:order val="16"/>
          <c:tx>
            <c:strRef>
              <c:f>'לא להפצה'!$S$5:$S$6</c:f>
              <c:strCache>
                <c:ptCount val="2"/>
                <c:pt idx="1">
                  <c:v>אילת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להפצה'!$S$7:$S$21</c:f>
            </c:numRef>
          </c:val>
          <c:smooth val="0"/>
          <c:extLst>
            <c:ext xmlns:c16="http://schemas.microsoft.com/office/drawing/2014/chart" uri="{C3380CC4-5D6E-409C-BE32-E72D297353CC}">
              <c16:uniqueId val="{00000028-08DF-474B-B3CB-6F9FCCCB216E}"/>
            </c:ext>
          </c:extLst>
        </c:ser>
        <c:ser>
          <c:idx val="17"/>
          <c:order val="17"/>
          <c:tx>
            <c:strRef>
              <c:f>'לא להפצה'!$T$5:$T$6</c:f>
              <c:strCache>
                <c:ptCount val="2"/>
                <c:pt idx="1">
                  <c:v>אילת</c:v>
                </c:pt>
              </c:strCache>
            </c:strRef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4196755673294076E-2"/>
                  <c:y val="-4.260953149357280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8DF-474B-B3CB-6F9FCCCB216E}"/>
                </c:ext>
              </c:extLst>
            </c:dLbl>
            <c:dLbl>
              <c:idx val="1"/>
              <c:layout>
                <c:manualLayout>
                  <c:x val="-3.2547520616966016E-2"/>
                  <c:y val="-4.1064411540587813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e-I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8DF-474B-B3CB-6F9FCCCB216E}"/>
                </c:ext>
              </c:extLst>
            </c:dLbl>
            <c:dLbl>
              <c:idx val="2"/>
              <c:layout>
                <c:manualLayout>
                  <c:x val="-2.6823841431928216E-2"/>
                  <c:y val="-2.5221154756035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8DF-474B-B3CB-6F9FCCCB216E}"/>
                </c:ext>
              </c:extLst>
            </c:dLbl>
            <c:dLbl>
              <c:idx val="3"/>
              <c:layout>
                <c:manualLayout>
                  <c:x val="-3.0995328145099445E-2"/>
                  <c:y val="-3.0851798174184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8DF-474B-B3CB-6F9FCCCB216E}"/>
                </c:ext>
              </c:extLst>
            </c:dLbl>
            <c:dLbl>
              <c:idx val="4"/>
              <c:layout>
                <c:manualLayout>
                  <c:x val="-2.5853721137011558E-2"/>
                  <c:y val="-2.7413926200401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8DF-474B-B3CB-6F9FCCCB216E}"/>
                </c:ext>
              </c:extLst>
            </c:dLbl>
            <c:dLbl>
              <c:idx val="5"/>
              <c:layout>
                <c:manualLayout>
                  <c:x val="-3.1189352204082751E-2"/>
                  <c:y val="-2.72396121262837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8DF-474B-B3CB-6F9FCCCB216E}"/>
                </c:ext>
              </c:extLst>
            </c:dLbl>
            <c:dLbl>
              <c:idx val="6"/>
              <c:layout>
                <c:manualLayout>
                  <c:x val="-2.31373843112451E-2"/>
                  <c:y val="-3.0833470294391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08DF-474B-B3CB-6F9FCCCB216E}"/>
                </c:ext>
              </c:extLst>
            </c:dLbl>
            <c:dLbl>
              <c:idx val="7"/>
              <c:layout>
                <c:manualLayout>
                  <c:x val="-3.1383376263066212E-2"/>
                  <c:y val="-2.7984082634831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8DF-474B-B3CB-6F9FCCCB216E}"/>
                </c:ext>
              </c:extLst>
            </c:dLbl>
            <c:dLbl>
              <c:idx val="8"/>
              <c:layout>
                <c:manualLayout>
                  <c:x val="-2.9734202316677852E-2"/>
                  <c:y val="-2.7284037313173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08DF-474B-B3CB-6F9FCCCB216E}"/>
                </c:ext>
              </c:extLst>
            </c:dLbl>
            <c:dLbl>
              <c:idx val="9"/>
              <c:layout>
                <c:manualLayout>
                  <c:x val="-2.8084967260349852E-2"/>
                  <c:y val="-3.056154033876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8DF-474B-B3CB-6F9FCCCB216E}"/>
                </c:ext>
              </c:extLst>
            </c:dLbl>
            <c:dLbl>
              <c:idx val="10"/>
              <c:layout>
                <c:manualLayout>
                  <c:x val="-2.6435793313961797E-2"/>
                  <c:y val="-2.7991652846050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08DF-474B-B3CB-6F9FCCCB216E}"/>
                </c:ext>
              </c:extLst>
            </c:dLbl>
            <c:dLbl>
              <c:idx val="11"/>
              <c:layout>
                <c:manualLayout>
                  <c:x val="-3.1189352204082751E-2"/>
                  <c:y val="-2.8866211457913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08DF-474B-B3CB-6F9FCCCB216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1" i="0" u="none" strike="noStrike" baseline="0">
                    <a:solidFill>
                      <a:srgbClr val="00CCFF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להפצה'!$N$30:$N$41</c:f>
              <c:strCache>
                <c:ptCount val="10"/>
                <c:pt idx="0">
                  <c:v>Q2- 2005</c:v>
                </c:pt>
                <c:pt idx="1">
                  <c:v>Q1- 2005</c:v>
                </c:pt>
                <c:pt idx="2">
                  <c:v>Q4- 2004</c:v>
                </c:pt>
                <c:pt idx="3">
                  <c:v>Q3- 2004</c:v>
                </c:pt>
                <c:pt idx="4">
                  <c:v>Q2- 2004</c:v>
                </c:pt>
                <c:pt idx="5">
                  <c:v>Q1- 2004</c:v>
                </c:pt>
                <c:pt idx="6">
                  <c:v>Q4- 2003</c:v>
                </c:pt>
                <c:pt idx="7">
                  <c:v>Q3- 2003</c:v>
                </c:pt>
                <c:pt idx="8">
                  <c:v>Q2- 2003</c:v>
                </c:pt>
                <c:pt idx="9">
                  <c:v>Q1- 2003</c:v>
                </c:pt>
              </c:strCache>
            </c:strRef>
          </c:cat>
          <c:val>
            <c:numRef>
              <c:f>'לא להפצה'!$T$7:$T$21</c:f>
              <c:numCache>
                <c:formatCode>#,##0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5.2009999999999996</c:v>
                </c:pt>
                <c:pt idx="3">
                  <c:v>4.0129999999999999</c:v>
                </c:pt>
                <c:pt idx="4">
                  <c:v>6.2380000000000004</c:v>
                </c:pt>
                <c:pt idx="5">
                  <c:v>10.035</c:v>
                </c:pt>
                <c:pt idx="6">
                  <c:v>6.4809999999999999</c:v>
                </c:pt>
                <c:pt idx="7">
                  <c:v>7.0970000000000004</c:v>
                </c:pt>
                <c:pt idx="8">
                  <c:v>5.0940000000000003</c:v>
                </c:pt>
                <c:pt idx="9">
                  <c:v>6.657</c:v>
                </c:pt>
                <c:pt idx="10">
                  <c:v>5.8639999999999999</c:v>
                </c:pt>
                <c:pt idx="11">
                  <c:v>4.07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08DF-474B-B3CB-6F9FCCCB216E}"/>
            </c:ext>
          </c:extLst>
        </c:ser>
        <c:ser>
          <c:idx val="18"/>
          <c:order val="18"/>
          <c:tx>
            <c:strRef>
              <c:f>'לא להפצה'!$U$5:$U$6</c:f>
              <c:strCache>
                <c:ptCount val="2"/>
                <c:pt idx="1">
                  <c:v>אילת</c:v>
                </c:pt>
              </c:strCache>
            </c:strRef>
          </c:tx>
          <c:cat>
            <c:numRef>
              <c:f>'לא להפצה'!$B$7:$B$21</c:f>
              <c:numCache>
                <c:formatCode>General</c:formatCode>
                <c:ptCount val="12"/>
                <c:pt idx="0">
                  <c:v>2005</c:v>
                </c:pt>
                <c:pt idx="4">
                  <c:v>2004</c:v>
                </c:pt>
                <c:pt idx="8">
                  <c:v>2003</c:v>
                </c:pt>
              </c:numCache>
            </c:numRef>
          </c:cat>
          <c:val>
            <c:numRef>
              <c:f>'לא להפצה'!$U$7:$U$21</c:f>
            </c:numRef>
          </c:val>
          <c:smooth val="0"/>
          <c:extLst>
            <c:ext xmlns:c16="http://schemas.microsoft.com/office/drawing/2014/chart" uri="{C3380CC4-5D6E-409C-BE32-E72D297353CC}">
              <c16:uniqueId val="{00000036-08DF-474B-B3CB-6F9FCCCB2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23200"/>
        <c:axId val="96023680"/>
      </c:lineChart>
      <c:catAx>
        <c:axId val="9592320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t>שנה + רבעון</a:t>
                </a:r>
              </a:p>
            </c:rich>
          </c:tx>
          <c:layout>
            <c:manualLayout>
              <c:xMode val="edge"/>
              <c:yMode val="edge"/>
              <c:x val="0.92782305005820764"/>
              <c:y val="0.648956356736242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6023680"/>
        <c:crosses val="autoZero"/>
        <c:auto val="1"/>
        <c:lblAlgn val="ctr"/>
        <c:lblOffset val="100"/>
        <c:tickMarkSkip val="1"/>
        <c:noMultiLvlLbl val="0"/>
      </c:catAx>
      <c:valAx>
        <c:axId val="9602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 sz="1175" b="1" i="0" u="none" strike="noStrike" baseline="0">
                    <a:solidFill>
                      <a:srgbClr val="FF00FF"/>
                    </a:solidFill>
                    <a:latin typeface="Arial"/>
                    <a:cs typeface="Arial"/>
                  </a:rPr>
                  <a:t>כמות מכולות ב-</a:t>
                </a:r>
                <a:r>
                  <a:rPr lang="en-US" sz="1175" b="1" i="0" u="none" strike="noStrike" baseline="0">
                    <a:solidFill>
                      <a:srgbClr val="FF00FF"/>
                    </a:solidFill>
                    <a:latin typeface="Arial"/>
                    <a:cs typeface="Arial"/>
                  </a:rPr>
                  <a:t>TEU</a:t>
                </a:r>
              </a:p>
            </c:rich>
          </c:tx>
          <c:layout>
            <c:manualLayout>
              <c:xMode val="edge"/>
              <c:yMode val="edge"/>
              <c:x val="1.3969732246798731E-2"/>
              <c:y val="0.2960151802656596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592320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2.9103608847497091E-3"/>
          <c:y val="9.4876660341557499E-3"/>
          <c:w val="9.4295692665891981E-2"/>
          <c:h val="0.153700189753323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  <c:printSettings>
    <c:headerFooter alignWithMargins="0"/>
    <c:pageMargins b="1" l="0.75000000000000566" r="0.75000000000000566" t="1" header="0.5" footer="0.5"/>
    <c:pageSetup paperSize="9"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rtl="1"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e-IL"/>
              <a:t>מכולות - סה"כ תנועות (אלפי </a:t>
            </a:r>
            <a:r>
              <a:rPr lang="en-US"/>
              <a:t>(TEU</a:t>
            </a:r>
            <a:r>
              <a:rPr lang="he-IL"/>
              <a:t> בנמלי ישראל </a:t>
            </a:r>
            <a:r>
              <a:rPr lang="en-US"/>
              <a:t>Q1/2022 - Q1/2018</a:t>
            </a:r>
          </a:p>
          <a:p>
            <a:pPr rtl="1">
              <a:defRPr/>
            </a:pPr>
            <a:r>
              <a:rPr lang="en-US"/>
              <a:t> Containers(Thousand TEU) in Israeli Ports Q1/2018 - Q1/2022</a:t>
            </a:r>
          </a:p>
        </c:rich>
      </c:tx>
      <c:layout>
        <c:manualLayout>
          <c:xMode val="edge"/>
          <c:yMode val="edge"/>
          <c:x val="0.22858295962176914"/>
          <c:y val="3.5595214364027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1"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8.2730093071354704E-2"/>
          <c:y val="0.22203389830508469"/>
          <c:w val="0.89141675284384658"/>
          <c:h val="0.620338983050847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'גיליון3  '!$B$4</c:f>
              <c:strCache>
                <c:ptCount val="1"/>
                <c:pt idx="0">
                  <c:v>ח.נמל חיפה
Haifa 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'גיליון3  '!$A$57:$A$77</c:f>
              <c:strCache>
                <c:ptCount val="17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</c:strCache>
            </c:strRef>
          </c:cat>
          <c:val>
            <c:numRef>
              <c:f>'גיליון3  '!$B$5:$B$77</c:f>
              <c:numCache>
                <c:formatCode>#,##0_);\(#,##0\)</c:formatCode>
                <c:ptCount val="17"/>
                <c:pt idx="0">
                  <c:v>351.84000000000003</c:v>
                </c:pt>
                <c:pt idx="1">
                  <c:v>390.11599999999999</c:v>
                </c:pt>
                <c:pt idx="2">
                  <c:v>374.66700000000003</c:v>
                </c:pt>
                <c:pt idx="3">
                  <c:v>352.52300000000002</c:v>
                </c:pt>
                <c:pt idx="4">
                  <c:v>355.08300000000003</c:v>
                </c:pt>
                <c:pt idx="5">
                  <c:v>357.47399999999999</c:v>
                </c:pt>
                <c:pt idx="6">
                  <c:v>322.71900000000005</c:v>
                </c:pt>
                <c:pt idx="7">
                  <c:v>343.76</c:v>
                </c:pt>
                <c:pt idx="8">
                  <c:v>373.74799999999999</c:v>
                </c:pt>
                <c:pt idx="9">
                  <c:v>365.65800000000002</c:v>
                </c:pt>
                <c:pt idx="10">
                  <c:v>351.67599999999999</c:v>
                </c:pt>
                <c:pt idx="11">
                  <c:v>373.35199999999998</c:v>
                </c:pt>
                <c:pt idx="12">
                  <c:v>376.334</c:v>
                </c:pt>
                <c:pt idx="13">
                  <c:v>386.02300000000002</c:v>
                </c:pt>
                <c:pt idx="14">
                  <c:v>349.36400000000003</c:v>
                </c:pt>
                <c:pt idx="15">
                  <c:v>351.49799999999999</c:v>
                </c:pt>
                <c:pt idx="16">
                  <c:v>354.495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A-4EA1-9E6C-90236612619D}"/>
            </c:ext>
          </c:extLst>
        </c:ser>
        <c:ser>
          <c:idx val="1"/>
          <c:order val="1"/>
          <c:tx>
            <c:strRef>
              <c:f>'גיליון3  '!$D$4</c:f>
              <c:strCache>
                <c:ptCount val="1"/>
                <c:pt idx="0">
                  <c:v>ח.נמל אשדוד
Ashdos 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'גיליון3  '!$A$57:$A$77</c:f>
              <c:strCache>
                <c:ptCount val="17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</c:strCache>
            </c:strRef>
          </c:cat>
          <c:val>
            <c:numRef>
              <c:f>'גיליון3  '!$D$5:$D$77</c:f>
              <c:numCache>
                <c:formatCode>#,##0_);\(#,##0\)</c:formatCode>
                <c:ptCount val="17"/>
                <c:pt idx="0">
                  <c:v>353.32900000000001</c:v>
                </c:pt>
                <c:pt idx="1">
                  <c:v>358.79999999999995</c:v>
                </c:pt>
                <c:pt idx="2">
                  <c:v>374.91500000000008</c:v>
                </c:pt>
                <c:pt idx="3">
                  <c:v>390.161</c:v>
                </c:pt>
                <c:pt idx="4">
                  <c:v>375.74599999999998</c:v>
                </c:pt>
                <c:pt idx="5">
                  <c:v>402.97300000000007</c:v>
                </c:pt>
                <c:pt idx="6">
                  <c:v>409.54499999999996</c:v>
                </c:pt>
                <c:pt idx="7">
                  <c:v>349.02700000000004</c:v>
                </c:pt>
                <c:pt idx="8">
                  <c:v>363.42599999999999</c:v>
                </c:pt>
                <c:pt idx="9">
                  <c:v>372.00799999999998</c:v>
                </c:pt>
                <c:pt idx="10">
                  <c:v>424.75899999999996</c:v>
                </c:pt>
                <c:pt idx="11">
                  <c:v>424.30599999999998</c:v>
                </c:pt>
                <c:pt idx="12">
                  <c:v>389.53</c:v>
                </c:pt>
                <c:pt idx="13">
                  <c:v>416.80399999999997</c:v>
                </c:pt>
                <c:pt idx="14">
                  <c:v>408.55700000000002</c:v>
                </c:pt>
                <c:pt idx="15">
                  <c:v>397.47800000000007</c:v>
                </c:pt>
                <c:pt idx="16">
                  <c:v>360.49900000000002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A-4EA1-9E6C-90236612619D}"/>
            </c:ext>
          </c:extLst>
        </c:ser>
        <c:ser>
          <c:idx val="2"/>
          <c:order val="2"/>
          <c:tx>
            <c:strRef>
              <c:f>'גיליון3  '!$F$4</c:f>
              <c:strCache>
                <c:ptCount val="1"/>
                <c:pt idx="0">
                  <c:v>ח.נמל אילת
Eilat 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'גיליון3  '!$A$57:$A$77</c:f>
              <c:strCache>
                <c:ptCount val="17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</c:strCache>
            </c:strRef>
          </c:cat>
          <c:val>
            <c:numRef>
              <c:f>'גיליון3  '!$F$5:$F$77</c:f>
              <c:numCache>
                <c:formatCode>#,##0_);\(#,##0\)</c:formatCode>
                <c:ptCount val="17"/>
                <c:pt idx="0">
                  <c:v>1.4999999999999999E-2</c:v>
                </c:pt>
                <c:pt idx="1">
                  <c:v>2E-3</c:v>
                </c:pt>
                <c:pt idx="2">
                  <c:v>0.14600000000000002</c:v>
                </c:pt>
                <c:pt idx="3">
                  <c:v>5.7000000000000002E-2</c:v>
                </c:pt>
                <c:pt idx="4">
                  <c:v>2.6000000000000002E-2</c:v>
                </c:pt>
                <c:pt idx="5">
                  <c:v>5.0000000000000001E-3</c:v>
                </c:pt>
                <c:pt idx="6">
                  <c:v>5.2999999999999999E-2</c:v>
                </c:pt>
                <c:pt idx="7">
                  <c:v>8.6999999999999994E-2</c:v>
                </c:pt>
                <c:pt idx="8">
                  <c:v>0.11299999999999999</c:v>
                </c:pt>
                <c:pt idx="9">
                  <c:v>0.111</c:v>
                </c:pt>
                <c:pt idx="10">
                  <c:v>8.1000000000000003E-2</c:v>
                </c:pt>
                <c:pt idx="11">
                  <c:v>0</c:v>
                </c:pt>
                <c:pt idx="12">
                  <c:v>6.0000000000000005E-2</c:v>
                </c:pt>
                <c:pt idx="13">
                  <c:v>2.0999999999999998E-2</c:v>
                </c:pt>
                <c:pt idx="14">
                  <c:v>4.2999999999999997E-2</c:v>
                </c:pt>
                <c:pt idx="15">
                  <c:v>0.29600000000000004</c:v>
                </c:pt>
                <c:pt idx="16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A-4EA1-9E6C-90236612619D}"/>
            </c:ext>
          </c:extLst>
        </c:ser>
        <c:ser>
          <c:idx val="3"/>
          <c:order val="3"/>
          <c:tx>
            <c:strRef>
              <c:f>'גיליון3  '!$C$4</c:f>
              <c:strCache>
                <c:ptCount val="1"/>
                <c:pt idx="0">
                  <c:v>נמל המפרץ
SIPG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'גיליון3  '!$A$57:$A$77</c:f>
              <c:strCache>
                <c:ptCount val="17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</c:strCache>
            </c:strRef>
          </c:cat>
          <c:val>
            <c:numRef>
              <c:f>'גיליון3  '!$C$57:$C$77</c:f>
              <c:numCache>
                <c:formatCode>#,##0_);\(#,##0\)</c:formatCode>
                <c:ptCount val="17"/>
                <c:pt idx="14">
                  <c:v>7.1280000000000001</c:v>
                </c:pt>
                <c:pt idx="15">
                  <c:v>25.858999999999998</c:v>
                </c:pt>
                <c:pt idx="16">
                  <c:v>49.524999999999999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6-4F56-AF63-8C5D964DDFC6}"/>
            </c:ext>
          </c:extLst>
        </c:ser>
        <c:ser>
          <c:idx val="4"/>
          <c:order val="4"/>
          <c:tx>
            <c:strRef>
              <c:f>'גיליון3  '!$E$4</c:f>
              <c:strCache>
                <c:ptCount val="1"/>
                <c:pt idx="0">
                  <c:v>נמל הדרום
HCT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'גיליון3  '!$A$57:$A$77</c:f>
              <c:strCache>
                <c:ptCount val="17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</c:strCache>
            </c:strRef>
          </c:cat>
          <c:val>
            <c:numRef>
              <c:f>'גיליון3  '!$E$57:$E$77</c:f>
              <c:numCache>
                <c:formatCode>#,##0_);\(#,##0\)</c:formatCode>
                <c:ptCount val="17"/>
                <c:pt idx="14">
                  <c:v>8.6950000000000003</c:v>
                </c:pt>
                <c:pt idx="15">
                  <c:v>15.629999999999999</c:v>
                </c:pt>
                <c:pt idx="16">
                  <c:v>20.752000000000002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6-4F56-AF63-8C5D964DDF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225344"/>
        <c:axId val="97239424"/>
      </c:barChart>
      <c:catAx>
        <c:axId val="9722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7239424"/>
        <c:crosses val="autoZero"/>
        <c:auto val="1"/>
        <c:lblAlgn val="ctr"/>
        <c:lblOffset val="100"/>
        <c:noMultiLvlLbl val="0"/>
      </c:catAx>
      <c:valAx>
        <c:axId val="972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אלפי </a:t>
                </a:r>
                <a:r>
                  <a:rPr lang="en-US"/>
                  <a:t>Thousands of TEU</a:t>
                </a:r>
              </a:p>
            </c:rich>
          </c:tx>
          <c:layout>
            <c:manualLayout>
              <c:xMode val="edge"/>
              <c:yMode val="edge"/>
              <c:x val="5.1706308169596716E-3"/>
              <c:y val="0.3225988700564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72253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תנועת מכולות (אלפי </a:t>
            </a:r>
            <a:r>
              <a:rPr lang="en-US"/>
              <a:t>TEU</a:t>
            </a:r>
            <a:r>
              <a:rPr lang="he-IL"/>
              <a:t>) - </a:t>
            </a:r>
            <a:r>
              <a:rPr lang="en-US"/>
              <a:t>Q1/2022</a:t>
            </a:r>
            <a:endParaRPr lang="he-IL"/>
          </a:p>
        </c:rich>
      </c:tx>
      <c:layout>
        <c:manualLayout>
          <c:xMode val="edge"/>
          <c:yMode val="edge"/>
          <c:x val="0.284858331246526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79-4282-BC43-2D10FBB33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79-4282-BC43-2D10FBB33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79-4282-BC43-2D10FBB33C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79-4282-BC43-2D10FBB33C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79-4282-BC43-2D10FBB33CFC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79-4282-BC43-2D10FBB33CFC}"/>
                </c:ext>
              </c:extLst>
            </c:dLbl>
            <c:dLbl>
              <c:idx val="1"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79-4282-BC43-2D10FBB33CFC}"/>
                </c:ext>
              </c:extLst>
            </c:dLbl>
            <c:dLbl>
              <c:idx val="2"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79-4282-BC43-2D10FBB33CFC}"/>
                </c:ext>
              </c:extLst>
            </c:dLbl>
            <c:dLbl>
              <c:idx val="3"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79-4282-BC43-2D10FBB33CFC}"/>
                </c:ext>
              </c:extLst>
            </c:dLbl>
            <c:dLbl>
              <c:idx val="4"/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79-4282-BC43-2D10FBB33CF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'גיליון3  '!$B$80:$F$80</c:f>
              <c:strCache>
                <c:ptCount val="5"/>
                <c:pt idx="0">
                  <c:v>ח.נמל חיפה
Haifa port</c:v>
                </c:pt>
                <c:pt idx="1">
                  <c:v>נמל המפרץ
SIPG</c:v>
                </c:pt>
                <c:pt idx="2">
                  <c:v>ח.נמל אשדוד
Ashdod port</c:v>
                </c:pt>
                <c:pt idx="3">
                  <c:v>נמל הדרום
HCT</c:v>
                </c:pt>
                <c:pt idx="4">
                  <c:v>ח.נמל אילת
Eilat port</c:v>
                </c:pt>
              </c:strCache>
            </c:strRef>
          </c:cat>
          <c:val>
            <c:numRef>
              <c:f>'גיליון3  '!$B$95:$F$95</c:f>
              <c:numCache>
                <c:formatCode>#,##0</c:formatCode>
                <c:ptCount val="5"/>
                <c:pt idx="0">
                  <c:v>354.495</c:v>
                </c:pt>
                <c:pt idx="1">
                  <c:v>49.524999999999999</c:v>
                </c:pt>
                <c:pt idx="2">
                  <c:v>360.49900000000002</c:v>
                </c:pt>
                <c:pt idx="3">
                  <c:v>20.752000000000002</c:v>
                </c:pt>
                <c:pt idx="4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79-4282-BC43-2D10FBB33C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1600" b="1" i="1" u="sng" strike="noStrike" baseline="0">
                <a:solidFill>
                  <a:srgbClr val="000080"/>
                </a:solidFill>
                <a:latin typeface="David" pitchFamily="34" charset="-79"/>
                <a:cs typeface="David" pitchFamily="34" charset="-79"/>
              </a:rPr>
              <a:t>מכולות - סה"כ תנועות </a:t>
            </a:r>
            <a:r>
              <a:rPr lang="he-IL" sz="1600" b="1" i="1" u="sng" strike="noStrike" kern="1200" baseline="0">
                <a:solidFill>
                  <a:srgbClr val="000080"/>
                </a:solidFill>
                <a:latin typeface="David" pitchFamily="34" charset="-79"/>
                <a:ea typeface="Arial"/>
                <a:cs typeface="David" pitchFamily="34" charset="-79"/>
              </a:rPr>
              <a:t>(אלפי </a:t>
            </a:r>
            <a:r>
              <a:rPr lang="en-US" sz="1600" b="1" i="1" u="sng" strike="noStrike" kern="1200" baseline="0">
                <a:solidFill>
                  <a:srgbClr val="000080"/>
                </a:solidFill>
                <a:latin typeface="David" pitchFamily="34" charset="-79"/>
                <a:ea typeface="Arial"/>
                <a:cs typeface="David" pitchFamily="34" charset="-79"/>
              </a:rPr>
              <a:t>TEU</a:t>
            </a:r>
            <a:r>
              <a:rPr lang="he-IL" sz="1600" b="1" i="1" u="sng" strike="noStrike" kern="1200" baseline="0">
                <a:solidFill>
                  <a:srgbClr val="000080"/>
                </a:solidFill>
                <a:latin typeface="David" pitchFamily="34" charset="-79"/>
                <a:ea typeface="Arial"/>
                <a:cs typeface="David" pitchFamily="34" charset="-79"/>
              </a:rPr>
              <a:t>) </a:t>
            </a:r>
            <a:r>
              <a:rPr lang="he-IL" sz="1600" b="1" i="1" u="sng" strike="noStrike" baseline="0">
                <a:solidFill>
                  <a:srgbClr val="000080"/>
                </a:solidFill>
                <a:latin typeface="David" pitchFamily="34" charset="-79"/>
                <a:cs typeface="David" pitchFamily="34" charset="-79"/>
              </a:rPr>
              <a:t>בנמלי ישראל </a:t>
            </a:r>
            <a:r>
              <a:rPr lang="en-US" sz="1600" b="1" i="1" u="sng" strike="noStrike" baseline="0">
                <a:solidFill>
                  <a:srgbClr val="000080"/>
                </a:solidFill>
                <a:latin typeface="David" pitchFamily="34" charset="-79"/>
                <a:cs typeface="David" pitchFamily="34" charset="-79"/>
              </a:rPr>
              <a:t>Q3/2021 - Q1/2016</a:t>
            </a:r>
          </a:p>
          <a:p>
            <a:pPr marL="0" marR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1" i="1" u="sng" strike="noStrike" baseline="0">
                <a:solidFill>
                  <a:srgbClr val="000080"/>
                </a:solidFill>
                <a:latin typeface="Arial"/>
                <a:cs typeface="Arial"/>
              </a:rPr>
              <a:t>Containers(Thousand TEU) in Israeli Ports Q1/2016 - Q3/2021</a:t>
            </a:r>
          </a:p>
        </c:rich>
      </c:tx>
      <c:layout>
        <c:manualLayout>
          <c:xMode val="edge"/>
          <c:yMode val="edge"/>
          <c:x val="0.1613236814891417"/>
          <c:y val="1.4124293785310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139607032057927E-2"/>
          <c:y val="0.23389830508474579"/>
          <c:w val="0.8852119958634953"/>
          <c:h val="0.56101694915253619"/>
        </c:manualLayout>
      </c:layout>
      <c:lineChart>
        <c:grouping val="standard"/>
        <c:varyColors val="0"/>
        <c:ser>
          <c:idx val="0"/>
          <c:order val="0"/>
          <c:tx>
            <c:strRef>
              <c:f>'גיליון3  '!$B$4</c:f>
              <c:strCache>
                <c:ptCount val="1"/>
                <c:pt idx="0">
                  <c:v>ח.נמל חיפה
Haifa port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3208905783328834E-2"/>
                  <c:y val="-1.6739409270673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33-427F-8D83-48EAFC4D4500}"/>
                </c:ext>
              </c:extLst>
            </c:dLbl>
            <c:dLbl>
              <c:idx val="1"/>
              <c:layout>
                <c:manualLayout>
                  <c:x val="-2.6543469997284821E-2"/>
                  <c:y val="1.9402323012790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33-427F-8D83-48EAFC4D4500}"/>
                </c:ext>
              </c:extLst>
            </c:dLbl>
            <c:dLbl>
              <c:idx val="2"/>
              <c:layout>
                <c:manualLayout>
                  <c:x val="-2.608395329894108E-2"/>
                  <c:y val="1.8457975558485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33-427F-8D83-48EAFC4D4500}"/>
                </c:ext>
              </c:extLst>
            </c:dLbl>
            <c:dLbl>
              <c:idx val="3"/>
              <c:layout>
                <c:manualLayout>
                  <c:x val="-2.1830138474070102E-2"/>
                  <c:y val="2.040652723839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33-427F-8D83-48EAFC4D4500}"/>
                </c:ext>
              </c:extLst>
            </c:dLbl>
            <c:dLbl>
              <c:idx val="4"/>
              <c:layout>
                <c:manualLayout>
                  <c:x val="-1.9299375509095849E-2"/>
                  <c:y val="1.56295649695371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33-427F-8D83-48EAFC4D4500}"/>
                </c:ext>
              </c:extLst>
            </c:dLbl>
            <c:dLbl>
              <c:idx val="5"/>
              <c:layout>
                <c:manualLayout>
                  <c:x val="-2.2979201737713836E-2"/>
                  <c:y val="1.363398296932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33-427F-8D83-48EAFC4D4500}"/>
                </c:ext>
              </c:extLst>
            </c:dLbl>
            <c:dLbl>
              <c:idx val="6"/>
              <c:layout>
                <c:manualLayout>
                  <c:x val="-2.1486831387455944E-2"/>
                  <c:y val="1.7974667759290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33-427F-8D83-48EAFC4D4500}"/>
                </c:ext>
              </c:extLst>
            </c:dLbl>
            <c:dLbl>
              <c:idx val="7"/>
              <c:layout>
                <c:manualLayout>
                  <c:x val="-2.5163725224002172E-2"/>
                  <c:y val="1.8419139915202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33-427F-8D83-48EAFC4D4500}"/>
                </c:ext>
              </c:extLst>
            </c:dLbl>
            <c:dLbl>
              <c:idx val="8"/>
              <c:layout>
                <c:manualLayout>
                  <c:x val="-1.8151398316589795E-2"/>
                  <c:y val="9.138133751380707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33-427F-8D83-48EAFC4D4500}"/>
                </c:ext>
              </c:extLst>
            </c:dLbl>
            <c:dLbl>
              <c:idx val="9"/>
              <c:layout>
                <c:manualLayout>
                  <c:x val="-2.6314200380125007E-2"/>
                  <c:y val="1.1651940000712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33-427F-8D83-48EAFC4D4500}"/>
                </c:ext>
              </c:extLst>
            </c:dLbl>
            <c:dLbl>
              <c:idx val="10"/>
              <c:layout>
                <c:manualLayout>
                  <c:x val="-2.0679663317947426E-2"/>
                  <c:y val="1.49021983111839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33-427F-8D83-48EAFC4D4500}"/>
                </c:ext>
              </c:extLst>
            </c:dLbl>
            <c:dLbl>
              <c:idx val="11"/>
              <c:layout>
                <c:manualLayout>
                  <c:x val="-2.125560684224817E-2"/>
                  <c:y val="1.2665585919407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33-427F-8D83-48EAFC4D4500}"/>
                </c:ext>
              </c:extLst>
            </c:dLbl>
            <c:dLbl>
              <c:idx val="12"/>
              <c:layout>
                <c:manualLayout>
                  <c:x val="-2.1139723051860002E-2"/>
                  <c:y val="2.1027541240602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33-427F-8D83-48EAFC4D4500}"/>
                </c:ext>
              </c:extLst>
            </c:dLbl>
            <c:dLbl>
              <c:idx val="13"/>
              <c:layout>
                <c:manualLayout>
                  <c:x val="-1.4817702959543842E-2"/>
                  <c:y val="-2.13954109808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33-427F-8D83-48EAFC4D4500}"/>
                </c:ext>
              </c:extLst>
            </c:dLbl>
            <c:dLbl>
              <c:idx val="14"/>
              <c:layout>
                <c:manualLayout>
                  <c:x val="-2.0221992940537711E-2"/>
                  <c:y val="-1.9626964050308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33-427F-8D83-48EAFC4D4500}"/>
                </c:ext>
              </c:extLst>
            </c:dLbl>
            <c:dLbl>
              <c:idx val="15"/>
              <c:layout>
                <c:manualLayout>
                  <c:x val="-2.803812109693184E-2"/>
                  <c:y val="2.1184487120105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33-427F-8D83-48EAFC4D4500}"/>
                </c:ext>
              </c:extLst>
            </c:dLbl>
            <c:dLbl>
              <c:idx val="16"/>
              <c:layout>
                <c:manualLayout>
                  <c:x val="-2.0682052674450283E-2"/>
                  <c:y val="2.2055795061816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333-427F-8D83-48EAFC4D4500}"/>
                </c:ext>
              </c:extLst>
            </c:dLbl>
            <c:dLbl>
              <c:idx val="17"/>
              <c:layout>
                <c:manualLayout>
                  <c:x val="-2.202682595710009E-2"/>
                  <c:y val="1.8834574411230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333-427F-8D83-48EAFC4D4500}"/>
                </c:ext>
              </c:extLst>
            </c:dLbl>
            <c:dLbl>
              <c:idx val="18"/>
              <c:layout>
                <c:manualLayout>
                  <c:x val="-1.9302742329622598E-2"/>
                  <c:y val="-1.8063740335625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333-427F-8D83-48EAFC4D4500}"/>
                </c:ext>
              </c:extLst>
            </c:dLbl>
            <c:dLbl>
              <c:idx val="19"/>
              <c:layout>
                <c:manualLayout>
                  <c:x val="-1.9302307901167534E-2"/>
                  <c:y val="1.8135354686998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333-427F-8D83-48EAFC4D4500}"/>
                </c:ext>
              </c:extLst>
            </c:dLbl>
            <c:dLbl>
              <c:idx val="20"/>
              <c:layout>
                <c:manualLayout>
                  <c:x val="-2.4819549280477984E-2"/>
                  <c:y val="-2.0328677806676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333-427F-8D83-48EAFC4D4500}"/>
                </c:ext>
              </c:extLst>
            </c:dLbl>
            <c:dLbl>
              <c:idx val="21"/>
              <c:layout>
                <c:manualLayout>
                  <c:x val="-1.7924843877273958E-2"/>
                  <c:y val="1.588306552178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333-427F-8D83-48EAFC4D4500}"/>
                </c:ext>
              </c:extLst>
            </c:dLbl>
            <c:dLbl>
              <c:idx val="22"/>
              <c:layout>
                <c:manualLayout>
                  <c:x val="-2.3442519685039385E-2"/>
                  <c:y val="2.7169807959525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333-427F-8D83-48EAFC4D4500}"/>
                </c:ext>
              </c:extLst>
            </c:dLbl>
            <c:dLbl>
              <c:idx val="23"/>
              <c:layout>
                <c:manualLayout>
                  <c:x val="-2.6206896551724156E-2"/>
                  <c:y val="2.7179962233227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333-427F-8D83-48EAFC4D4500}"/>
                </c:ext>
              </c:extLst>
            </c:dLbl>
            <c:dLbl>
              <c:idx val="24"/>
              <c:layout>
                <c:manualLayout>
                  <c:x val="-1.793103448275862E-2"/>
                  <c:y val="1.8099547511312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333-427F-8D83-48EAFC4D4500}"/>
                </c:ext>
              </c:extLst>
            </c:dLbl>
            <c:dLbl>
              <c:idx val="25"/>
              <c:layout>
                <c:manualLayout>
                  <c:x val="-2.2068965517241287E-2"/>
                  <c:y val="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333-427F-8D83-48EAFC4D4500}"/>
                </c:ext>
              </c:extLst>
            </c:dLbl>
            <c:dLbl>
              <c:idx val="26"/>
              <c:layout>
                <c:manualLayout>
                  <c:x val="-1.2413793103448478E-2"/>
                  <c:y val="2.262443438914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333-427F-8D83-48EAFC4D4500}"/>
                </c:ext>
              </c:extLst>
            </c:dLbl>
            <c:dLbl>
              <c:idx val="27"/>
              <c:layout>
                <c:manualLayout>
                  <c:x val="-1.3793103448275867E-2"/>
                  <c:y val="2.0361990950226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333-427F-8D83-48EAFC4D450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'!$A$5:$A$75</c:f>
              <c:strCache>
                <c:ptCount val="15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</c:strCache>
            </c:strRef>
          </c:cat>
          <c:val>
            <c:numRef>
              <c:f>'גיליון3  '!$B$5:$B$75</c:f>
              <c:numCache>
                <c:formatCode>#,##0_);\(#,##0\)</c:formatCode>
                <c:ptCount val="15"/>
                <c:pt idx="0">
                  <c:v>351.84000000000003</c:v>
                </c:pt>
                <c:pt idx="1">
                  <c:v>390.11599999999999</c:v>
                </c:pt>
                <c:pt idx="2">
                  <c:v>374.66700000000003</c:v>
                </c:pt>
                <c:pt idx="3">
                  <c:v>352.52300000000002</c:v>
                </c:pt>
                <c:pt idx="4">
                  <c:v>355.08300000000003</c:v>
                </c:pt>
                <c:pt idx="5">
                  <c:v>357.47399999999999</c:v>
                </c:pt>
                <c:pt idx="6">
                  <c:v>322.71900000000005</c:v>
                </c:pt>
                <c:pt idx="7">
                  <c:v>343.76</c:v>
                </c:pt>
                <c:pt idx="8">
                  <c:v>373.74799999999999</c:v>
                </c:pt>
                <c:pt idx="9">
                  <c:v>365.65800000000002</c:v>
                </c:pt>
                <c:pt idx="10">
                  <c:v>351.67599999999999</c:v>
                </c:pt>
                <c:pt idx="11">
                  <c:v>373.35199999999998</c:v>
                </c:pt>
                <c:pt idx="12">
                  <c:v>376.334</c:v>
                </c:pt>
                <c:pt idx="13">
                  <c:v>386.02300000000002</c:v>
                </c:pt>
                <c:pt idx="14">
                  <c:v>349.36400000000003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3333-427F-8D83-48EAFC4D4500}"/>
            </c:ext>
          </c:extLst>
        </c:ser>
        <c:ser>
          <c:idx val="1"/>
          <c:order val="1"/>
          <c:tx>
            <c:strRef>
              <c:f>'גיליון3  '!$D$4</c:f>
              <c:strCache>
                <c:ptCount val="1"/>
                <c:pt idx="0">
                  <c:v>ח.נמל אשדוד
Ashdos port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7348248710290544E-2"/>
                  <c:y val="2.1851106281398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333-427F-8D83-48EAFC4D4500}"/>
                </c:ext>
              </c:extLst>
            </c:dLbl>
            <c:dLbl>
              <c:idx val="1"/>
              <c:layout>
                <c:manualLayout>
                  <c:x val="-2.5854575074667398E-2"/>
                  <c:y val="-1.3020985498984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333-427F-8D83-48EAFC4D4500}"/>
                </c:ext>
              </c:extLst>
            </c:dLbl>
            <c:dLbl>
              <c:idx val="2"/>
              <c:layout>
                <c:manualLayout>
                  <c:x val="-2.297974477328265E-2"/>
                  <c:y val="-2.1992553532618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333-427F-8D83-48EAFC4D4500}"/>
                </c:ext>
              </c:extLst>
            </c:dLbl>
            <c:dLbl>
              <c:idx val="3"/>
              <c:layout>
                <c:manualLayout>
                  <c:x val="-2.4587238664132507E-2"/>
                  <c:y val="-2.9744005415612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333-427F-8D83-48EAFC4D4500}"/>
                </c:ext>
              </c:extLst>
            </c:dLbl>
            <c:dLbl>
              <c:idx val="4"/>
              <c:layout>
                <c:manualLayout>
                  <c:x val="-2.6887754547922891E-2"/>
                  <c:y val="-2.03628816759895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333-427F-8D83-48EAFC4D4500}"/>
                </c:ext>
              </c:extLst>
            </c:dLbl>
            <c:dLbl>
              <c:idx val="5"/>
              <c:layout>
                <c:manualLayout>
                  <c:x val="-1.9531577518327466E-2"/>
                  <c:y val="-1.7575266327003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333-427F-8D83-48EAFC4D4500}"/>
                </c:ext>
              </c:extLst>
            </c:dLbl>
            <c:dLbl>
              <c:idx val="6"/>
              <c:layout>
                <c:manualLayout>
                  <c:x val="-2.5967092044528971E-2"/>
                  <c:y val="-1.6308832436669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333-427F-8D83-48EAFC4D4500}"/>
                </c:ext>
              </c:extLst>
            </c:dLbl>
            <c:dLbl>
              <c:idx val="7"/>
              <c:layout>
                <c:manualLayout>
                  <c:x val="-2.1025794189519477E-2"/>
                  <c:y val="-1.5514839491217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333-427F-8D83-48EAFC4D4500}"/>
                </c:ext>
              </c:extLst>
            </c:dLbl>
            <c:dLbl>
              <c:idx val="8"/>
              <c:layout>
                <c:manualLayout>
                  <c:x val="-2.711756720065165E-2"/>
                  <c:y val="-1.43873588199665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333-427F-8D83-48EAFC4D4500}"/>
                </c:ext>
              </c:extLst>
            </c:dLbl>
            <c:dLbl>
              <c:idx val="9"/>
              <c:layout>
                <c:manualLayout>
                  <c:x val="-2.0797067607928332E-2"/>
                  <c:y val="-1.8538675312644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333-427F-8D83-48EAFC4D4500}"/>
                </c:ext>
              </c:extLst>
            </c:dLbl>
            <c:dLbl>
              <c:idx val="10"/>
              <c:layout>
                <c:manualLayout>
                  <c:x val="-2.4817594352430177E-2"/>
                  <c:y val="-1.2784408736238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333-427F-8D83-48EAFC4D4500}"/>
                </c:ext>
              </c:extLst>
            </c:dLbl>
            <c:dLbl>
              <c:idx val="11"/>
              <c:layout>
                <c:manualLayout>
                  <c:x val="-2.2981591094216672E-2"/>
                  <c:y val="-2.5190971603662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333-427F-8D83-48EAFC4D4500}"/>
                </c:ext>
              </c:extLst>
            </c:dLbl>
            <c:dLbl>
              <c:idx val="12"/>
              <c:layout>
                <c:manualLayout>
                  <c:x val="-1.9760412707032316E-2"/>
                  <c:y val="-1.89462714219546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333-427F-8D83-48EAFC4D4500}"/>
                </c:ext>
              </c:extLst>
            </c:dLbl>
            <c:dLbl>
              <c:idx val="13"/>
              <c:layout>
                <c:manualLayout>
                  <c:x val="-1.9991202823784956E-2"/>
                  <c:y val="1.2583282858873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333-427F-8D83-48EAFC4D4500}"/>
                </c:ext>
              </c:extLst>
            </c:dLbl>
            <c:dLbl>
              <c:idx val="14"/>
              <c:layout>
                <c:manualLayout>
                  <c:x val="-2.5737822427369005E-2"/>
                  <c:y val="2.0084084512060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333-427F-8D83-48EAFC4D4500}"/>
                </c:ext>
              </c:extLst>
            </c:dLbl>
            <c:dLbl>
              <c:idx val="15"/>
              <c:layout>
                <c:manualLayout>
                  <c:x val="-2.3208471354873746E-2"/>
                  <c:y val="-1.87627819147041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333-427F-8D83-48EAFC4D4500}"/>
                </c:ext>
              </c:extLst>
            </c:dLbl>
            <c:dLbl>
              <c:idx val="16"/>
              <c:layout>
                <c:manualLayout>
                  <c:x val="-2.8269019820798262E-2"/>
                  <c:y val="-2.1786083300673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333-427F-8D83-48EAFC4D4500}"/>
                </c:ext>
              </c:extLst>
            </c:dLbl>
            <c:dLbl>
              <c:idx val="17"/>
              <c:layout>
                <c:manualLayout>
                  <c:x val="-2.2716250437671552E-2"/>
                  <c:y val="-1.39433248810001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333-427F-8D83-48EAFC4D4500}"/>
                </c:ext>
              </c:extLst>
            </c:dLbl>
            <c:dLbl>
              <c:idx val="18"/>
              <c:layout>
                <c:manualLayout>
                  <c:x val="-1.9303719793646489E-2"/>
                  <c:y val="-2.7169807959525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333-427F-8D83-48EAFC4D4500}"/>
                </c:ext>
              </c:extLst>
            </c:dLbl>
            <c:dLbl>
              <c:idx val="19"/>
              <c:layout>
                <c:manualLayout>
                  <c:x val="-2.0683030138474084E-2"/>
                  <c:y val="-1.360530159974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333-427F-8D83-48EAFC4D4500}"/>
                </c:ext>
              </c:extLst>
            </c:dLbl>
            <c:dLbl>
              <c:idx val="20"/>
              <c:layout>
                <c:manualLayout>
                  <c:x val="-2.7580993755091068E-2"/>
                  <c:y val="2.265258132326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333-427F-8D83-48EAFC4D4500}"/>
                </c:ext>
              </c:extLst>
            </c:dLbl>
            <c:dLbl>
              <c:idx val="21"/>
              <c:layout>
                <c:manualLayout>
                  <c:x val="-1.9304154222101553E-2"/>
                  <c:y val="-2.2601453664445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333-427F-8D83-48EAFC4D4500}"/>
                </c:ext>
              </c:extLst>
            </c:dLbl>
            <c:dLbl>
              <c:idx val="22"/>
              <c:layout>
                <c:manualLayout>
                  <c:x val="-1.5167200651642683E-2"/>
                  <c:y val="-2.0390137884348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333-427F-8D83-48EAFC4D4500}"/>
                </c:ext>
              </c:extLst>
            </c:dLbl>
            <c:dLbl>
              <c:idx val="23"/>
              <c:layout>
                <c:manualLayout>
                  <c:x val="-1.9310344827586409E-2"/>
                  <c:y val="-1.8122528236006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333-427F-8D83-48EAFC4D4500}"/>
                </c:ext>
              </c:extLst>
            </c:dLbl>
            <c:dLbl>
              <c:idx val="24"/>
              <c:layout>
                <c:manualLayout>
                  <c:x val="-2.4827586206896547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333-427F-8D83-48EAFC4D4500}"/>
                </c:ext>
              </c:extLst>
            </c:dLbl>
            <c:dLbl>
              <c:idx val="25"/>
              <c:layout>
                <c:manualLayout>
                  <c:x val="-1.2413793103448171E-2"/>
                  <c:y val="-2.4886877828054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333-427F-8D83-48EAFC4D4500}"/>
                </c:ext>
              </c:extLst>
            </c:dLbl>
            <c:dLbl>
              <c:idx val="26"/>
              <c:layout>
                <c:manualLayout>
                  <c:x val="-9.655172413793104E-3"/>
                  <c:y val="-1.1312217194570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3333-427F-8D83-48EAFC4D4500}"/>
                </c:ext>
              </c:extLst>
            </c:dLbl>
            <c:dLbl>
              <c:idx val="27"/>
              <c:layout>
                <c:manualLayout>
                  <c:x val="-1.1034482758620689E-2"/>
                  <c:y val="-2.262443438914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3333-427F-8D83-48EAFC4D450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339966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'!$A$5:$A$75</c:f>
              <c:strCache>
                <c:ptCount val="15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</c:strCache>
            </c:strRef>
          </c:cat>
          <c:val>
            <c:numRef>
              <c:f>'גיליון3  '!$D$5:$D$75</c:f>
              <c:numCache>
                <c:formatCode>#,##0_);\(#,##0\)</c:formatCode>
                <c:ptCount val="15"/>
                <c:pt idx="0">
                  <c:v>353.32900000000001</c:v>
                </c:pt>
                <c:pt idx="1">
                  <c:v>358.79999999999995</c:v>
                </c:pt>
                <c:pt idx="2">
                  <c:v>374.91500000000008</c:v>
                </c:pt>
                <c:pt idx="3">
                  <c:v>390.161</c:v>
                </c:pt>
                <c:pt idx="4">
                  <c:v>375.74599999999998</c:v>
                </c:pt>
                <c:pt idx="5">
                  <c:v>402.97300000000007</c:v>
                </c:pt>
                <c:pt idx="6">
                  <c:v>409.54499999999996</c:v>
                </c:pt>
                <c:pt idx="7">
                  <c:v>349.02700000000004</c:v>
                </c:pt>
                <c:pt idx="8">
                  <c:v>363.42599999999999</c:v>
                </c:pt>
                <c:pt idx="9">
                  <c:v>372.00799999999998</c:v>
                </c:pt>
                <c:pt idx="10">
                  <c:v>424.75899999999996</c:v>
                </c:pt>
                <c:pt idx="11">
                  <c:v>424.30599999999998</c:v>
                </c:pt>
                <c:pt idx="12">
                  <c:v>389.53</c:v>
                </c:pt>
                <c:pt idx="13">
                  <c:v>416.80399999999997</c:v>
                </c:pt>
                <c:pt idx="14">
                  <c:v>408.55700000000002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3333-427F-8D83-48EAFC4D4500}"/>
            </c:ext>
          </c:extLst>
        </c:ser>
        <c:ser>
          <c:idx val="2"/>
          <c:order val="2"/>
          <c:tx>
            <c:strRef>
              <c:f>'גיליון3  '!$F$4</c:f>
              <c:strCache>
                <c:ptCount val="1"/>
                <c:pt idx="0">
                  <c:v>ח.נמל אילת
Eilat port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'!$A$5:$A$75</c:f>
              <c:strCache>
                <c:ptCount val="15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</c:strCache>
            </c:strRef>
          </c:cat>
          <c:val>
            <c:numRef>
              <c:f>'גיליון3  '!$F$5:$F$75</c:f>
              <c:numCache>
                <c:formatCode>#,##0_);\(#,##0\)</c:formatCode>
                <c:ptCount val="15"/>
                <c:pt idx="0">
                  <c:v>1.4999999999999999E-2</c:v>
                </c:pt>
                <c:pt idx="1">
                  <c:v>2E-3</c:v>
                </c:pt>
                <c:pt idx="2">
                  <c:v>0.14600000000000002</c:v>
                </c:pt>
                <c:pt idx="3">
                  <c:v>5.7000000000000002E-2</c:v>
                </c:pt>
                <c:pt idx="4">
                  <c:v>2.6000000000000002E-2</c:v>
                </c:pt>
                <c:pt idx="5">
                  <c:v>5.0000000000000001E-3</c:v>
                </c:pt>
                <c:pt idx="6">
                  <c:v>5.2999999999999999E-2</c:v>
                </c:pt>
                <c:pt idx="7">
                  <c:v>8.6999999999999994E-2</c:v>
                </c:pt>
                <c:pt idx="8">
                  <c:v>0.11299999999999999</c:v>
                </c:pt>
                <c:pt idx="9">
                  <c:v>0.111</c:v>
                </c:pt>
                <c:pt idx="10">
                  <c:v>8.1000000000000003E-2</c:v>
                </c:pt>
                <c:pt idx="11">
                  <c:v>0</c:v>
                </c:pt>
                <c:pt idx="12">
                  <c:v>6.0000000000000005E-2</c:v>
                </c:pt>
                <c:pt idx="13">
                  <c:v>2.0999999999999998E-2</c:v>
                </c:pt>
                <c:pt idx="14">
                  <c:v>4.2999999999999997E-2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3333-427F-8D83-48EAFC4D4500}"/>
            </c:ext>
          </c:extLst>
        </c:ser>
        <c:ser>
          <c:idx val="3"/>
          <c:order val="3"/>
          <c:tx>
            <c:strRef>
              <c:f>'גיליון3  '!$G$4</c:f>
              <c:strCache>
                <c:ptCount val="1"/>
                <c:pt idx="0">
                  <c:v>כל הנמלים
Total ports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1140700515883799E-2"/>
                  <c:y val="-2.2922827519863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333-427F-8D83-48EAFC4D4500}"/>
                </c:ext>
              </c:extLst>
            </c:dLbl>
            <c:dLbl>
              <c:idx val="1"/>
              <c:layout>
                <c:manualLayout>
                  <c:x val="-2.3784901758014471E-2"/>
                  <c:y val="-2.2880555184839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333-427F-8D83-48EAFC4D4500}"/>
                </c:ext>
              </c:extLst>
            </c:dLbl>
            <c:dLbl>
              <c:idx val="2"/>
              <c:layout>
                <c:manualLayout>
                  <c:x val="-2.5393578646516202E-2"/>
                  <c:y val="-3.01056096801458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333-427F-8D83-48EAFC4D4500}"/>
                </c:ext>
              </c:extLst>
            </c:dLbl>
            <c:dLbl>
              <c:idx val="3"/>
              <c:layout>
                <c:manualLayout>
                  <c:x val="-1.9761824599511282E-2"/>
                  <c:y val="2.6762568140520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333-427F-8D83-48EAFC4D4500}"/>
                </c:ext>
              </c:extLst>
            </c:dLbl>
            <c:dLbl>
              <c:idx val="4"/>
              <c:layout>
                <c:manualLayout>
                  <c:x val="-2.5508445363667687E-2"/>
                  <c:y val="-3.0551003158503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333-427F-8D83-48EAFC4D4500}"/>
                </c:ext>
              </c:extLst>
            </c:dLbl>
            <c:dLbl>
              <c:idx val="5"/>
              <c:layout>
                <c:manualLayout>
                  <c:x val="-2.4014743761993602E-2"/>
                  <c:y val="-2.36535433070865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333-427F-8D83-48EAFC4D4500}"/>
                </c:ext>
              </c:extLst>
            </c:dLbl>
            <c:dLbl>
              <c:idx val="6"/>
              <c:layout>
                <c:manualLayout>
                  <c:x val="-2.3555059754035428E-2"/>
                  <c:y val="-2.6218959918145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333-427F-8D83-48EAFC4D4500}"/>
                </c:ext>
              </c:extLst>
            </c:dLbl>
            <c:dLbl>
              <c:idx val="7"/>
              <c:layout>
                <c:manualLayout>
                  <c:x val="-1.8610915014933435E-2"/>
                  <c:y val="2.4592225745537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333-427F-8D83-48EAFC4D4500}"/>
                </c:ext>
              </c:extLst>
            </c:dLbl>
            <c:dLbl>
              <c:idx val="8"/>
              <c:layout>
                <c:manualLayout>
                  <c:x val="-2.573828736764679E-2"/>
                  <c:y val="-2.5980159259753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333-427F-8D83-48EAFC4D4500}"/>
                </c:ext>
              </c:extLst>
            </c:dLbl>
            <c:dLbl>
              <c:idx val="9"/>
              <c:layout>
                <c:manualLayout>
                  <c:x val="-2.5278603359688678E-2"/>
                  <c:y val="-2.8191645535833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333-427F-8D83-48EAFC4D4500}"/>
                </c:ext>
              </c:extLst>
            </c:dLbl>
            <c:dLbl>
              <c:idx val="10"/>
              <c:layout>
                <c:manualLayout>
                  <c:x val="-1.9300352973119741E-2"/>
                  <c:y val="-2.2582392133110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3333-427F-8D83-48EAFC4D4500}"/>
                </c:ext>
              </c:extLst>
            </c:dLbl>
            <c:dLbl>
              <c:idx val="11"/>
              <c:layout>
                <c:manualLayout>
                  <c:x val="-2.0220146619603595E-2"/>
                  <c:y val="2.3788612961841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3333-427F-8D83-48EAFC4D4500}"/>
                </c:ext>
              </c:extLst>
            </c:dLbl>
            <c:dLbl>
              <c:idx val="12"/>
              <c:layout>
                <c:manualLayout>
                  <c:x val="-3.1829052402932392E-2"/>
                  <c:y val="-2.3518366765240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3333-427F-8D83-48EAFC4D4500}"/>
                </c:ext>
              </c:extLst>
            </c:dLbl>
            <c:dLbl>
              <c:idx val="13"/>
              <c:layout>
                <c:manualLayout>
                  <c:x val="-2.9644950017235456E-2"/>
                  <c:y val="-2.7053160727790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3333-427F-8D83-48EAFC4D4500}"/>
                </c:ext>
              </c:extLst>
            </c:dLbl>
            <c:dLbl>
              <c:idx val="14"/>
              <c:layout>
                <c:manualLayout>
                  <c:x val="-2.5048869925385551E-2"/>
                  <c:y val="-2.6507584856977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3333-427F-8D83-48EAFC4D4500}"/>
                </c:ext>
              </c:extLst>
            </c:dLbl>
            <c:dLbl>
              <c:idx val="15"/>
              <c:layout>
                <c:manualLayout>
                  <c:x val="-2.3901710562041812E-2"/>
                  <c:y val="2.24005059322335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3333-427F-8D83-48EAFC4D4500}"/>
                </c:ext>
              </c:extLst>
            </c:dLbl>
            <c:dLbl>
              <c:idx val="16"/>
              <c:layout>
                <c:manualLayout>
                  <c:x val="-2.2061358152361411E-2"/>
                  <c:y val="-3.4602073045954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3333-427F-8D83-48EAFC4D4500}"/>
                </c:ext>
              </c:extLst>
            </c:dLbl>
            <c:dLbl>
              <c:idx val="17"/>
              <c:layout>
                <c:manualLayout>
                  <c:x val="-2.0992706832018187E-2"/>
                  <c:y val="-2.5458249922149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3333-427F-8D83-48EAFC4D4500}"/>
                </c:ext>
              </c:extLst>
            </c:dLbl>
            <c:dLbl>
              <c:idx val="18"/>
              <c:layout>
                <c:manualLayout>
                  <c:x val="-2.7579038827043191E-2"/>
                  <c:y val="2.9442405672141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3333-427F-8D83-48EAFC4D4500}"/>
                </c:ext>
              </c:extLst>
            </c:dLbl>
            <c:dLbl>
              <c:idx val="19"/>
              <c:layout>
                <c:manualLayout>
                  <c:x val="-2.2062774911756719E-2"/>
                  <c:y val="-1.354651369936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3333-427F-8D83-48EAFC4D4500}"/>
                </c:ext>
              </c:extLst>
            </c:dLbl>
            <c:dLbl>
              <c:idx val="20"/>
              <c:layout>
                <c:manualLayout>
                  <c:x val="-2.0682523267838628E-2"/>
                  <c:y val="-2.9378531073446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3333-427F-8D83-48EAFC4D4500}"/>
                </c:ext>
              </c:extLst>
            </c:dLbl>
            <c:dLbl>
              <c:idx val="21"/>
              <c:layout>
                <c:manualLayout>
                  <c:x val="-2.3443062720608202E-2"/>
                  <c:y val="-2.0331349983966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3333-427F-8D83-48EAFC4D4500}"/>
                </c:ext>
              </c:extLst>
            </c:dLbl>
            <c:dLbl>
              <c:idx val="22"/>
              <c:layout>
                <c:manualLayout>
                  <c:x val="-1.3790279663317959E-2"/>
                  <c:y val="-2.034916449923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3333-427F-8D83-48EAFC4D4500}"/>
                </c:ext>
              </c:extLst>
            </c:dLbl>
            <c:dLbl>
              <c:idx val="23"/>
              <c:layout>
                <c:manualLayout>
                  <c:x val="-1.9310344827586409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3333-427F-8D83-48EAFC4D4500}"/>
                </c:ext>
              </c:extLst>
            </c:dLbl>
            <c:dLbl>
              <c:idx val="24"/>
              <c:layout>
                <c:manualLayout>
                  <c:x val="-2.482758620689644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3333-427F-8D83-48EAFC4D4500}"/>
                </c:ext>
              </c:extLst>
            </c:dLbl>
            <c:dLbl>
              <c:idx val="25"/>
              <c:layout>
                <c:manualLayout>
                  <c:x val="-1.1034482758620689E-2"/>
                  <c:y val="-2.2624434389140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3333-427F-8D83-48EAFC4D4500}"/>
                </c:ext>
              </c:extLst>
            </c:dLbl>
            <c:dLbl>
              <c:idx val="26"/>
              <c:layout>
                <c:manualLayout>
                  <c:x val="-1.3793103448275867E-2"/>
                  <c:y val="-9.04977375565614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3333-427F-8D83-48EAFC4D4500}"/>
                </c:ext>
              </c:extLst>
            </c:dLbl>
            <c:dLbl>
              <c:idx val="27"/>
              <c:layout>
                <c:manualLayout>
                  <c:x val="-1.2413793103448274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3333-427F-8D83-48EAFC4D450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'!$A$5:$A$75</c:f>
              <c:strCache>
                <c:ptCount val="15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</c:strCache>
            </c:strRef>
          </c:cat>
          <c:val>
            <c:numRef>
              <c:f>'גיליון3  '!$G$5:$G$75</c:f>
              <c:numCache>
                <c:formatCode>#,##0_);\(#,##0\)</c:formatCode>
                <c:ptCount val="15"/>
                <c:pt idx="0">
                  <c:v>705.18400000000008</c:v>
                </c:pt>
                <c:pt idx="1">
                  <c:v>748.91799999999989</c:v>
                </c:pt>
                <c:pt idx="2">
                  <c:v>749.72800000000007</c:v>
                </c:pt>
                <c:pt idx="3">
                  <c:v>742.74099999999999</c:v>
                </c:pt>
                <c:pt idx="4">
                  <c:v>730.8549999999999</c:v>
                </c:pt>
                <c:pt idx="5">
                  <c:v>760.45200000000011</c:v>
                </c:pt>
                <c:pt idx="6">
                  <c:v>732.31700000000001</c:v>
                </c:pt>
                <c:pt idx="7">
                  <c:v>692.87400000000002</c:v>
                </c:pt>
                <c:pt idx="8">
                  <c:v>737.28700000000003</c:v>
                </c:pt>
                <c:pt idx="9">
                  <c:v>737.77699999999993</c:v>
                </c:pt>
                <c:pt idx="10">
                  <c:v>776.51599999999996</c:v>
                </c:pt>
                <c:pt idx="11">
                  <c:v>797.6579999999999</c:v>
                </c:pt>
                <c:pt idx="12">
                  <c:v>765.92399999999998</c:v>
                </c:pt>
                <c:pt idx="13">
                  <c:v>802.84799999999996</c:v>
                </c:pt>
                <c:pt idx="14">
                  <c:v>773.78700000000003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57-3333-427F-8D83-48EAFC4D45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429568"/>
        <c:axId val="96430720"/>
        <c:extLst/>
      </c:lineChart>
      <c:catAx>
        <c:axId val="964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6430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4307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 sz="1550" b="1" i="0" u="none" strike="noStrike" baseline="0">
                    <a:solidFill>
                      <a:srgbClr val="000080"/>
                    </a:solidFill>
                    <a:latin typeface="Arial"/>
                    <a:cs typeface="Arial"/>
                  </a:rPr>
                  <a:t>אלפי </a:t>
                </a:r>
                <a:r>
                  <a:rPr lang="en-US" sz="1550" b="1" i="0" u="none" strike="noStrike" baseline="0">
                    <a:solidFill>
                      <a:srgbClr val="000080"/>
                    </a:solidFill>
                    <a:latin typeface="Arial"/>
                    <a:cs typeface="Arial"/>
                  </a:rPr>
                  <a:t>Thousands of TEU</a:t>
                </a:r>
              </a:p>
            </c:rich>
          </c:tx>
          <c:layout>
            <c:manualLayout>
              <c:xMode val="edge"/>
              <c:yMode val="edge"/>
              <c:x val="1.3788348845225789E-2"/>
              <c:y val="0.271751412429378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964295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0465356773526326"/>
          <c:y val="0.15762711864406781"/>
          <c:w val="0.45742847294036565"/>
          <c:h val="7.344632768361582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he-IL" sz="1600" b="1"/>
              <a:t>מכולות- סה"כ תנועות (אלפי </a:t>
            </a:r>
            <a:r>
              <a:rPr lang="en-US" sz="1600" b="1"/>
              <a:t>TEU</a:t>
            </a:r>
            <a:r>
              <a:rPr lang="he-IL" sz="1600" b="1"/>
              <a:t>) בנמלי ישראל </a:t>
            </a:r>
            <a:r>
              <a:rPr lang="en-US" sz="1600" b="1"/>
              <a:t>Q1/2022- 2010</a:t>
            </a:r>
          </a:p>
        </c:rich>
      </c:tx>
      <c:layout>
        <c:manualLayout>
          <c:xMode val="edge"/>
          <c:yMode val="edge"/>
          <c:x val="0.24787792560412708"/>
          <c:y val="4.9183204475006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8.9968976215098265E-2"/>
          <c:y val="0.21864406779661041"/>
          <c:w val="0.85418821096173769"/>
          <c:h val="0.56099387180674809"/>
        </c:manualLayout>
      </c:layout>
      <c:lineChart>
        <c:grouping val="standard"/>
        <c:varyColors val="0"/>
        <c:ser>
          <c:idx val="0"/>
          <c:order val="0"/>
          <c:tx>
            <c:strRef>
              <c:f>'גיליון3  '!$B$80</c:f>
              <c:strCache>
                <c:ptCount val="1"/>
                <c:pt idx="0">
                  <c:v>ח.נמל חיפה
Haifa port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'!$A$83:$A$95</c:f>
              <c:strCache>
                <c:ptCount val="13"/>
                <c:pt idx="0">
                  <c:v>2010 </c:v>
                </c:pt>
                <c:pt idx="1">
                  <c:v>2011 </c:v>
                </c:pt>
                <c:pt idx="2">
                  <c:v>2012 </c:v>
                </c:pt>
                <c:pt idx="3">
                  <c:v>2013 </c:v>
                </c:pt>
                <c:pt idx="4">
                  <c:v>2014 </c:v>
                </c:pt>
                <c:pt idx="5">
                  <c:v>2015 </c:v>
                </c:pt>
                <c:pt idx="6">
                  <c:v>2016 </c:v>
                </c:pt>
                <c:pt idx="7">
                  <c:v>2017 </c:v>
                </c:pt>
                <c:pt idx="8">
                  <c:v>2018 </c:v>
                </c:pt>
                <c:pt idx="9">
                  <c:v>2019 </c:v>
                </c:pt>
                <c:pt idx="10">
                  <c:v>2020 </c:v>
                </c:pt>
                <c:pt idx="11">
                  <c:v>2021 </c:v>
                </c:pt>
                <c:pt idx="12">
                  <c:v>Q1/2022</c:v>
                </c:pt>
              </c:strCache>
            </c:strRef>
          </c:cat>
          <c:val>
            <c:numRef>
              <c:f>'גיליון3  '!$B$81:$B$95</c:f>
              <c:numCache>
                <c:formatCode>#,##0</c:formatCode>
                <c:ptCount val="13"/>
                <c:pt idx="0">
                  <c:v>1266.1379999999999</c:v>
                </c:pt>
                <c:pt idx="1">
                  <c:v>1235.5920000000001</c:v>
                </c:pt>
                <c:pt idx="2">
                  <c:v>1370.431</c:v>
                </c:pt>
                <c:pt idx="3">
                  <c:v>1356.989</c:v>
                </c:pt>
                <c:pt idx="4">
                  <c:v>1196.2439999999999</c:v>
                </c:pt>
                <c:pt idx="5">
                  <c:v>1214.575</c:v>
                </c:pt>
                <c:pt idx="6">
                  <c:v>1267.9379999999999</c:v>
                </c:pt>
                <c:pt idx="7">
                  <c:v>1343.3050000000001</c:v>
                </c:pt>
                <c:pt idx="8">
                  <c:v>1469.1460000000002</c:v>
                </c:pt>
                <c:pt idx="9">
                  <c:v>1379.0360000000001</c:v>
                </c:pt>
                <c:pt idx="10">
                  <c:v>1464.4339999999997</c:v>
                </c:pt>
                <c:pt idx="11">
                  <c:v>1463.2190000000001</c:v>
                </c:pt>
                <c:pt idx="12">
                  <c:v>354.495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B-4AFE-A820-AE432B76AAA5}"/>
            </c:ext>
          </c:extLst>
        </c:ser>
        <c:ser>
          <c:idx val="3"/>
          <c:order val="1"/>
          <c:tx>
            <c:strRef>
              <c:f>'גיליון3  '!$C$80</c:f>
              <c:strCache>
                <c:ptCount val="1"/>
                <c:pt idx="0">
                  <c:v>נמל המפרץ
SIPG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'גיליון3  '!$A$83:$A$95</c:f>
              <c:strCache>
                <c:ptCount val="13"/>
                <c:pt idx="0">
                  <c:v>2010 </c:v>
                </c:pt>
                <c:pt idx="1">
                  <c:v>2011 </c:v>
                </c:pt>
                <c:pt idx="2">
                  <c:v>2012 </c:v>
                </c:pt>
                <c:pt idx="3">
                  <c:v>2013 </c:v>
                </c:pt>
                <c:pt idx="4">
                  <c:v>2014 </c:v>
                </c:pt>
                <c:pt idx="5">
                  <c:v>2015 </c:v>
                </c:pt>
                <c:pt idx="6">
                  <c:v>2016 </c:v>
                </c:pt>
                <c:pt idx="7">
                  <c:v>2017 </c:v>
                </c:pt>
                <c:pt idx="8">
                  <c:v>2018 </c:v>
                </c:pt>
                <c:pt idx="9">
                  <c:v>2019 </c:v>
                </c:pt>
                <c:pt idx="10">
                  <c:v>2020 </c:v>
                </c:pt>
                <c:pt idx="11">
                  <c:v>2021 </c:v>
                </c:pt>
                <c:pt idx="12">
                  <c:v>Q1/2022</c:v>
                </c:pt>
              </c:strCache>
            </c:strRef>
          </c:cat>
          <c:val>
            <c:numRef>
              <c:f>'גיליון3  '!$C$83:$C$95</c:f>
              <c:numCache>
                <c:formatCode>#,##0</c:formatCode>
                <c:ptCount val="13"/>
                <c:pt idx="11">
                  <c:v>32.986999999999995</c:v>
                </c:pt>
                <c:pt idx="12">
                  <c:v>49.524999999999999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46-4EDC-837E-1F45BC5675D1}"/>
            </c:ext>
          </c:extLst>
        </c:ser>
        <c:ser>
          <c:idx val="1"/>
          <c:order val="2"/>
          <c:tx>
            <c:strRef>
              <c:f>'גיליון3  '!$D$80</c:f>
              <c:strCache>
                <c:ptCount val="1"/>
                <c:pt idx="0">
                  <c:v>ח.נמל אשדוד
Ashdod port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'גיליון3  '!$A$83:$A$95</c:f>
              <c:strCache>
                <c:ptCount val="13"/>
                <c:pt idx="0">
                  <c:v>2010 </c:v>
                </c:pt>
                <c:pt idx="1">
                  <c:v>2011 </c:v>
                </c:pt>
                <c:pt idx="2">
                  <c:v>2012 </c:v>
                </c:pt>
                <c:pt idx="3">
                  <c:v>2013 </c:v>
                </c:pt>
                <c:pt idx="4">
                  <c:v>2014 </c:v>
                </c:pt>
                <c:pt idx="5">
                  <c:v>2015 </c:v>
                </c:pt>
                <c:pt idx="6">
                  <c:v>2016 </c:v>
                </c:pt>
                <c:pt idx="7">
                  <c:v>2017 </c:v>
                </c:pt>
                <c:pt idx="8">
                  <c:v>2018 </c:v>
                </c:pt>
                <c:pt idx="9">
                  <c:v>2019 </c:v>
                </c:pt>
                <c:pt idx="10">
                  <c:v>2020 </c:v>
                </c:pt>
                <c:pt idx="11">
                  <c:v>2021 </c:v>
                </c:pt>
                <c:pt idx="12">
                  <c:v>Q1/2022</c:v>
                </c:pt>
              </c:strCache>
            </c:strRef>
          </c:cat>
          <c:val>
            <c:numRef>
              <c:f>'גיליון3  '!$D$81:$D$95</c:f>
              <c:numCache>
                <c:formatCode>#,##0</c:formatCode>
                <c:ptCount val="13"/>
                <c:pt idx="0">
                  <c:v>1017.422</c:v>
                </c:pt>
                <c:pt idx="1">
                  <c:v>1160.1030000000001</c:v>
                </c:pt>
                <c:pt idx="2">
                  <c:v>1170.4279999999999</c:v>
                </c:pt>
                <c:pt idx="3">
                  <c:v>1181.6500000000001</c:v>
                </c:pt>
                <c:pt idx="4">
                  <c:v>1249.7059999999999</c:v>
                </c:pt>
                <c:pt idx="5">
                  <c:v>1306.7660000000001</c:v>
                </c:pt>
                <c:pt idx="6">
                  <c:v>1443.1839999999997</c:v>
                </c:pt>
                <c:pt idx="7">
                  <c:v>1525.472</c:v>
                </c:pt>
                <c:pt idx="8">
                  <c:v>1477.2049999999999</c:v>
                </c:pt>
                <c:pt idx="9">
                  <c:v>1537.2910000000002</c:v>
                </c:pt>
                <c:pt idx="10">
                  <c:v>1584.499</c:v>
                </c:pt>
                <c:pt idx="11">
                  <c:v>1612.3690000000001</c:v>
                </c:pt>
                <c:pt idx="12">
                  <c:v>360.49900000000002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B-4AFE-A820-AE432B76AAA5}"/>
            </c:ext>
          </c:extLst>
        </c:ser>
        <c:ser>
          <c:idx val="4"/>
          <c:order val="3"/>
          <c:tx>
            <c:strRef>
              <c:f>'גיליון3  '!$E$80</c:f>
              <c:strCache>
                <c:ptCount val="1"/>
                <c:pt idx="0">
                  <c:v>נמל הדרום
HCT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11"/>
              <c:layout>
                <c:manualLayout>
                  <c:x val="-4.9089403973510033E-2"/>
                  <c:y val="-4.520795660036166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D5-4B77-BC9F-93583807A76E}"/>
                </c:ext>
              </c:extLst>
            </c:dLbl>
            <c:dLbl>
              <c:idx val="12"/>
              <c:layout>
                <c:manualLayout>
                  <c:x val="-2.8394039735099338E-2"/>
                  <c:y val="4.520795660036000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D5-4B77-BC9F-93583807A7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'גיליון3  '!$A$83:$A$95</c:f>
              <c:strCache>
                <c:ptCount val="13"/>
                <c:pt idx="0">
                  <c:v>2010 </c:v>
                </c:pt>
                <c:pt idx="1">
                  <c:v>2011 </c:v>
                </c:pt>
                <c:pt idx="2">
                  <c:v>2012 </c:v>
                </c:pt>
                <c:pt idx="3">
                  <c:v>2013 </c:v>
                </c:pt>
                <c:pt idx="4">
                  <c:v>2014 </c:v>
                </c:pt>
                <c:pt idx="5">
                  <c:v>2015 </c:v>
                </c:pt>
                <c:pt idx="6">
                  <c:v>2016 </c:v>
                </c:pt>
                <c:pt idx="7">
                  <c:v>2017 </c:v>
                </c:pt>
                <c:pt idx="8">
                  <c:v>2018 </c:v>
                </c:pt>
                <c:pt idx="9">
                  <c:v>2019 </c:v>
                </c:pt>
                <c:pt idx="10">
                  <c:v>2020 </c:v>
                </c:pt>
                <c:pt idx="11">
                  <c:v>2021 </c:v>
                </c:pt>
                <c:pt idx="12">
                  <c:v>Q1/2022</c:v>
                </c:pt>
              </c:strCache>
            </c:strRef>
          </c:cat>
          <c:val>
            <c:numRef>
              <c:f>'גיליון3  '!$E$83:$E$95</c:f>
              <c:numCache>
                <c:formatCode>#,##0</c:formatCode>
                <c:ptCount val="13"/>
                <c:pt idx="11">
                  <c:v>24.324999999999999</c:v>
                </c:pt>
                <c:pt idx="12">
                  <c:v>20.752000000000002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46-4EDC-837E-1F45BC5675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513856"/>
        <c:axId val="97515392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'גיליון3  '!$F$80</c15:sqref>
                        </c15:formulaRef>
                      </c:ext>
                    </c:extLst>
                    <c:strCache>
                      <c:ptCount val="1"/>
                      <c:pt idx="0">
                        <c:v>ח.נמל אילת
Eilat port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l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he-I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'גיליון3  '!$A$83:$A$95</c15:sqref>
                        </c15:formulaRef>
                      </c:ext>
                    </c:extLst>
                    <c:strCache>
                      <c:ptCount val="13"/>
                      <c:pt idx="0">
                        <c:v>2010 </c:v>
                      </c:pt>
                      <c:pt idx="1">
                        <c:v>2011 </c:v>
                      </c:pt>
                      <c:pt idx="2">
                        <c:v>2012 </c:v>
                      </c:pt>
                      <c:pt idx="3">
                        <c:v>2013 </c:v>
                      </c:pt>
                      <c:pt idx="4">
                        <c:v>2014 </c:v>
                      </c:pt>
                      <c:pt idx="5">
                        <c:v>2015 </c:v>
                      </c:pt>
                      <c:pt idx="6">
                        <c:v>2016 </c:v>
                      </c:pt>
                      <c:pt idx="7">
                        <c:v>2017 </c:v>
                      </c:pt>
                      <c:pt idx="8">
                        <c:v>2018 </c:v>
                      </c:pt>
                      <c:pt idx="9">
                        <c:v>2019 </c:v>
                      </c:pt>
                      <c:pt idx="10">
                        <c:v>2020 </c:v>
                      </c:pt>
                      <c:pt idx="11">
                        <c:v>2021 </c:v>
                      </c:pt>
                      <c:pt idx="12">
                        <c:v>Q1/2022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'גיליון3  '!$F$81:$F$95</c15:sqref>
                        </c15:formulaRef>
                      </c:ext>
                    </c:extLst>
                    <c:numCache>
                      <c:formatCode>#,##0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0.22800000000000001</c:v>
                      </c:pt>
                      <c:pt idx="4">
                        <c:v>0.18</c:v>
                      </c:pt>
                      <c:pt idx="5">
                        <c:v>0.38300000000000001</c:v>
                      </c:pt>
                      <c:pt idx="6">
                        <c:v>0.29400000000000004</c:v>
                      </c:pt>
                      <c:pt idx="7">
                        <c:v>0.20899999999999999</c:v>
                      </c:pt>
                      <c:pt idx="8">
                        <c:v>0.22000000000000003</c:v>
                      </c:pt>
                      <c:pt idx="9">
                        <c:v>0.17099999999999999</c:v>
                      </c:pt>
                      <c:pt idx="10">
                        <c:v>0.30499999999999999</c:v>
                      </c:pt>
                      <c:pt idx="11">
                        <c:v>0.42000000000000004</c:v>
                      </c:pt>
                      <c:pt idx="12">
                        <c:v>4.5999999999999999E-2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0B-4AFE-A820-AE432B76AAA5}"/>
                  </c:ext>
                </c:extLst>
              </c15:ser>
            </c15:filteredLineSeries>
          </c:ext>
        </c:extLst>
      </c:lineChart>
      <c:catAx>
        <c:axId val="975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7515392"/>
        <c:crosses val="autoZero"/>
        <c:auto val="1"/>
        <c:lblAlgn val="ctr"/>
        <c:lblOffset val="100"/>
        <c:noMultiLvlLbl val="0"/>
      </c:catAx>
      <c:valAx>
        <c:axId val="975153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 sz="1200" b="1"/>
                  <a:t>אלפי </a:t>
                </a:r>
                <a:r>
                  <a:rPr lang="en-US" sz="1200" b="1"/>
                  <a:t>TEU </a:t>
                </a:r>
                <a:endParaRPr lang="he-IL" sz="1200" b="1"/>
              </a:p>
            </c:rich>
          </c:tx>
          <c:layout>
            <c:manualLayout>
              <c:xMode val="edge"/>
              <c:yMode val="edge"/>
              <c:x val="9.3071354705274566E-3"/>
              <c:y val="0.41694915254237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#,##0" sourceLinked="0"/>
        <c:majorTickMark val="none"/>
        <c:minorTickMark val="none"/>
        <c:tickLblPos val="nextTo"/>
        <c:crossAx val="9751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תנועת מכולות (אלפי </a:t>
            </a:r>
            <a:r>
              <a:rPr lang="en-US"/>
              <a:t>TEU</a:t>
            </a:r>
            <a:r>
              <a:rPr lang="he-IL"/>
              <a:t>)- 2022</a:t>
            </a:r>
            <a:r>
              <a:rPr lang="en-US"/>
              <a:t>Q1/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EB-483A-BA16-701EC733F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EB-483A-BA16-701EC733F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EB-483A-BA16-701EC733F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EB-483A-BA16-701EC733F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EB-483A-BA16-701EC733FD98}"/>
              </c:ext>
            </c:extLst>
          </c:dPt>
          <c:dLbls>
            <c:dLbl>
              <c:idx val="4"/>
              <c:layout>
                <c:manualLayout>
                  <c:x val="8.495476508246444E-2"/>
                  <c:y val="3.668262726501098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EB-483A-BA16-701EC733FD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'גיליון3  '!$B$80:$F$80</c:f>
              <c:strCache>
                <c:ptCount val="5"/>
                <c:pt idx="0">
                  <c:v>ח.נמל חיפה
Haifa port</c:v>
                </c:pt>
                <c:pt idx="1">
                  <c:v>נמל המפרץ
SIPG</c:v>
                </c:pt>
                <c:pt idx="2">
                  <c:v>ח.נמל אשדוד
Ashdod port</c:v>
                </c:pt>
                <c:pt idx="3">
                  <c:v>נמל הדרום
HCT</c:v>
                </c:pt>
                <c:pt idx="4">
                  <c:v>ח.נמל אילת
Eilat port</c:v>
                </c:pt>
              </c:strCache>
            </c:strRef>
          </c:cat>
          <c:val>
            <c:numRef>
              <c:f>'גיליון3  '!$B$95:$F$95</c:f>
              <c:numCache>
                <c:formatCode>#,##0</c:formatCode>
                <c:ptCount val="5"/>
                <c:pt idx="0">
                  <c:v>354.495</c:v>
                </c:pt>
                <c:pt idx="1">
                  <c:v>49.524999999999999</c:v>
                </c:pt>
                <c:pt idx="2">
                  <c:v>360.49900000000002</c:v>
                </c:pt>
                <c:pt idx="3">
                  <c:v>20.752000000000002</c:v>
                </c:pt>
                <c:pt idx="4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C-40ED-94DA-A2B71ECE39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095363079615044E-2"/>
          <c:y val="0.87152668416447943"/>
          <c:w val="0.87980905511811025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תרשים1"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תרשים2"/>
  <sheetViews>
    <sheetView zoomScale="7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7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257175</xdr:colOff>
      <xdr:row>36</xdr:row>
      <xdr:rowOff>66675</xdr:rowOff>
    </xdr:from>
    <xdr:to>
      <xdr:col>49</xdr:col>
      <xdr:colOff>542925</xdr:colOff>
      <xdr:row>64</xdr:row>
      <xdr:rowOff>9525</xdr:rowOff>
    </xdr:to>
    <xdr:graphicFrame macro="">
      <xdr:nvGraphicFramePr>
        <xdr:cNvPr id="4135" name="Chart 1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171450</xdr:colOff>
      <xdr:row>65</xdr:row>
      <xdr:rowOff>142875</xdr:rowOff>
    </xdr:from>
    <xdr:to>
      <xdr:col>47</xdr:col>
      <xdr:colOff>142875</xdr:colOff>
      <xdr:row>96</xdr:row>
      <xdr:rowOff>142875</xdr:rowOff>
    </xdr:to>
    <xdr:graphicFrame macro="">
      <xdr:nvGraphicFramePr>
        <xdr:cNvPr id="4136" name="Chart 2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0.82228</cdr:x>
      <cdr:y>0.01371</cdr:y>
    </cdr:from>
    <cdr:to>
      <cdr:x>0.99709</cdr:x>
      <cdr:y>0.48019</cdr:y>
    </cdr:to>
    <cdr:sp macro="" textlink="">
      <cdr:nvSpPr>
        <cdr:cNvPr id="512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7682" y="63773"/>
          <a:ext cx="3130415" cy="20616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22860" rIns="27432" bIns="0" anchor="t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he-IL" sz="115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סיכום שנתי :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חיפה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אשדוד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אילת</a:t>
          </a:r>
          <a:endParaRPr lang="he-IL" sz="9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2003: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1,013,836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514,277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21,685</a:t>
          </a:r>
          <a:endParaRPr lang="he-IL" sz="9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endParaRPr lang="he-IL" sz="9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2004: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1,031,320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545,000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29,851</a:t>
          </a:r>
          <a:endParaRPr lang="he-IL" sz="9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endParaRPr lang="he-IL" sz="9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*2005: (רבעונים 1,2=01-06/2005)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545,153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309,075</a:t>
          </a:r>
          <a:r>
            <a:rPr lang="he-IL" sz="950" b="1" i="0" u="none" strike="noStrike" baseline="0">
              <a:solidFill>
                <a:srgbClr val="008000"/>
              </a:solidFill>
              <a:latin typeface="Arial"/>
              <a:cs typeface="Arial"/>
            </a:rPr>
            <a:t>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9,214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 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הערכה שנתית : </a:t>
          </a: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TON*2=</a:t>
          </a:r>
        </a:p>
        <a:p xmlns:a="http://schemas.openxmlformats.org/drawingml/2006/main">
          <a:pPr algn="r" rtl="1">
            <a:defRPr sz="1000"/>
          </a:pP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en-US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1,090,000 </a:t>
          </a: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618,000  </a:t>
          </a:r>
          <a:r>
            <a:rPr lang="en-US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18,500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0.78782</cdr:x>
      <cdr:y>0.00947</cdr:y>
    </cdr:from>
    <cdr:to>
      <cdr:x>0.98118</cdr:x>
      <cdr:y>0.45414</cdr:y>
    </cdr:to>
    <cdr:sp macro="" textlink="">
      <cdr:nvSpPr>
        <cdr:cNvPr id="6145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902459" y="50800"/>
          <a:ext cx="3166114" cy="22363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22860" rIns="36576" bIns="0" anchor="t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he-IL" sz="1175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סיכום שנתי :</a:t>
          </a: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he-IL" sz="1175" b="1" i="0" u="none" strike="noStrike" baseline="0">
              <a:solidFill>
                <a:srgbClr val="FF0000"/>
              </a:solidFill>
              <a:latin typeface="Arial"/>
              <a:cs typeface="Arial"/>
            </a:rPr>
            <a:t>חיפה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he-IL" sz="1175" b="1" i="0" u="none" strike="noStrike" baseline="0">
              <a:solidFill>
                <a:srgbClr val="99CC00"/>
              </a:solidFill>
              <a:latin typeface="Arial"/>
              <a:cs typeface="Arial"/>
            </a:rPr>
            <a:t>אשדוד 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he-IL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אילת</a:t>
          </a:r>
          <a:endParaRPr lang="he-IL" sz="1175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2003: </a:t>
          </a:r>
          <a:r>
            <a:rPr lang="he-IL" sz="1175" b="1" i="0" u="none" strike="noStrike" baseline="0">
              <a:solidFill>
                <a:srgbClr val="FF0000"/>
              </a:solidFill>
              <a:latin typeface="Arial"/>
              <a:cs typeface="Arial"/>
            </a:rPr>
            <a:t>1,013,836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1175" b="1" i="0" u="none" strike="noStrike" baseline="0">
              <a:solidFill>
                <a:srgbClr val="99CC00"/>
              </a:solidFill>
              <a:latin typeface="Arial"/>
              <a:cs typeface="Arial"/>
            </a:rPr>
            <a:t>514,277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21,685</a:t>
          </a:r>
          <a:endParaRPr lang="he-IL" sz="1175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endParaRPr lang="he-IL" sz="1175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2004: </a:t>
          </a:r>
          <a:r>
            <a:rPr lang="he-IL" sz="1175" b="1" i="0" u="none" strike="noStrike" baseline="0">
              <a:solidFill>
                <a:srgbClr val="FF0000"/>
              </a:solidFill>
              <a:latin typeface="Arial"/>
              <a:cs typeface="Arial"/>
            </a:rPr>
            <a:t>1,031,320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1175" b="1" i="0" u="none" strike="noStrike" baseline="0">
              <a:solidFill>
                <a:srgbClr val="99CC00"/>
              </a:solidFill>
              <a:latin typeface="Arial"/>
              <a:cs typeface="Arial"/>
            </a:rPr>
            <a:t>545,000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29,851</a:t>
          </a:r>
          <a:endParaRPr lang="he-IL" sz="1175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endParaRPr lang="he-IL" sz="1175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*2005:(רבעונים 1,2=01-06/2005)</a:t>
          </a: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  <a:r>
            <a:rPr lang="he-IL" sz="1175" b="1" i="0" u="none" strike="noStrike" baseline="0">
              <a:solidFill>
                <a:srgbClr val="FF0000"/>
              </a:solidFill>
              <a:latin typeface="Arial"/>
              <a:cs typeface="Arial"/>
            </a:rPr>
            <a:t>545,153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he-IL" sz="1175" b="1" i="0" u="none" strike="noStrike" baseline="0">
              <a:solidFill>
                <a:srgbClr val="99CC00"/>
              </a:solidFill>
              <a:latin typeface="Arial"/>
              <a:cs typeface="Arial"/>
            </a:rPr>
            <a:t>309,075</a:t>
          </a:r>
          <a:r>
            <a:rPr lang="he-IL" sz="1175" b="1" i="0" u="none" strike="noStrike" baseline="0">
              <a:solidFill>
                <a:srgbClr val="008000"/>
              </a:solidFill>
              <a:latin typeface="Arial"/>
              <a:cs typeface="Arial"/>
            </a:rPr>
            <a:t> 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he-IL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9,214</a:t>
          </a:r>
        </a:p>
        <a:p xmlns:a="http://schemas.openxmlformats.org/drawingml/2006/main">
          <a:pPr algn="r" rtl="1">
            <a:defRPr sz="1000"/>
          </a:pPr>
          <a:r>
            <a:rPr lang="he-IL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  </a:t>
          </a:r>
          <a:r>
            <a:rPr lang="he-IL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הערכה שנתית : </a:t>
          </a:r>
          <a:r>
            <a:rPr lang="en-US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TON*2=</a:t>
          </a:r>
        </a:p>
        <a:p xmlns:a="http://schemas.openxmlformats.org/drawingml/2006/main">
          <a:pPr algn="r" rtl="1">
            <a:defRPr sz="1000"/>
          </a:pPr>
          <a:r>
            <a:rPr lang="en-US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US" sz="1175" b="1" i="0" u="none" strike="noStrike" baseline="0">
              <a:solidFill>
                <a:srgbClr val="FF0000"/>
              </a:solidFill>
              <a:latin typeface="Arial"/>
              <a:cs typeface="Arial"/>
            </a:rPr>
            <a:t>1,090,000 </a:t>
          </a:r>
          <a:r>
            <a:rPr lang="en-US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175" b="1" i="0" u="none" strike="noStrike" baseline="0">
              <a:solidFill>
                <a:srgbClr val="99CC00"/>
              </a:solidFill>
              <a:latin typeface="Arial"/>
              <a:cs typeface="Arial"/>
            </a:rPr>
            <a:t>618,000  </a:t>
          </a:r>
          <a:r>
            <a:rPr lang="en-US" sz="1175" b="1" i="0" u="none" strike="noStrike" baseline="0">
              <a:solidFill>
                <a:srgbClr val="00CCFF"/>
              </a:solidFill>
              <a:latin typeface="Arial"/>
              <a:cs typeface="Arial"/>
            </a:rPr>
            <a:t>18,500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תרשים 1" descr="מכולות - סה&quot;כ תנועות (אלפי (TEU בנמלי ישראל Q4/2020 - Q1/2016&#10;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9</xdr:col>
      <xdr:colOff>571499</xdr:colOff>
      <xdr:row>21</xdr:row>
      <xdr:rowOff>19050</xdr:rowOff>
    </xdr:to>
    <xdr:graphicFrame macro="">
      <xdr:nvGraphicFramePr>
        <xdr:cNvPr id="2" name="תרשים 1" descr="התפלגות תנועת מכולות (TEU) - 2021">
          <a:extLst>
            <a:ext uri="{FF2B5EF4-FFF2-40B4-BE49-F238E27FC236}">
              <a16:creationId xmlns:a16="http://schemas.microsoft.com/office/drawing/2014/main" id="{17D85B39-E32F-4B7F-8D55-9979E6407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תרשים 1" descr="מכולות - סה&quot;כ תנועות (אלפי TEU) בנמלי ישראל Q4/2020 - Q1/2016&#10;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18480"/>
    <xdr:graphicFrame macro="">
      <xdr:nvGraphicFramePr>
        <xdr:cNvPr id="2" name="תרשים 1" descr="מכולות- סה&quot;כ תנועות (אלפי TEU) בנמלי ישראל 2020- 2010&#10;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269186</xdr:colOff>
      <xdr:row>79</xdr:row>
      <xdr:rowOff>3311</xdr:rowOff>
    </xdr:from>
    <xdr:to>
      <xdr:col>14</xdr:col>
      <xdr:colOff>550795</xdr:colOff>
      <xdr:row>96</xdr:row>
      <xdr:rowOff>120924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15CE83EF-E807-45CF-A178-A65026836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2:AU55"/>
  <sheetViews>
    <sheetView rightToLeft="1" zoomScale="75" workbookViewId="0">
      <selection activeCell="W23" sqref="W23"/>
    </sheetView>
  </sheetViews>
  <sheetFormatPr defaultColWidth="9.140625" defaultRowHeight="12.75" x14ac:dyDescent="0.2"/>
  <cols>
    <col min="1" max="1" width="3.140625" style="1" customWidth="1"/>
    <col min="2" max="2" width="5.7109375" style="1" customWidth="1"/>
    <col min="3" max="3" width="10.85546875" style="1" hidden="1" customWidth="1"/>
    <col min="4" max="4" width="15.7109375" style="1" hidden="1" customWidth="1"/>
    <col min="5" max="5" width="11.5703125" style="1" hidden="1" customWidth="1"/>
    <col min="6" max="6" width="11" style="1" hidden="1" customWidth="1"/>
    <col min="7" max="7" width="11.5703125" style="1" hidden="1" customWidth="1"/>
    <col min="8" max="8" width="16.42578125" style="1" customWidth="1"/>
    <col min="9" max="9" width="10.28515625" style="1" hidden="1" customWidth="1"/>
    <col min="10" max="10" width="15.5703125" style="1" hidden="1" customWidth="1"/>
    <col min="11" max="11" width="11.42578125" style="1" hidden="1" customWidth="1"/>
    <col min="12" max="12" width="10.85546875" style="1" hidden="1" customWidth="1"/>
    <col min="13" max="13" width="11.28515625" style="1" hidden="1" customWidth="1"/>
    <col min="14" max="14" width="16.5703125" style="1" customWidth="1"/>
    <col min="15" max="15" width="10.85546875" style="1" hidden="1" customWidth="1"/>
    <col min="16" max="16" width="15.7109375" style="1" hidden="1" customWidth="1"/>
    <col min="17" max="17" width="10.28515625" style="1" hidden="1" customWidth="1"/>
    <col min="18" max="18" width="10.42578125" style="1" hidden="1" customWidth="1"/>
    <col min="19" max="19" width="10.140625" style="1" hidden="1" customWidth="1"/>
    <col min="20" max="20" width="16.28515625" style="1" customWidth="1"/>
    <col min="21" max="21" width="0" style="1" hidden="1" customWidth="1"/>
    <col min="22" max="25" width="9.140625" style="1"/>
    <col min="26" max="26" width="10.42578125" style="1" bestFit="1" customWidth="1"/>
    <col min="27" max="27" width="9.140625" style="1"/>
    <col min="28" max="28" width="10.28515625" style="1" bestFit="1" customWidth="1"/>
    <col min="29" max="30" width="11.5703125" style="1" bestFit="1" customWidth="1"/>
    <col min="31" max="31" width="10.42578125" style="1" bestFit="1" customWidth="1"/>
    <col min="32" max="32" width="11.5703125" style="1" bestFit="1" customWidth="1"/>
    <col min="33" max="34" width="9.140625" style="1"/>
    <col min="35" max="35" width="11.5703125" style="1" bestFit="1" customWidth="1"/>
    <col min="36" max="38" width="10.42578125" style="1" bestFit="1" customWidth="1"/>
    <col min="39" max="16384" width="9.140625" style="1"/>
  </cols>
  <sheetData>
    <row r="2" spans="1:26" x14ac:dyDescent="0.2">
      <c r="F2" s="2"/>
      <c r="H2" s="2">
        <v>829466</v>
      </c>
      <c r="J2" s="2"/>
      <c r="K2" s="2"/>
      <c r="L2" s="2"/>
      <c r="M2" s="2"/>
      <c r="N2" s="2">
        <v>448954</v>
      </c>
      <c r="O2" s="2"/>
      <c r="P2" s="2"/>
      <c r="R2" s="2"/>
      <c r="S2" s="2"/>
      <c r="T2" s="2">
        <v>13900</v>
      </c>
      <c r="U2" s="2"/>
    </row>
    <row r="3" spans="1:26" ht="19.5" customHeight="1" x14ac:dyDescent="0.2">
      <c r="D3" s="2"/>
      <c r="F3" s="2"/>
      <c r="G3" s="2"/>
      <c r="H3" s="2">
        <f>SUM(H8:H10)</f>
        <v>830.13800000000003</v>
      </c>
      <c r="I3" s="2"/>
      <c r="N3" s="2">
        <f>SUM(N8:N10)</f>
        <v>449.25</v>
      </c>
      <c r="Q3" s="2"/>
      <c r="T3" s="2">
        <f>SUM(T8:T10)</f>
        <v>15.214</v>
      </c>
    </row>
    <row r="4" spans="1:26" ht="23.25" x14ac:dyDescent="0.35">
      <c r="D4" s="3"/>
      <c r="E4" s="2"/>
      <c r="F4" s="2"/>
      <c r="J4" s="196" t="s">
        <v>0</v>
      </c>
      <c r="K4" s="196"/>
      <c r="L4" s="196"/>
      <c r="M4" s="196"/>
      <c r="N4" s="196"/>
      <c r="O4" s="196"/>
      <c r="P4" s="196"/>
      <c r="Q4" s="196"/>
      <c r="R4" s="4"/>
      <c r="S4" s="4"/>
      <c r="T4" s="4"/>
    </row>
    <row r="5" spans="1:26" ht="13.5" thickBot="1" x14ac:dyDescent="0.25"/>
    <row r="6" spans="1:26" ht="24" thickBot="1" x14ac:dyDescent="0.4">
      <c r="B6" s="5"/>
      <c r="C6" s="6" t="s">
        <v>1</v>
      </c>
      <c r="D6" s="38" t="s">
        <v>19</v>
      </c>
      <c r="E6" s="38"/>
      <c r="F6" s="38"/>
      <c r="G6" s="38"/>
      <c r="H6" s="38" t="s">
        <v>19</v>
      </c>
      <c r="I6" s="38"/>
      <c r="J6" s="38" t="s">
        <v>20</v>
      </c>
      <c r="K6" s="38"/>
      <c r="L6" s="38"/>
      <c r="M6" s="38"/>
      <c r="N6" s="38" t="s">
        <v>20</v>
      </c>
      <c r="O6" s="38"/>
      <c r="P6" s="38" t="s">
        <v>21</v>
      </c>
      <c r="Q6" s="38"/>
      <c r="R6" s="38"/>
      <c r="S6" s="38"/>
      <c r="T6" s="38" t="s">
        <v>21</v>
      </c>
      <c r="U6" s="38"/>
      <c r="V6" s="38" t="s">
        <v>22</v>
      </c>
      <c r="X6" s="39" t="s">
        <v>19</v>
      </c>
      <c r="Y6" s="39" t="s">
        <v>20</v>
      </c>
      <c r="Z6" s="39" t="s">
        <v>21</v>
      </c>
    </row>
    <row r="7" spans="1:26" ht="19.5" customHeight="1" thickBot="1" x14ac:dyDescent="0.35">
      <c r="B7" s="197">
        <v>2005</v>
      </c>
      <c r="C7" s="7" t="s">
        <v>2</v>
      </c>
      <c r="D7" s="20">
        <v>4207698.0999999996</v>
      </c>
      <c r="E7" s="18">
        <v>2433726.6</v>
      </c>
      <c r="F7" s="18">
        <v>1773971.5</v>
      </c>
      <c r="G7" s="36">
        <v>2348141</v>
      </c>
      <c r="H7" s="18">
        <v>277</v>
      </c>
      <c r="I7" s="18"/>
      <c r="J7" s="18"/>
      <c r="K7" s="18"/>
      <c r="L7" s="18"/>
      <c r="M7" s="18"/>
      <c r="N7" s="18">
        <v>137</v>
      </c>
      <c r="O7" s="18"/>
      <c r="P7" s="18"/>
      <c r="Q7" s="18"/>
      <c r="R7" s="18"/>
      <c r="S7" s="18"/>
      <c r="T7" s="18">
        <v>5</v>
      </c>
      <c r="U7" s="36">
        <v>19944</v>
      </c>
      <c r="V7" s="9">
        <f>SUM(H7:T7)</f>
        <v>419</v>
      </c>
      <c r="W7" s="1">
        <v>2005</v>
      </c>
      <c r="X7" s="2">
        <f>SUM(H7:H10)</f>
        <v>1107.1380000000001</v>
      </c>
      <c r="Y7" s="2">
        <f>SUM(N7:N10)</f>
        <v>586.25</v>
      </c>
      <c r="Z7" s="2">
        <f>SUM(T7:T10)</f>
        <v>20.213999999999999</v>
      </c>
    </row>
    <row r="8" spans="1:26" ht="19.5" customHeight="1" thickBot="1" x14ac:dyDescent="0.35">
      <c r="B8" s="198"/>
      <c r="C8" s="7" t="s">
        <v>3</v>
      </c>
      <c r="D8" s="8">
        <v>4909753.5</v>
      </c>
      <c r="E8" s="9">
        <v>2653823.1</v>
      </c>
      <c r="F8" s="9">
        <v>2255930.4</v>
      </c>
      <c r="G8" s="10">
        <v>2834288</v>
      </c>
      <c r="H8" s="9">
        <f t="shared" ref="H8:H20" si="0">AG25/1000</f>
        <v>285.63200000000001</v>
      </c>
      <c r="I8" s="9">
        <f t="shared" ref="I8:I20" si="1">AH25/1000</f>
        <v>0</v>
      </c>
      <c r="J8" s="9">
        <f t="shared" ref="J8:J20" si="2">AI25/1000</f>
        <v>0</v>
      </c>
      <c r="K8" s="9">
        <f t="shared" ref="K8:K20" si="3">AJ25/1000</f>
        <v>0</v>
      </c>
      <c r="L8" s="9">
        <f t="shared" ref="L8:L20" si="4">AK25/1000</f>
        <v>0</v>
      </c>
      <c r="M8" s="9">
        <f t="shared" ref="M8:M20" si="5">AL25/1000</f>
        <v>0</v>
      </c>
      <c r="N8" s="9">
        <f>AM25/1000</f>
        <v>139.85499999999999</v>
      </c>
      <c r="O8" s="9">
        <f t="shared" ref="O8:O20" si="6">AN25/1000</f>
        <v>0</v>
      </c>
      <c r="P8" s="9">
        <f t="shared" ref="P8:P20" si="7">AO25/1000</f>
        <v>0</v>
      </c>
      <c r="Q8" s="9">
        <f t="shared" ref="Q8:Q20" si="8">AP25/1000</f>
        <v>0</v>
      </c>
      <c r="R8" s="9">
        <f t="shared" ref="R8:R20" si="9">AQ25/1000</f>
        <v>0</v>
      </c>
      <c r="S8" s="9">
        <f t="shared" ref="S8:S20" si="10">AR25/1000</f>
        <v>0</v>
      </c>
      <c r="T8" s="9">
        <v>6</v>
      </c>
      <c r="U8" s="10">
        <v>104722</v>
      </c>
      <c r="V8" s="9">
        <f>T8+N8+H8</f>
        <v>431.48699999999997</v>
      </c>
      <c r="W8" s="1">
        <v>2004</v>
      </c>
      <c r="X8" s="2">
        <f>SUM(H12:H15)</f>
        <v>1031.32</v>
      </c>
      <c r="Y8" s="2">
        <f>SUM(N12:N15)</f>
        <v>545</v>
      </c>
      <c r="Z8" s="2">
        <f>SUM(T12:T15)</f>
        <v>29.850999999999999</v>
      </c>
    </row>
    <row r="9" spans="1:26" ht="19.5" thickBot="1" x14ac:dyDescent="0.35">
      <c r="B9" s="198"/>
      <c r="C9" s="7" t="s">
        <v>4</v>
      </c>
      <c r="D9" s="8">
        <v>5003927</v>
      </c>
      <c r="E9" s="9">
        <v>2868868.9</v>
      </c>
      <c r="F9" s="9">
        <v>2135058.1</v>
      </c>
      <c r="G9" s="10">
        <v>3042312.2</v>
      </c>
      <c r="H9" s="9">
        <f>AG26/1000</f>
        <v>292.24799999999999</v>
      </c>
      <c r="I9" s="12">
        <f t="shared" si="1"/>
        <v>52.354999999999997</v>
      </c>
      <c r="J9" s="8">
        <f t="shared" si="2"/>
        <v>3807.277</v>
      </c>
      <c r="K9" s="9">
        <f t="shared" si="3"/>
        <v>2220.0715</v>
      </c>
      <c r="L9" s="9">
        <f t="shared" si="4"/>
        <v>1587.2055</v>
      </c>
      <c r="M9" s="9">
        <f t="shared" si="5"/>
        <v>1408.0818000000002</v>
      </c>
      <c r="N9" s="9">
        <f>AM26/1000</f>
        <v>154.524</v>
      </c>
      <c r="O9" s="12">
        <f t="shared" si="6"/>
        <v>19.472999999999999</v>
      </c>
      <c r="P9" s="8">
        <f t="shared" si="7"/>
        <v>477.06700000000001</v>
      </c>
      <c r="Q9" s="9">
        <f t="shared" si="8"/>
        <v>82.594999999999999</v>
      </c>
      <c r="R9" s="9">
        <f t="shared" si="9"/>
        <v>394.47199999999998</v>
      </c>
      <c r="S9" s="9">
        <f t="shared" si="10"/>
        <v>79.451999999999998</v>
      </c>
      <c r="T9" s="9">
        <f t="shared" ref="T9:T20" si="11">AS26/1000</f>
        <v>5.2009999999999996</v>
      </c>
      <c r="U9" s="10">
        <v>136720</v>
      </c>
      <c r="V9" s="9">
        <f>H9+N9+T9</f>
        <v>451.97300000000001</v>
      </c>
      <c r="W9" s="1">
        <v>2003</v>
      </c>
      <c r="X9" s="2">
        <f>SUM(H17:H20)</f>
        <v>1013.836</v>
      </c>
      <c r="Y9" s="2">
        <f>SUM(N17:N20)</f>
        <v>514.27700000000004</v>
      </c>
      <c r="Z9" s="2">
        <f>SUM(T17:T20)</f>
        <v>21.685000000000002</v>
      </c>
    </row>
    <row r="10" spans="1:26" ht="19.5" thickBot="1" x14ac:dyDescent="0.35">
      <c r="B10" s="198"/>
      <c r="C10" s="14" t="s">
        <v>5</v>
      </c>
      <c r="D10" s="15">
        <v>4683592.3</v>
      </c>
      <c r="E10" s="16">
        <v>2818946.1</v>
      </c>
      <c r="F10" s="16">
        <v>1864646.2</v>
      </c>
      <c r="G10" s="17">
        <v>2407368.1</v>
      </c>
      <c r="H10" s="18">
        <f t="shared" si="0"/>
        <v>252.25800000000001</v>
      </c>
      <c r="I10" s="19">
        <f t="shared" si="1"/>
        <v>0</v>
      </c>
      <c r="J10" s="20">
        <f t="shared" si="2"/>
        <v>3564.1170000000002</v>
      </c>
      <c r="K10" s="18">
        <f t="shared" si="3"/>
        <v>2105.0055000000002</v>
      </c>
      <c r="L10" s="18">
        <f t="shared" si="4"/>
        <v>1459.1120000000001</v>
      </c>
      <c r="M10" s="18">
        <f t="shared" si="5"/>
        <v>1393.7439999999999</v>
      </c>
      <c r="N10" s="18">
        <f>AM27/1000</f>
        <v>154.87100000000001</v>
      </c>
      <c r="O10" s="19">
        <f t="shared" si="6"/>
        <v>0</v>
      </c>
      <c r="P10" s="20">
        <f t="shared" si="7"/>
        <v>653.99400000000003</v>
      </c>
      <c r="Q10" s="18">
        <f t="shared" si="8"/>
        <v>53.225999999999999</v>
      </c>
      <c r="R10" s="18">
        <f t="shared" si="9"/>
        <v>600.76800000000003</v>
      </c>
      <c r="S10" s="18">
        <f t="shared" si="10"/>
        <v>59.023000000000003</v>
      </c>
      <c r="T10" s="18">
        <f>AS27/1000</f>
        <v>4.0129999999999999</v>
      </c>
      <c r="U10" s="17">
        <v>75701</v>
      </c>
      <c r="V10" s="9">
        <f>H10+N10+T10</f>
        <v>411.142</v>
      </c>
      <c r="Y10" s="2"/>
    </row>
    <row r="11" spans="1:26" ht="19.5" hidden="1" customHeight="1" thickBot="1" x14ac:dyDescent="0.35">
      <c r="B11" s="199"/>
      <c r="C11" s="22" t="s">
        <v>6</v>
      </c>
      <c r="D11" s="23">
        <f>SUM(D7:D10)</f>
        <v>18804970.899999999</v>
      </c>
      <c r="E11" s="24">
        <f>SUM(E7:E10)</f>
        <v>10775364.699999999</v>
      </c>
      <c r="F11" s="24">
        <f>SUM(F7:F10)</f>
        <v>8029606.2000000002</v>
      </c>
      <c r="G11" s="25">
        <f>SUM(G7:G10)</f>
        <v>10632109.300000001</v>
      </c>
      <c r="H11" s="25">
        <f t="shared" si="0"/>
        <v>830.13800000000003</v>
      </c>
      <c r="I11" s="26">
        <f t="shared" si="1"/>
        <v>52.354999999999997</v>
      </c>
      <c r="J11" s="24">
        <f t="shared" si="2"/>
        <v>7371.3940000000002</v>
      </c>
      <c r="K11" s="24">
        <f t="shared" si="3"/>
        <v>4325.0770000000002</v>
      </c>
      <c r="L11" s="24">
        <f t="shared" si="4"/>
        <v>3046.3175000000001</v>
      </c>
      <c r="M11" s="24">
        <f t="shared" si="5"/>
        <v>2801.8257999999996</v>
      </c>
      <c r="N11" s="24">
        <f t="shared" ref="N11:N20" si="12">AM28/1000</f>
        <v>449.25</v>
      </c>
      <c r="O11" s="26">
        <f t="shared" si="6"/>
        <v>19.472999999999999</v>
      </c>
      <c r="P11" s="23">
        <f t="shared" si="7"/>
        <v>1131.0609999999999</v>
      </c>
      <c r="Q11" s="24">
        <f t="shared" si="8"/>
        <v>135.821</v>
      </c>
      <c r="R11" s="24">
        <f t="shared" si="9"/>
        <v>995.24</v>
      </c>
      <c r="S11" s="24">
        <f t="shared" si="10"/>
        <v>138.47499999999999</v>
      </c>
      <c r="T11" s="27">
        <f t="shared" si="11"/>
        <v>13.9</v>
      </c>
      <c r="U11" s="25">
        <f>SUM(U7:U10)</f>
        <v>337087</v>
      </c>
      <c r="V11" s="5"/>
    </row>
    <row r="12" spans="1:26" ht="19.5" customHeight="1" thickBot="1" x14ac:dyDescent="0.35">
      <c r="B12" s="197">
        <v>2004</v>
      </c>
      <c r="C12" s="28" t="s">
        <v>2</v>
      </c>
      <c r="D12" s="20">
        <v>5000836.3</v>
      </c>
      <c r="E12" s="18">
        <v>2836116.4</v>
      </c>
      <c r="F12" s="18">
        <v>2164719.9</v>
      </c>
      <c r="G12" s="18">
        <v>2738348.1</v>
      </c>
      <c r="H12" s="16">
        <f t="shared" si="0"/>
        <v>276.476</v>
      </c>
      <c r="I12" s="21">
        <f t="shared" si="1"/>
        <v>37.712000000000003</v>
      </c>
      <c r="J12" s="15">
        <f t="shared" si="2"/>
        <v>3783.0149999999999</v>
      </c>
      <c r="K12" s="16">
        <f t="shared" si="3"/>
        <v>2338.8472999999999</v>
      </c>
      <c r="L12" s="16">
        <f t="shared" si="4"/>
        <v>1444.1677</v>
      </c>
      <c r="M12" s="16">
        <f t="shared" si="5"/>
        <v>1423.0295000000001</v>
      </c>
      <c r="N12" s="16">
        <f t="shared" si="12"/>
        <v>156.43700000000001</v>
      </c>
      <c r="O12" s="21">
        <f t="shared" si="6"/>
        <v>1.7999999999999999E-2</v>
      </c>
      <c r="P12" s="15">
        <f t="shared" si="7"/>
        <v>600.27190000000007</v>
      </c>
      <c r="Q12" s="16">
        <f t="shared" si="8"/>
        <v>83.486999999999995</v>
      </c>
      <c r="R12" s="16">
        <f t="shared" si="9"/>
        <v>516.78489999999999</v>
      </c>
      <c r="S12" s="16">
        <f t="shared" si="10"/>
        <v>84.2</v>
      </c>
      <c r="T12" s="16">
        <f t="shared" si="11"/>
        <v>6.2380000000000004</v>
      </c>
      <c r="U12" s="36">
        <v>13798</v>
      </c>
      <c r="V12" s="9">
        <f>H12+N12+T12</f>
        <v>439.15100000000001</v>
      </c>
    </row>
    <row r="13" spans="1:26" ht="19.5" customHeight="1" thickBot="1" x14ac:dyDescent="0.35">
      <c r="A13" s="29"/>
      <c r="B13" s="198"/>
      <c r="C13" s="7" t="s">
        <v>3</v>
      </c>
      <c r="D13" s="8">
        <v>5481141.5999999996</v>
      </c>
      <c r="E13" s="9">
        <v>3275479.5</v>
      </c>
      <c r="F13" s="9">
        <v>2205662.1</v>
      </c>
      <c r="G13" s="9">
        <v>3079847.7</v>
      </c>
      <c r="H13" s="9">
        <f t="shared" si="0"/>
        <v>210.02099999999999</v>
      </c>
      <c r="I13" s="12">
        <f t="shared" si="1"/>
        <v>77.748999999999995</v>
      </c>
      <c r="J13" s="8">
        <f t="shared" si="2"/>
        <v>3478.8404</v>
      </c>
      <c r="K13" s="9">
        <f t="shared" si="3"/>
        <v>2025.9511</v>
      </c>
      <c r="L13" s="9">
        <f t="shared" si="4"/>
        <v>1452.8893</v>
      </c>
      <c r="M13" s="9">
        <f t="shared" si="5"/>
        <v>1163.886</v>
      </c>
      <c r="N13" s="9">
        <f t="shared" si="12"/>
        <v>113.30200000000001</v>
      </c>
      <c r="O13" s="12">
        <f t="shared" si="6"/>
        <v>2.4E-2</v>
      </c>
      <c r="P13" s="8">
        <f t="shared" si="7"/>
        <v>525.56200000000001</v>
      </c>
      <c r="Q13" s="9">
        <f t="shared" si="8"/>
        <v>99.355000000000004</v>
      </c>
      <c r="R13" s="9">
        <f t="shared" si="9"/>
        <v>426.20699999999999</v>
      </c>
      <c r="S13" s="9">
        <f t="shared" si="10"/>
        <v>131.16499999999999</v>
      </c>
      <c r="T13" s="9">
        <f t="shared" si="11"/>
        <v>10.035</v>
      </c>
      <c r="U13" s="10">
        <v>0</v>
      </c>
      <c r="V13" s="9">
        <f>H13+N13+T13</f>
        <v>333.358</v>
      </c>
    </row>
    <row r="14" spans="1:26" ht="19.5" thickBot="1" x14ac:dyDescent="0.35">
      <c r="B14" s="198"/>
      <c r="C14" s="7" t="s">
        <v>4</v>
      </c>
      <c r="D14" s="8">
        <v>4851023.5999999996</v>
      </c>
      <c r="E14" s="9">
        <v>3126090.7</v>
      </c>
      <c r="F14" s="9">
        <v>1724932.9</v>
      </c>
      <c r="G14" s="9">
        <v>2329003.1</v>
      </c>
      <c r="H14" s="9">
        <f t="shared" si="0"/>
        <v>285.339</v>
      </c>
      <c r="I14" s="12">
        <f t="shared" si="1"/>
        <v>40.835000000000001</v>
      </c>
      <c r="J14" s="8">
        <f t="shared" si="2"/>
        <v>3707.2907</v>
      </c>
      <c r="K14" s="9">
        <f t="shared" si="3"/>
        <v>2177.7694000000001</v>
      </c>
      <c r="L14" s="9">
        <f t="shared" si="4"/>
        <v>1529.5213000000001</v>
      </c>
      <c r="M14" s="9">
        <f t="shared" si="5"/>
        <v>1311.8367000000001</v>
      </c>
      <c r="N14" s="9">
        <f t="shared" si="12"/>
        <v>142.827</v>
      </c>
      <c r="O14" s="12">
        <f t="shared" si="6"/>
        <v>6.2E-2</v>
      </c>
      <c r="P14" s="8">
        <f t="shared" si="7"/>
        <v>556.73199999999997</v>
      </c>
      <c r="Q14" s="9">
        <f t="shared" si="8"/>
        <v>77.361000000000004</v>
      </c>
      <c r="R14" s="9">
        <f t="shared" si="9"/>
        <v>479.37099999999998</v>
      </c>
      <c r="S14" s="9">
        <f t="shared" si="10"/>
        <v>80.192999999999998</v>
      </c>
      <c r="T14" s="9">
        <f t="shared" si="11"/>
        <v>6.4809999999999999</v>
      </c>
      <c r="U14" s="10">
        <v>0</v>
      </c>
      <c r="V14" s="9">
        <f>H14+N14+T14</f>
        <v>434.64699999999999</v>
      </c>
    </row>
    <row r="15" spans="1:26" ht="19.5" thickBot="1" x14ac:dyDescent="0.35">
      <c r="B15" s="198"/>
      <c r="C15" s="14" t="s">
        <v>5</v>
      </c>
      <c r="D15" s="15">
        <v>5205133.0999999996</v>
      </c>
      <c r="E15" s="16">
        <v>3100253.9</v>
      </c>
      <c r="F15" s="16">
        <v>2104879.2000000002</v>
      </c>
      <c r="G15" s="16">
        <v>3005190</v>
      </c>
      <c r="H15" s="18">
        <f>AG32/1000</f>
        <v>259.48399999999998</v>
      </c>
      <c r="I15" s="19">
        <f t="shared" si="1"/>
        <v>3.3079999999999998</v>
      </c>
      <c r="J15" s="20">
        <f t="shared" si="2"/>
        <v>3480.3854000000001</v>
      </c>
      <c r="K15" s="18">
        <f t="shared" si="3"/>
        <v>2185.1082999999999</v>
      </c>
      <c r="L15" s="18">
        <f t="shared" si="4"/>
        <v>1295.2771</v>
      </c>
      <c r="M15" s="18">
        <f t="shared" si="5"/>
        <v>1257.3912</v>
      </c>
      <c r="N15" s="18">
        <f t="shared" si="12"/>
        <v>132.434</v>
      </c>
      <c r="O15" s="19">
        <f t="shared" si="6"/>
        <v>3.7999999999999999E-2</v>
      </c>
      <c r="P15" s="20">
        <f t="shared" si="7"/>
        <v>427.83600000000001</v>
      </c>
      <c r="Q15" s="18">
        <f t="shared" si="8"/>
        <v>65.813000000000002</v>
      </c>
      <c r="R15" s="18">
        <f t="shared" si="9"/>
        <v>362.02300000000002</v>
      </c>
      <c r="S15" s="18">
        <f t="shared" si="10"/>
        <v>91.11</v>
      </c>
      <c r="T15" s="9">
        <f t="shared" si="11"/>
        <v>7.0970000000000004</v>
      </c>
      <c r="U15" s="17">
        <v>22</v>
      </c>
      <c r="V15" s="9">
        <f>H15+N15+T15</f>
        <v>399.01499999999999</v>
      </c>
      <c r="Y15" s="2"/>
    </row>
    <row r="16" spans="1:26" ht="19.5" hidden="1" customHeight="1" thickBot="1" x14ac:dyDescent="0.35">
      <c r="B16" s="200"/>
      <c r="C16" s="22" t="s">
        <v>6</v>
      </c>
      <c r="D16" s="23">
        <f>SUM(D12:D15)</f>
        <v>20538134.599999998</v>
      </c>
      <c r="E16" s="23">
        <f>SUM(E12:E15)</f>
        <v>12337940.500000002</v>
      </c>
      <c r="F16" s="23">
        <f>SUM(F12:F15)</f>
        <v>8200194.1000000006</v>
      </c>
      <c r="G16" s="23">
        <f>SUM(G12:G15)</f>
        <v>11152388.9</v>
      </c>
      <c r="H16" s="23">
        <f t="shared" si="0"/>
        <v>1031.32</v>
      </c>
      <c r="I16" s="26">
        <f t="shared" si="1"/>
        <v>159.60400000000001</v>
      </c>
      <c r="J16" s="23">
        <f t="shared" si="2"/>
        <v>14449.531500000001</v>
      </c>
      <c r="K16" s="23">
        <f t="shared" si="3"/>
        <v>8727.6761000000006</v>
      </c>
      <c r="L16" s="23">
        <f t="shared" si="4"/>
        <v>5721.8554000000004</v>
      </c>
      <c r="M16" s="23">
        <f t="shared" si="5"/>
        <v>5156.1433999999999</v>
      </c>
      <c r="N16" s="23">
        <f t="shared" si="12"/>
        <v>545</v>
      </c>
      <c r="O16" s="26">
        <f t="shared" si="6"/>
        <v>0.14199999999999999</v>
      </c>
      <c r="P16" s="23">
        <f t="shared" si="7"/>
        <v>2110.4018999999998</v>
      </c>
      <c r="Q16" s="23">
        <f t="shared" si="8"/>
        <v>326.01600000000002</v>
      </c>
      <c r="R16" s="23">
        <f t="shared" si="9"/>
        <v>1784.3859</v>
      </c>
      <c r="S16" s="23">
        <f t="shared" si="10"/>
        <v>386.66800000000001</v>
      </c>
      <c r="T16" s="23">
        <f t="shared" si="11"/>
        <v>29.850999999999999</v>
      </c>
      <c r="U16" s="25">
        <f>SUM(U12:U15)</f>
        <v>13820</v>
      </c>
      <c r="V16" s="5"/>
    </row>
    <row r="17" spans="2:47" ht="19.5" customHeight="1" thickBot="1" x14ac:dyDescent="0.35">
      <c r="B17" s="197">
        <v>2003</v>
      </c>
      <c r="C17" s="28" t="s">
        <v>2</v>
      </c>
      <c r="D17" s="20">
        <v>4867118</v>
      </c>
      <c r="E17" s="18">
        <v>2822765.5</v>
      </c>
      <c r="F17" s="18">
        <v>2044351.9</v>
      </c>
      <c r="G17" s="18">
        <v>2709864</v>
      </c>
      <c r="H17" s="17">
        <f t="shared" si="0"/>
        <v>225.328</v>
      </c>
      <c r="I17" s="21">
        <f t="shared" si="1"/>
        <v>38.993000000000002</v>
      </c>
      <c r="J17" s="15">
        <f t="shared" si="2"/>
        <v>3278.9078999999997</v>
      </c>
      <c r="K17" s="16">
        <f t="shared" si="3"/>
        <v>2111.7148999999999</v>
      </c>
      <c r="L17" s="16">
        <f t="shared" si="4"/>
        <v>1167.193</v>
      </c>
      <c r="M17" s="17">
        <f t="shared" si="5"/>
        <v>1173.2719999999999</v>
      </c>
      <c r="N17" s="17">
        <f t="shared" si="12"/>
        <v>123.809</v>
      </c>
      <c r="O17" s="21">
        <f t="shared" si="6"/>
        <v>7.1999999999999995E-2</v>
      </c>
      <c r="P17" s="15">
        <f t="shared" si="7"/>
        <v>444.46100000000001</v>
      </c>
      <c r="Q17" s="16">
        <f t="shared" si="8"/>
        <v>57.348999999999997</v>
      </c>
      <c r="R17" s="16">
        <f t="shared" si="9"/>
        <v>387.11200000000002</v>
      </c>
      <c r="S17" s="17">
        <f t="shared" si="10"/>
        <v>62.084000000000003</v>
      </c>
      <c r="T17" s="9">
        <f t="shared" si="11"/>
        <v>5.0940000000000003</v>
      </c>
      <c r="U17" s="36">
        <v>0</v>
      </c>
      <c r="V17" s="9">
        <f>H17+N17+T17</f>
        <v>354.23099999999999</v>
      </c>
    </row>
    <row r="18" spans="2:47" ht="19.5" thickBot="1" x14ac:dyDescent="0.35">
      <c r="B18" s="198"/>
      <c r="C18" s="7" t="s">
        <v>3</v>
      </c>
      <c r="D18" s="8">
        <v>5651593</v>
      </c>
      <c r="E18" s="9">
        <v>3089236</v>
      </c>
      <c r="F18" s="9">
        <v>2562357.2999999998</v>
      </c>
      <c r="G18" s="9">
        <v>3195645</v>
      </c>
      <c r="H18" s="10">
        <f t="shared" si="0"/>
        <v>286.84899999999999</v>
      </c>
      <c r="I18" s="12">
        <f t="shared" si="1"/>
        <v>53.131999999999998</v>
      </c>
      <c r="J18" s="8">
        <f t="shared" si="2"/>
        <v>3787.2473</v>
      </c>
      <c r="K18" s="9">
        <f t="shared" si="3"/>
        <v>2376.7597999999998</v>
      </c>
      <c r="L18" s="9">
        <f t="shared" si="4"/>
        <v>1410.4875</v>
      </c>
      <c r="M18" s="10">
        <f t="shared" si="5"/>
        <v>1268.7286999999999</v>
      </c>
      <c r="N18" s="10">
        <f t="shared" si="12"/>
        <v>138.94</v>
      </c>
      <c r="O18" s="12">
        <f t="shared" si="6"/>
        <v>0.09</v>
      </c>
      <c r="P18" s="13">
        <f t="shared" si="7"/>
        <v>524.35</v>
      </c>
      <c r="Q18" s="9">
        <f t="shared" si="8"/>
        <v>65.983000000000004</v>
      </c>
      <c r="R18" s="9">
        <f t="shared" si="9"/>
        <v>458.36700000000002</v>
      </c>
      <c r="S18" s="10">
        <f t="shared" si="10"/>
        <v>84.959000000000003</v>
      </c>
      <c r="T18" s="9">
        <f t="shared" si="11"/>
        <v>6.657</v>
      </c>
      <c r="U18" s="10">
        <v>0</v>
      </c>
      <c r="V18" s="9">
        <f>H18+N18+T18</f>
        <v>432.44599999999997</v>
      </c>
    </row>
    <row r="19" spans="2:47" ht="19.5" thickBot="1" x14ac:dyDescent="0.35">
      <c r="B19" s="198"/>
      <c r="C19" s="7" t="s">
        <v>4</v>
      </c>
      <c r="D19" s="8"/>
      <c r="E19" s="9"/>
      <c r="F19" s="9"/>
      <c r="G19" s="9"/>
      <c r="H19" s="10">
        <f t="shared" si="0"/>
        <v>265.536</v>
      </c>
      <c r="I19" s="12">
        <f t="shared" si="1"/>
        <v>22.74</v>
      </c>
      <c r="J19" s="8">
        <f t="shared" si="2"/>
        <v>3546.5729999999999</v>
      </c>
      <c r="K19" s="9">
        <f t="shared" si="3"/>
        <v>2129.3319999999999</v>
      </c>
      <c r="L19" s="9">
        <f t="shared" si="4"/>
        <v>1417.241</v>
      </c>
      <c r="M19" s="10">
        <f t="shared" si="5"/>
        <v>1224.634</v>
      </c>
      <c r="N19" s="10">
        <f t="shared" si="12"/>
        <v>129.14400000000001</v>
      </c>
      <c r="O19" s="12">
        <f t="shared" si="6"/>
        <v>4.3999999999999997E-2</v>
      </c>
      <c r="P19" s="13">
        <f t="shared" si="7"/>
        <v>605.36940000000004</v>
      </c>
      <c r="Q19" s="9">
        <f t="shared" si="8"/>
        <v>56.3444</v>
      </c>
      <c r="R19" s="9">
        <f t="shared" si="9"/>
        <v>549.02499999999998</v>
      </c>
      <c r="S19" s="10">
        <f t="shared" si="10"/>
        <v>76.786000000000001</v>
      </c>
      <c r="T19" s="9">
        <f t="shared" si="11"/>
        <v>5.8639999999999999</v>
      </c>
      <c r="U19" s="10"/>
      <c r="V19" s="9">
        <f>H19+N19+T19</f>
        <v>400.54399999999998</v>
      </c>
    </row>
    <row r="20" spans="2:47" ht="19.5" thickBot="1" x14ac:dyDescent="0.35">
      <c r="B20" s="198"/>
      <c r="C20" s="14" t="s">
        <v>5</v>
      </c>
      <c r="D20" s="15"/>
      <c r="E20" s="16"/>
      <c r="F20" s="16"/>
      <c r="G20" s="16"/>
      <c r="H20" s="10">
        <f t="shared" si="0"/>
        <v>236.12299999999999</v>
      </c>
      <c r="I20" s="11">
        <f t="shared" si="1"/>
        <v>0.17199999999999999</v>
      </c>
      <c r="J20" s="8">
        <f t="shared" si="2"/>
        <v>3449.5672000000004</v>
      </c>
      <c r="K20" s="9">
        <f t="shared" si="3"/>
        <v>2267.5917000000004</v>
      </c>
      <c r="L20" s="9">
        <f t="shared" si="4"/>
        <v>1181.9755</v>
      </c>
      <c r="M20" s="10">
        <f t="shared" si="5"/>
        <v>1212.655</v>
      </c>
      <c r="N20" s="10">
        <f t="shared" si="12"/>
        <v>122.384</v>
      </c>
      <c r="O20" s="12">
        <f t="shared" si="6"/>
        <v>2.5000000000000001E-2</v>
      </c>
      <c r="P20" s="13">
        <f t="shared" si="7"/>
        <v>530.1706999999999</v>
      </c>
      <c r="Q20" s="9">
        <f t="shared" si="8"/>
        <v>55.288400000000003</v>
      </c>
      <c r="R20" s="9">
        <f t="shared" si="9"/>
        <v>474.88229999999999</v>
      </c>
      <c r="S20" s="10">
        <f t="shared" si="10"/>
        <v>54.628</v>
      </c>
      <c r="T20" s="9">
        <f t="shared" si="11"/>
        <v>4.07</v>
      </c>
      <c r="U20" s="37"/>
      <c r="V20" s="9">
        <f>H20+N20+T20</f>
        <v>362.577</v>
      </c>
      <c r="Y20" s="2"/>
    </row>
    <row r="21" spans="2:47" ht="19.5" hidden="1" customHeight="1" thickBot="1" x14ac:dyDescent="0.35">
      <c r="B21" s="200"/>
      <c r="C21" s="22" t="s">
        <v>6</v>
      </c>
      <c r="D21" s="30"/>
      <c r="E21" s="31"/>
      <c r="F21" s="31"/>
      <c r="G21" s="31"/>
      <c r="H21" s="32"/>
      <c r="I21" s="33"/>
      <c r="J21" s="34"/>
      <c r="K21" s="32"/>
      <c r="L21" s="32"/>
      <c r="M21" s="32"/>
      <c r="N21" s="32"/>
      <c r="O21" s="33"/>
      <c r="P21" s="34"/>
      <c r="Q21" s="32"/>
      <c r="R21" s="32"/>
      <c r="S21" s="32"/>
      <c r="T21" s="32"/>
      <c r="U21" s="35"/>
    </row>
    <row r="22" spans="2:47" ht="13.5" thickBot="1" x14ac:dyDescent="0.25"/>
    <row r="23" spans="2:47" ht="24" thickBot="1" x14ac:dyDescent="0.4">
      <c r="AA23" s="5"/>
      <c r="AB23" s="6" t="s">
        <v>1</v>
      </c>
      <c r="AC23" s="38" t="s">
        <v>19</v>
      </c>
      <c r="AD23" s="38"/>
      <c r="AE23" s="38"/>
      <c r="AF23" s="38"/>
      <c r="AG23" s="38" t="s">
        <v>19</v>
      </c>
      <c r="AH23" s="38"/>
      <c r="AI23" s="38" t="s">
        <v>20</v>
      </c>
      <c r="AJ23" s="38"/>
      <c r="AK23" s="38"/>
      <c r="AL23" s="38"/>
      <c r="AM23" s="38" t="s">
        <v>20</v>
      </c>
      <c r="AN23" s="38"/>
      <c r="AO23" s="38" t="s">
        <v>21</v>
      </c>
      <c r="AP23" s="38"/>
      <c r="AQ23" s="38"/>
      <c r="AR23" s="38"/>
      <c r="AS23" s="38" t="s">
        <v>21</v>
      </c>
      <c r="AT23" s="38"/>
      <c r="AU23" s="38" t="s">
        <v>22</v>
      </c>
    </row>
    <row r="24" spans="2:47" ht="19.5" customHeight="1" thickBot="1" x14ac:dyDescent="0.35">
      <c r="AA24" s="197">
        <v>2005</v>
      </c>
      <c r="AB24" s="7" t="s">
        <v>2</v>
      </c>
      <c r="AC24" s="20">
        <v>4207698.0999999996</v>
      </c>
      <c r="AD24" s="18">
        <v>2433726.6</v>
      </c>
      <c r="AE24" s="18">
        <v>1773971.5</v>
      </c>
      <c r="AF24" s="36">
        <v>2348141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36">
        <v>19944</v>
      </c>
      <c r="AU24" s="5"/>
    </row>
    <row r="25" spans="2:47" ht="19.5" thickBot="1" x14ac:dyDescent="0.35">
      <c r="AA25" s="198"/>
      <c r="AB25" s="7" t="s">
        <v>3</v>
      </c>
      <c r="AC25" s="8">
        <v>4909753.5</v>
      </c>
      <c r="AD25" s="9">
        <v>2653823.1</v>
      </c>
      <c r="AE25" s="9">
        <v>2255930.4</v>
      </c>
      <c r="AF25" s="10">
        <v>2834288</v>
      </c>
      <c r="AG25" s="9">
        <v>285632</v>
      </c>
      <c r="AH25" s="9"/>
      <c r="AI25" s="9"/>
      <c r="AJ25" s="9"/>
      <c r="AK25" s="9"/>
      <c r="AL25" s="9"/>
      <c r="AM25" s="9">
        <v>139855</v>
      </c>
      <c r="AN25" s="9"/>
      <c r="AO25" s="9"/>
      <c r="AP25" s="9"/>
      <c r="AQ25" s="9"/>
      <c r="AR25" s="9"/>
      <c r="AS25" s="9">
        <v>4686</v>
      </c>
      <c r="AT25" s="10">
        <v>104722</v>
      </c>
      <c r="AU25" s="9">
        <f>AG25+AM25+AS25</f>
        <v>430173</v>
      </c>
    </row>
    <row r="26" spans="2:47" ht="19.5" thickBot="1" x14ac:dyDescent="0.35">
      <c r="AA26" s="198"/>
      <c r="AB26" s="7" t="s">
        <v>4</v>
      </c>
      <c r="AC26" s="8">
        <v>5003927</v>
      </c>
      <c r="AD26" s="9">
        <v>2868868.9</v>
      </c>
      <c r="AE26" s="9">
        <v>2135058.1</v>
      </c>
      <c r="AF26" s="10">
        <v>3042312.2</v>
      </c>
      <c r="AG26" s="9">
        <v>292248</v>
      </c>
      <c r="AH26" s="12">
        <v>52355</v>
      </c>
      <c r="AI26" s="8">
        <v>3807277</v>
      </c>
      <c r="AJ26" s="9">
        <v>2220071.5</v>
      </c>
      <c r="AK26" s="9">
        <v>1587205.5</v>
      </c>
      <c r="AL26" s="9">
        <v>1408081.8</v>
      </c>
      <c r="AM26" s="9">
        <v>154524</v>
      </c>
      <c r="AN26" s="12">
        <v>19473</v>
      </c>
      <c r="AO26" s="8">
        <v>477067</v>
      </c>
      <c r="AP26" s="9">
        <v>82595</v>
      </c>
      <c r="AQ26" s="9">
        <v>394472</v>
      </c>
      <c r="AR26" s="9">
        <v>79452</v>
      </c>
      <c r="AS26" s="9">
        <v>5201</v>
      </c>
      <c r="AT26" s="10">
        <v>136720</v>
      </c>
      <c r="AU26" s="9">
        <f>AG26+AM26+AS26</f>
        <v>451973</v>
      </c>
    </row>
    <row r="27" spans="2:47" ht="19.5" thickBot="1" x14ac:dyDescent="0.35">
      <c r="N27" s="39" t="s">
        <v>7</v>
      </c>
      <c r="AA27" s="198"/>
      <c r="AB27" s="14" t="s">
        <v>5</v>
      </c>
      <c r="AC27" s="15">
        <v>4683592.3</v>
      </c>
      <c r="AD27" s="16">
        <v>2818946.1</v>
      </c>
      <c r="AE27" s="16">
        <v>1864646.2</v>
      </c>
      <c r="AF27" s="17">
        <v>2407368.1</v>
      </c>
      <c r="AG27" s="18">
        <v>252258</v>
      </c>
      <c r="AH27" s="19">
        <v>0</v>
      </c>
      <c r="AI27" s="20">
        <v>3564117</v>
      </c>
      <c r="AJ27" s="18">
        <v>2105005.5</v>
      </c>
      <c r="AK27" s="18">
        <v>1459112</v>
      </c>
      <c r="AL27" s="18">
        <v>1393744</v>
      </c>
      <c r="AM27" s="18">
        <v>154871</v>
      </c>
      <c r="AN27" s="19">
        <v>0</v>
      </c>
      <c r="AO27" s="20">
        <v>653994</v>
      </c>
      <c r="AP27" s="18">
        <v>53226</v>
      </c>
      <c r="AQ27" s="18">
        <v>600768</v>
      </c>
      <c r="AR27" s="18">
        <v>59023</v>
      </c>
      <c r="AS27" s="100">
        <v>4013</v>
      </c>
      <c r="AT27" s="17">
        <v>75701</v>
      </c>
      <c r="AU27" s="9">
        <f>AG27+AM27+AS27</f>
        <v>411142</v>
      </c>
    </row>
    <row r="28" spans="2:47" ht="19.5" hidden="1" thickBot="1" x14ac:dyDescent="0.35">
      <c r="AA28" s="199"/>
      <c r="AB28" s="22" t="s">
        <v>6</v>
      </c>
      <c r="AC28" s="23">
        <f t="shared" ref="AC28:AT28" si="13">SUM(AC24:AC27)</f>
        <v>18804970.899999999</v>
      </c>
      <c r="AD28" s="24">
        <f t="shared" si="13"/>
        <v>10775364.699999999</v>
      </c>
      <c r="AE28" s="24">
        <f t="shared" si="13"/>
        <v>8029606.2000000002</v>
      </c>
      <c r="AF28" s="25">
        <f t="shared" si="13"/>
        <v>10632109.300000001</v>
      </c>
      <c r="AG28" s="25">
        <f t="shared" si="13"/>
        <v>830138</v>
      </c>
      <c r="AH28" s="26">
        <f t="shared" si="13"/>
        <v>52355</v>
      </c>
      <c r="AI28" s="24">
        <f t="shared" si="13"/>
        <v>7371394</v>
      </c>
      <c r="AJ28" s="24">
        <f t="shared" si="13"/>
        <v>4325077</v>
      </c>
      <c r="AK28" s="24">
        <f t="shared" si="13"/>
        <v>3046317.5</v>
      </c>
      <c r="AL28" s="24">
        <f t="shared" si="13"/>
        <v>2801825.8</v>
      </c>
      <c r="AM28" s="24">
        <f t="shared" si="13"/>
        <v>449250</v>
      </c>
      <c r="AN28" s="26">
        <f t="shared" si="13"/>
        <v>19473</v>
      </c>
      <c r="AO28" s="23">
        <f t="shared" si="13"/>
        <v>1131061</v>
      </c>
      <c r="AP28" s="24">
        <f t="shared" si="13"/>
        <v>135821</v>
      </c>
      <c r="AQ28" s="24">
        <f t="shared" si="13"/>
        <v>995240</v>
      </c>
      <c r="AR28" s="24">
        <f t="shared" si="13"/>
        <v>138475</v>
      </c>
      <c r="AS28" s="27">
        <f t="shared" si="13"/>
        <v>13900</v>
      </c>
      <c r="AT28" s="25">
        <f t="shared" si="13"/>
        <v>337087</v>
      </c>
      <c r="AU28" s="5"/>
    </row>
    <row r="29" spans="2:47" ht="19.5" customHeight="1" thickBot="1" x14ac:dyDescent="0.35">
      <c r="N29" s="39" t="s">
        <v>8</v>
      </c>
      <c r="AA29" s="197">
        <v>2004</v>
      </c>
      <c r="AB29" s="28" t="s">
        <v>2</v>
      </c>
      <c r="AC29" s="20">
        <v>5000836.3</v>
      </c>
      <c r="AD29" s="18">
        <v>2836116.4</v>
      </c>
      <c r="AE29" s="18">
        <v>2164719.9</v>
      </c>
      <c r="AF29" s="18">
        <v>2738348.1</v>
      </c>
      <c r="AG29" s="16">
        <v>276476</v>
      </c>
      <c r="AH29" s="21">
        <v>37712</v>
      </c>
      <c r="AI29" s="15">
        <v>3783015</v>
      </c>
      <c r="AJ29" s="16">
        <v>2338847.2999999998</v>
      </c>
      <c r="AK29" s="16">
        <v>1444167.7</v>
      </c>
      <c r="AL29" s="16">
        <v>1423029.5</v>
      </c>
      <c r="AM29" s="16">
        <v>156437</v>
      </c>
      <c r="AN29" s="21">
        <v>18</v>
      </c>
      <c r="AO29" s="15">
        <v>600271.9</v>
      </c>
      <c r="AP29" s="16">
        <v>83487</v>
      </c>
      <c r="AQ29" s="16">
        <v>516784.9</v>
      </c>
      <c r="AR29" s="16">
        <v>84200</v>
      </c>
      <c r="AS29" s="16">
        <v>6238</v>
      </c>
      <c r="AT29" s="36">
        <v>13798</v>
      </c>
      <c r="AU29" s="9">
        <f>AG29+AM29+AS29</f>
        <v>439151</v>
      </c>
    </row>
    <row r="30" spans="2:47" ht="19.5" thickBot="1" x14ac:dyDescent="0.35">
      <c r="N30" s="39" t="s">
        <v>10</v>
      </c>
      <c r="AA30" s="198"/>
      <c r="AB30" s="7" t="s">
        <v>3</v>
      </c>
      <c r="AC30" s="8">
        <v>5481141.5999999996</v>
      </c>
      <c r="AD30" s="9">
        <v>3275479.5</v>
      </c>
      <c r="AE30" s="9">
        <v>2205662.1</v>
      </c>
      <c r="AF30" s="9">
        <v>3079847.7</v>
      </c>
      <c r="AG30" s="9">
        <v>210021</v>
      </c>
      <c r="AH30" s="12">
        <v>77749</v>
      </c>
      <c r="AI30" s="8">
        <v>3478840.4</v>
      </c>
      <c r="AJ30" s="9">
        <v>2025951.1</v>
      </c>
      <c r="AK30" s="9">
        <v>1452889.3</v>
      </c>
      <c r="AL30" s="9">
        <v>1163886</v>
      </c>
      <c r="AM30" s="9">
        <v>113302</v>
      </c>
      <c r="AN30" s="12">
        <v>24</v>
      </c>
      <c r="AO30" s="8">
        <v>525562</v>
      </c>
      <c r="AP30" s="9">
        <v>99355</v>
      </c>
      <c r="AQ30" s="9">
        <v>426207</v>
      </c>
      <c r="AR30" s="9">
        <v>131165</v>
      </c>
      <c r="AS30" s="9">
        <v>10035</v>
      </c>
      <c r="AT30" s="10">
        <v>0</v>
      </c>
      <c r="AU30" s="9">
        <f>AG30+AM30+AS30</f>
        <v>333358</v>
      </c>
    </row>
    <row r="31" spans="2:47" ht="19.5" thickBot="1" x14ac:dyDescent="0.35">
      <c r="N31" s="39" t="s">
        <v>12</v>
      </c>
      <c r="AA31" s="198"/>
      <c r="AB31" s="7" t="s">
        <v>4</v>
      </c>
      <c r="AC31" s="8">
        <v>4851023.5999999996</v>
      </c>
      <c r="AD31" s="9">
        <v>3126090.7</v>
      </c>
      <c r="AE31" s="9">
        <v>1724932.9</v>
      </c>
      <c r="AF31" s="9">
        <v>2329003.1</v>
      </c>
      <c r="AG31" s="9">
        <v>285339</v>
      </c>
      <c r="AH31" s="12">
        <v>40835</v>
      </c>
      <c r="AI31" s="8">
        <v>3707290.7</v>
      </c>
      <c r="AJ31" s="9">
        <v>2177769.4</v>
      </c>
      <c r="AK31" s="9">
        <v>1529521.3</v>
      </c>
      <c r="AL31" s="9">
        <v>1311836.7</v>
      </c>
      <c r="AM31" s="9">
        <v>142827</v>
      </c>
      <c r="AN31" s="12">
        <v>62</v>
      </c>
      <c r="AO31" s="8">
        <v>556732</v>
      </c>
      <c r="AP31" s="9">
        <v>77361</v>
      </c>
      <c r="AQ31" s="9">
        <v>479371</v>
      </c>
      <c r="AR31" s="9">
        <v>80193</v>
      </c>
      <c r="AS31" s="9">
        <v>6481</v>
      </c>
      <c r="AT31" s="10">
        <v>0</v>
      </c>
      <c r="AU31" s="9">
        <f>AG31+AM31+AS31</f>
        <v>434647</v>
      </c>
    </row>
    <row r="32" spans="2:47" ht="19.5" thickBot="1" x14ac:dyDescent="0.35">
      <c r="N32" s="39" t="s">
        <v>14</v>
      </c>
      <c r="AA32" s="198"/>
      <c r="AB32" s="14" t="s">
        <v>5</v>
      </c>
      <c r="AC32" s="15">
        <v>5205133.0999999996</v>
      </c>
      <c r="AD32" s="16">
        <v>3100253.9</v>
      </c>
      <c r="AE32" s="16">
        <v>2104879.2000000002</v>
      </c>
      <c r="AF32" s="16">
        <v>3005190</v>
      </c>
      <c r="AG32" s="18">
        <v>259484</v>
      </c>
      <c r="AH32" s="19">
        <v>3308</v>
      </c>
      <c r="AI32" s="20">
        <v>3480385.4</v>
      </c>
      <c r="AJ32" s="18">
        <v>2185108.2999999998</v>
      </c>
      <c r="AK32" s="18">
        <v>1295277.1000000001</v>
      </c>
      <c r="AL32" s="18">
        <v>1257391.2</v>
      </c>
      <c r="AM32" s="18">
        <v>132434</v>
      </c>
      <c r="AN32" s="19">
        <v>38</v>
      </c>
      <c r="AO32" s="20">
        <v>427836</v>
      </c>
      <c r="AP32" s="18">
        <v>65813</v>
      </c>
      <c r="AQ32" s="18">
        <v>362023</v>
      </c>
      <c r="AR32" s="18">
        <v>91110</v>
      </c>
      <c r="AS32" s="9">
        <v>7097</v>
      </c>
      <c r="AT32" s="17">
        <v>22</v>
      </c>
      <c r="AU32" s="9">
        <f>AG32+AM32+AS32</f>
        <v>399015</v>
      </c>
    </row>
    <row r="33" spans="8:47" ht="19.5" hidden="1" thickBot="1" x14ac:dyDescent="0.35">
      <c r="AA33" s="200"/>
      <c r="AB33" s="22" t="s">
        <v>6</v>
      </c>
      <c r="AC33" s="23">
        <f t="shared" ref="AC33:AT33" si="14">SUM(AC29:AC32)</f>
        <v>20538134.599999998</v>
      </c>
      <c r="AD33" s="23">
        <f t="shared" si="14"/>
        <v>12337940.500000002</v>
      </c>
      <c r="AE33" s="23">
        <f t="shared" si="14"/>
        <v>8200194.1000000006</v>
      </c>
      <c r="AF33" s="23">
        <f t="shared" si="14"/>
        <v>11152388.9</v>
      </c>
      <c r="AG33" s="23">
        <f t="shared" si="14"/>
        <v>1031320</v>
      </c>
      <c r="AH33" s="26">
        <f t="shared" si="14"/>
        <v>159604</v>
      </c>
      <c r="AI33" s="23">
        <f t="shared" si="14"/>
        <v>14449531.500000002</v>
      </c>
      <c r="AJ33" s="23">
        <f t="shared" si="14"/>
        <v>8727676.1000000015</v>
      </c>
      <c r="AK33" s="23">
        <f t="shared" si="14"/>
        <v>5721855.4000000004</v>
      </c>
      <c r="AL33" s="23">
        <f t="shared" si="14"/>
        <v>5156143.4000000004</v>
      </c>
      <c r="AM33" s="23">
        <f t="shared" si="14"/>
        <v>545000</v>
      </c>
      <c r="AN33" s="26">
        <f t="shared" si="14"/>
        <v>142</v>
      </c>
      <c r="AO33" s="23">
        <f t="shared" si="14"/>
        <v>2110401.9</v>
      </c>
      <c r="AP33" s="23">
        <f t="shared" si="14"/>
        <v>326016</v>
      </c>
      <c r="AQ33" s="23">
        <f t="shared" si="14"/>
        <v>1784385.9</v>
      </c>
      <c r="AR33" s="23">
        <f t="shared" si="14"/>
        <v>386668</v>
      </c>
      <c r="AS33" s="23">
        <f t="shared" si="14"/>
        <v>29851</v>
      </c>
      <c r="AT33" s="25">
        <f t="shared" si="14"/>
        <v>13820</v>
      </c>
      <c r="AU33" s="5"/>
    </row>
    <row r="34" spans="8:47" ht="19.5" customHeight="1" thickBot="1" x14ac:dyDescent="0.35">
      <c r="N34" s="39" t="s">
        <v>16</v>
      </c>
      <c r="AA34" s="197">
        <v>2003</v>
      </c>
      <c r="AB34" s="28" t="s">
        <v>2</v>
      </c>
      <c r="AC34" s="20">
        <v>4867118</v>
      </c>
      <c r="AD34" s="18">
        <v>2822765.5</v>
      </c>
      <c r="AE34" s="18">
        <v>2044351.9</v>
      </c>
      <c r="AF34" s="18">
        <v>2709864</v>
      </c>
      <c r="AG34" s="17">
        <v>225328</v>
      </c>
      <c r="AH34" s="21">
        <v>38993</v>
      </c>
      <c r="AI34" s="15">
        <v>3278907.9</v>
      </c>
      <c r="AJ34" s="16">
        <v>2111714.9</v>
      </c>
      <c r="AK34" s="16">
        <v>1167193</v>
      </c>
      <c r="AL34" s="17">
        <v>1173272</v>
      </c>
      <c r="AM34" s="17">
        <v>123809</v>
      </c>
      <c r="AN34" s="21">
        <v>72</v>
      </c>
      <c r="AO34" s="15">
        <v>444461</v>
      </c>
      <c r="AP34" s="16">
        <v>57349</v>
      </c>
      <c r="AQ34" s="16">
        <v>387112</v>
      </c>
      <c r="AR34" s="17">
        <v>62084</v>
      </c>
      <c r="AS34" s="9">
        <v>5094</v>
      </c>
      <c r="AT34" s="36">
        <v>0</v>
      </c>
      <c r="AU34" s="9">
        <f>AG34+AM34+AS34</f>
        <v>354231</v>
      </c>
    </row>
    <row r="35" spans="8:47" ht="19.5" thickBot="1" x14ac:dyDescent="0.35">
      <c r="N35" s="39" t="s">
        <v>18</v>
      </c>
      <c r="AA35" s="198"/>
      <c r="AB35" s="7" t="s">
        <v>3</v>
      </c>
      <c r="AC35" s="8">
        <v>5651593</v>
      </c>
      <c r="AD35" s="9">
        <v>3089236</v>
      </c>
      <c r="AE35" s="9">
        <v>2562357.2999999998</v>
      </c>
      <c r="AF35" s="9">
        <v>3195645</v>
      </c>
      <c r="AG35" s="10">
        <v>286849</v>
      </c>
      <c r="AH35" s="12">
        <v>53132</v>
      </c>
      <c r="AI35" s="8">
        <v>3787247.3</v>
      </c>
      <c r="AJ35" s="9">
        <v>2376759.7999999998</v>
      </c>
      <c r="AK35" s="9">
        <v>1410487.5</v>
      </c>
      <c r="AL35" s="10">
        <v>1268728.7</v>
      </c>
      <c r="AM35" s="10">
        <v>138940</v>
      </c>
      <c r="AN35" s="12">
        <v>90</v>
      </c>
      <c r="AO35" s="13">
        <v>524350</v>
      </c>
      <c r="AP35" s="9">
        <v>65983</v>
      </c>
      <c r="AQ35" s="9">
        <v>458367</v>
      </c>
      <c r="AR35" s="10">
        <v>84959</v>
      </c>
      <c r="AS35" s="9">
        <v>6657</v>
      </c>
      <c r="AT35" s="10">
        <v>0</v>
      </c>
      <c r="AU35" s="9">
        <f>AG35+AM35+AS35</f>
        <v>432446</v>
      </c>
    </row>
    <row r="36" spans="8:47" ht="19.5" thickBot="1" x14ac:dyDescent="0.35">
      <c r="N36" s="39" t="s">
        <v>17</v>
      </c>
      <c r="AA36" s="198"/>
      <c r="AB36" s="7" t="s">
        <v>4</v>
      </c>
      <c r="AC36" s="8"/>
      <c r="AD36" s="9"/>
      <c r="AE36" s="9"/>
      <c r="AF36" s="9"/>
      <c r="AG36" s="10">
        <v>265536</v>
      </c>
      <c r="AH36" s="12">
        <v>22740</v>
      </c>
      <c r="AI36" s="8">
        <v>3546573</v>
      </c>
      <c r="AJ36" s="9">
        <v>2129332</v>
      </c>
      <c r="AK36" s="9">
        <v>1417241</v>
      </c>
      <c r="AL36" s="10">
        <v>1224634</v>
      </c>
      <c r="AM36" s="10">
        <v>129144</v>
      </c>
      <c r="AN36" s="12">
        <v>44</v>
      </c>
      <c r="AO36" s="13">
        <v>605369.4</v>
      </c>
      <c r="AP36" s="9">
        <v>56344.4</v>
      </c>
      <c r="AQ36" s="9">
        <v>549025</v>
      </c>
      <c r="AR36" s="10">
        <v>76786</v>
      </c>
      <c r="AS36" s="9">
        <v>5864</v>
      </c>
      <c r="AT36" s="10"/>
      <c r="AU36" s="9">
        <f>AG36+AM36+AS36</f>
        <v>400544</v>
      </c>
    </row>
    <row r="37" spans="8:47" ht="19.5" thickBot="1" x14ac:dyDescent="0.35">
      <c r="N37" s="39" t="s">
        <v>15</v>
      </c>
      <c r="AA37" s="198"/>
      <c r="AB37" s="14" t="s">
        <v>5</v>
      </c>
      <c r="AC37" s="15"/>
      <c r="AD37" s="16"/>
      <c r="AE37" s="16"/>
      <c r="AF37" s="16"/>
      <c r="AG37" s="10">
        <v>236123</v>
      </c>
      <c r="AH37" s="11">
        <v>172</v>
      </c>
      <c r="AI37" s="8">
        <v>3449567.2</v>
      </c>
      <c r="AJ37" s="9">
        <v>2267591.7000000002</v>
      </c>
      <c r="AK37" s="9">
        <v>1181975.5</v>
      </c>
      <c r="AL37" s="10">
        <v>1212655</v>
      </c>
      <c r="AM37" s="10">
        <v>122384</v>
      </c>
      <c r="AN37" s="12">
        <v>25</v>
      </c>
      <c r="AO37" s="13">
        <v>530170.69999999995</v>
      </c>
      <c r="AP37" s="9">
        <v>55288.4</v>
      </c>
      <c r="AQ37" s="9">
        <v>474882.3</v>
      </c>
      <c r="AR37" s="10">
        <v>54628</v>
      </c>
      <c r="AS37" s="9">
        <v>4070</v>
      </c>
      <c r="AT37" s="37"/>
      <c r="AU37" s="9">
        <f>AG37+AM37+AS37</f>
        <v>362577</v>
      </c>
    </row>
    <row r="38" spans="8:47" ht="19.5" hidden="1" thickBot="1" x14ac:dyDescent="0.35">
      <c r="AA38" s="200"/>
      <c r="AB38" s="22" t="s">
        <v>6</v>
      </c>
      <c r="AC38" s="30"/>
      <c r="AD38" s="31"/>
      <c r="AE38" s="31"/>
      <c r="AF38" s="31"/>
      <c r="AG38" s="32"/>
      <c r="AH38" s="33"/>
      <c r="AI38" s="34"/>
      <c r="AJ38" s="32"/>
      <c r="AK38" s="32"/>
      <c r="AL38" s="32"/>
      <c r="AM38" s="32"/>
      <c r="AN38" s="33"/>
      <c r="AO38" s="34"/>
      <c r="AP38" s="32"/>
      <c r="AQ38" s="32"/>
      <c r="AR38" s="32"/>
      <c r="AS38" s="32"/>
      <c r="AT38" s="35"/>
    </row>
    <row r="39" spans="8:47" x14ac:dyDescent="0.2">
      <c r="N39" s="39" t="s">
        <v>13</v>
      </c>
      <c r="T39" s="1" t="s">
        <v>12</v>
      </c>
    </row>
    <row r="40" spans="8:47" x14ac:dyDescent="0.2">
      <c r="N40" s="1" t="s">
        <v>11</v>
      </c>
      <c r="T40" s="1" t="s">
        <v>10</v>
      </c>
    </row>
    <row r="41" spans="8:47" x14ac:dyDescent="0.2">
      <c r="N41" s="1" t="s">
        <v>9</v>
      </c>
      <c r="T41" s="1" t="s">
        <v>8</v>
      </c>
    </row>
    <row r="42" spans="8:47" x14ac:dyDescent="0.2">
      <c r="T42" s="1" t="s">
        <v>7</v>
      </c>
    </row>
    <row r="45" spans="8:47" x14ac:dyDescent="0.2">
      <c r="H45" s="9">
        <v>292895</v>
      </c>
      <c r="I45" s="12">
        <v>52355</v>
      </c>
      <c r="J45" s="8">
        <v>3807277</v>
      </c>
      <c r="K45" s="9">
        <v>2220071.5</v>
      </c>
      <c r="L45" s="9">
        <v>1587205.5</v>
      </c>
      <c r="M45" s="9">
        <v>1408081.8</v>
      </c>
      <c r="N45" s="9">
        <v>154204</v>
      </c>
    </row>
    <row r="46" spans="8:47" x14ac:dyDescent="0.2">
      <c r="H46" s="18">
        <v>252258</v>
      </c>
      <c r="I46" s="19">
        <v>0</v>
      </c>
      <c r="J46" s="20">
        <v>3564117</v>
      </c>
      <c r="K46" s="18">
        <v>2105005.5</v>
      </c>
      <c r="L46" s="18">
        <v>1459112</v>
      </c>
      <c r="M46" s="18">
        <v>1393744</v>
      </c>
      <c r="N46" s="18">
        <v>154871</v>
      </c>
      <c r="O46" s="12">
        <v>19473</v>
      </c>
      <c r="P46" s="8">
        <v>477067</v>
      </c>
      <c r="Q46" s="9">
        <v>82595</v>
      </c>
      <c r="R46" s="9">
        <v>394472</v>
      </c>
      <c r="S46" s="9">
        <v>79452</v>
      </c>
      <c r="T46" s="9">
        <v>5201</v>
      </c>
    </row>
    <row r="47" spans="8:47" x14ac:dyDescent="0.2">
      <c r="H47" s="16">
        <v>276476</v>
      </c>
      <c r="I47" s="21">
        <v>37712</v>
      </c>
      <c r="J47" s="15">
        <v>3783015</v>
      </c>
      <c r="K47" s="16">
        <v>2338847.2999999998</v>
      </c>
      <c r="L47" s="16">
        <v>1444167.7</v>
      </c>
      <c r="M47" s="16">
        <v>1423029.5</v>
      </c>
      <c r="N47" s="16">
        <v>156437</v>
      </c>
      <c r="O47" s="19">
        <v>0</v>
      </c>
      <c r="P47" s="20">
        <v>653994</v>
      </c>
      <c r="Q47" s="18">
        <v>53226</v>
      </c>
      <c r="R47" s="18">
        <v>600768</v>
      </c>
      <c r="S47" s="18">
        <v>59023</v>
      </c>
      <c r="T47" s="18">
        <v>4013</v>
      </c>
    </row>
    <row r="48" spans="8:47" x14ac:dyDescent="0.2">
      <c r="H48" s="9">
        <v>210021</v>
      </c>
      <c r="I48" s="12">
        <v>77749</v>
      </c>
      <c r="J48" s="8">
        <v>3478840.4</v>
      </c>
      <c r="K48" s="9">
        <v>2025951.1</v>
      </c>
      <c r="L48" s="9">
        <v>1452889.3</v>
      </c>
      <c r="M48" s="9">
        <v>1163886</v>
      </c>
      <c r="N48" s="9">
        <v>113302</v>
      </c>
      <c r="O48" s="21">
        <v>18</v>
      </c>
      <c r="P48" s="15">
        <v>600271.9</v>
      </c>
      <c r="Q48" s="16">
        <v>83487</v>
      </c>
      <c r="R48" s="16">
        <v>516784.9</v>
      </c>
      <c r="S48" s="16">
        <v>84200</v>
      </c>
      <c r="T48" s="16">
        <v>6238</v>
      </c>
    </row>
    <row r="49" spans="8:20" x14ac:dyDescent="0.2">
      <c r="H49" s="9">
        <v>285339</v>
      </c>
      <c r="I49" s="12">
        <v>40835</v>
      </c>
      <c r="J49" s="8">
        <v>3707290.7</v>
      </c>
      <c r="K49" s="9">
        <v>2177769.4</v>
      </c>
      <c r="L49" s="9">
        <v>1529521.3</v>
      </c>
      <c r="M49" s="9">
        <v>1311836.7</v>
      </c>
      <c r="N49" s="9">
        <v>142827</v>
      </c>
      <c r="O49" s="12">
        <v>24</v>
      </c>
      <c r="P49" s="8">
        <v>525562</v>
      </c>
      <c r="Q49" s="9">
        <v>99355</v>
      </c>
      <c r="R49" s="9">
        <v>426207</v>
      </c>
      <c r="S49" s="9">
        <v>131165</v>
      </c>
      <c r="T49" s="9">
        <v>10035</v>
      </c>
    </row>
    <row r="50" spans="8:20" x14ac:dyDescent="0.2">
      <c r="H50" s="18">
        <v>259484</v>
      </c>
      <c r="I50" s="19">
        <v>3308</v>
      </c>
      <c r="J50" s="20">
        <v>3480385.4</v>
      </c>
      <c r="K50" s="18">
        <v>2185108.2999999998</v>
      </c>
      <c r="L50" s="18">
        <v>1295277.1000000001</v>
      </c>
      <c r="M50" s="18">
        <v>1257391.2</v>
      </c>
      <c r="N50" s="18">
        <v>132434</v>
      </c>
      <c r="O50" s="12">
        <v>62</v>
      </c>
      <c r="P50" s="8">
        <v>556732</v>
      </c>
      <c r="Q50" s="9">
        <v>77361</v>
      </c>
      <c r="R50" s="9">
        <v>479371</v>
      </c>
      <c r="S50" s="9">
        <v>80193</v>
      </c>
      <c r="T50" s="9">
        <v>6481</v>
      </c>
    </row>
    <row r="51" spans="8:20" x14ac:dyDescent="0.2">
      <c r="H51" s="17">
        <v>225328</v>
      </c>
      <c r="I51" s="21">
        <v>38993</v>
      </c>
      <c r="J51" s="15">
        <v>3278907.9</v>
      </c>
      <c r="K51" s="16">
        <v>2111714.9</v>
      </c>
      <c r="L51" s="16">
        <v>1167193</v>
      </c>
      <c r="M51" s="17">
        <v>1173272</v>
      </c>
      <c r="N51" s="17">
        <v>123809</v>
      </c>
      <c r="O51" s="19">
        <v>38</v>
      </c>
      <c r="P51" s="20">
        <v>427836</v>
      </c>
      <c r="Q51" s="18">
        <v>65813</v>
      </c>
      <c r="R51" s="18">
        <v>362023</v>
      </c>
      <c r="S51" s="18">
        <v>91110</v>
      </c>
      <c r="T51" s="9">
        <v>7097</v>
      </c>
    </row>
    <row r="52" spans="8:20" x14ac:dyDescent="0.2">
      <c r="H52" s="10">
        <v>286849</v>
      </c>
      <c r="I52" s="12">
        <v>53132</v>
      </c>
      <c r="J52" s="8">
        <v>3787247.3</v>
      </c>
      <c r="K52" s="9">
        <v>2376759.7999999998</v>
      </c>
      <c r="L52" s="9">
        <v>1410487.5</v>
      </c>
      <c r="M52" s="10">
        <v>1268728.7</v>
      </c>
      <c r="N52" s="10">
        <v>138940</v>
      </c>
      <c r="O52" s="21">
        <v>72</v>
      </c>
      <c r="P52" s="15">
        <v>444461</v>
      </c>
      <c r="Q52" s="16">
        <v>57349</v>
      </c>
      <c r="R52" s="16">
        <v>387112</v>
      </c>
      <c r="S52" s="17">
        <v>62084</v>
      </c>
      <c r="T52" s="9">
        <v>5094</v>
      </c>
    </row>
    <row r="53" spans="8:20" ht="13.5" thickBot="1" x14ac:dyDescent="0.25">
      <c r="H53" s="10">
        <v>265536</v>
      </c>
      <c r="I53" s="12">
        <v>22740</v>
      </c>
      <c r="J53" s="8">
        <v>3546573</v>
      </c>
      <c r="K53" s="9">
        <v>2129332</v>
      </c>
      <c r="L53" s="9">
        <v>1417241</v>
      </c>
      <c r="M53" s="10">
        <v>1224634</v>
      </c>
      <c r="N53" s="10">
        <v>129144</v>
      </c>
      <c r="O53" s="12">
        <v>90</v>
      </c>
      <c r="P53" s="13">
        <v>524350</v>
      </c>
      <c r="Q53" s="9">
        <v>65983</v>
      </c>
      <c r="R53" s="9">
        <v>458367</v>
      </c>
      <c r="S53" s="10">
        <v>84959</v>
      </c>
      <c r="T53" s="9">
        <v>6657</v>
      </c>
    </row>
    <row r="54" spans="8:20" x14ac:dyDescent="0.2">
      <c r="H54" s="10">
        <v>236123</v>
      </c>
      <c r="I54" s="11">
        <v>172</v>
      </c>
      <c r="J54" s="8">
        <v>3449567.2</v>
      </c>
      <c r="K54" s="9">
        <v>2267591.7000000002</v>
      </c>
      <c r="L54" s="9">
        <v>1181975.5</v>
      </c>
      <c r="M54" s="10">
        <v>1212655</v>
      </c>
      <c r="N54" s="10">
        <v>122384</v>
      </c>
      <c r="O54" s="12">
        <v>44</v>
      </c>
      <c r="P54" s="13">
        <v>605369.4</v>
      </c>
      <c r="Q54" s="9">
        <v>56344.4</v>
      </c>
      <c r="R54" s="9">
        <v>549025</v>
      </c>
      <c r="S54" s="10">
        <v>76786</v>
      </c>
      <c r="T54" s="9">
        <v>5864</v>
      </c>
    </row>
    <row r="55" spans="8:20" x14ac:dyDescent="0.2">
      <c r="O55" s="12">
        <v>25</v>
      </c>
      <c r="P55" s="13">
        <v>530170.69999999995</v>
      </c>
      <c r="Q55" s="9">
        <v>55288.4</v>
      </c>
      <c r="R55" s="9">
        <v>474882.3</v>
      </c>
      <c r="S55" s="10">
        <v>54628</v>
      </c>
      <c r="T55" s="9">
        <v>4070</v>
      </c>
    </row>
  </sheetData>
  <mergeCells count="7">
    <mergeCell ref="J4:Q4"/>
    <mergeCell ref="AA24:AA28"/>
    <mergeCell ref="AA29:AA33"/>
    <mergeCell ref="AA34:AA38"/>
    <mergeCell ref="B7:B11"/>
    <mergeCell ref="B12:B16"/>
    <mergeCell ref="B17:B21"/>
  </mergeCells>
  <phoneticPr fontId="2" type="noConversion"/>
  <pageMargins left="0.75" right="0.13" top="1" bottom="1" header="0.5" footer="0.5"/>
  <pageSetup paperSize="9" scale="6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C3:F4"/>
  <sheetViews>
    <sheetView rightToLeft="1" workbookViewId="0">
      <selection activeCell="C3" sqref="C3:E4"/>
    </sheetView>
  </sheetViews>
  <sheetFormatPr defaultColWidth="9.140625" defaultRowHeight="12.75" x14ac:dyDescent="0.2"/>
  <cols>
    <col min="1" max="16384" width="9.140625" style="101"/>
  </cols>
  <sheetData>
    <row r="3" spans="3:6" x14ac:dyDescent="0.2">
      <c r="C3" s="102" t="s">
        <v>21</v>
      </c>
      <c r="D3" s="103" t="s">
        <v>20</v>
      </c>
      <c r="E3" s="104" t="s">
        <v>19</v>
      </c>
      <c r="F3" s="105" t="s">
        <v>42</v>
      </c>
    </row>
    <row r="4" spans="3:6" x14ac:dyDescent="0.2">
      <c r="C4" s="106">
        <v>20.573</v>
      </c>
      <c r="D4" s="106">
        <v>586.23599999999999</v>
      </c>
      <c r="E4" s="106">
        <v>1107.1380000000001</v>
      </c>
      <c r="F4" s="106">
        <v>1713.9470000000001</v>
      </c>
    </row>
  </sheetData>
  <phoneticPr fontId="3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7"/>
  <dimension ref="D5:I32"/>
  <sheetViews>
    <sheetView rightToLeft="1" workbookViewId="0">
      <selection activeCell="E28" sqref="E28:G32"/>
    </sheetView>
  </sheetViews>
  <sheetFormatPr defaultRowHeight="12.75" x14ac:dyDescent="0.2"/>
  <cols>
    <col min="7" max="7" width="9" bestFit="1" customWidth="1"/>
    <col min="8" max="9" width="10" bestFit="1" customWidth="1"/>
  </cols>
  <sheetData>
    <row r="5" spans="4:9" x14ac:dyDescent="0.2">
      <c r="E5" s="108" t="s">
        <v>19</v>
      </c>
    </row>
    <row r="7" spans="4:9" x14ac:dyDescent="0.2">
      <c r="D7" s="107" t="s">
        <v>46</v>
      </c>
      <c r="E7" s="107" t="s">
        <v>52</v>
      </c>
      <c r="F7" s="107" t="s">
        <v>53</v>
      </c>
      <c r="G7" s="107" t="s">
        <v>54</v>
      </c>
      <c r="H7" s="107" t="s">
        <v>55</v>
      </c>
      <c r="I7" s="107" t="s">
        <v>56</v>
      </c>
    </row>
    <row r="8" spans="4:9" x14ac:dyDescent="0.2">
      <c r="D8" s="107" t="s">
        <v>33</v>
      </c>
      <c r="E8" s="109">
        <v>236.12299999999999</v>
      </c>
      <c r="F8" s="109">
        <v>259.48399999999998</v>
      </c>
      <c r="G8" s="109">
        <v>252.25800000000001</v>
      </c>
      <c r="H8" s="111">
        <f t="shared" ref="H8:I11" si="0">(F8/E8-1)*100</f>
        <v>9.8935724177653164</v>
      </c>
      <c r="I8" s="111">
        <f t="shared" si="0"/>
        <v>-2.7847574416919652</v>
      </c>
    </row>
    <row r="9" spans="4:9" x14ac:dyDescent="0.2">
      <c r="D9" s="107" t="s">
        <v>34</v>
      </c>
      <c r="E9" s="109">
        <v>265.536</v>
      </c>
      <c r="F9" s="109">
        <v>285.339</v>
      </c>
      <c r="G9" s="109">
        <v>292.24799999999999</v>
      </c>
      <c r="H9" s="111">
        <f t="shared" si="0"/>
        <v>7.4577458423716658</v>
      </c>
      <c r="I9" s="111">
        <f t="shared" si="0"/>
        <v>2.4213304175033867</v>
      </c>
    </row>
    <row r="10" spans="4:9" x14ac:dyDescent="0.2">
      <c r="D10" s="107" t="s">
        <v>35</v>
      </c>
      <c r="E10" s="110">
        <v>286.84899999999999</v>
      </c>
      <c r="F10" s="109">
        <v>210.02099999999999</v>
      </c>
      <c r="G10" s="109">
        <v>285.63200000000001</v>
      </c>
      <c r="H10" s="111">
        <f t="shared" si="0"/>
        <v>-26.783429609306641</v>
      </c>
      <c r="I10" s="111">
        <f t="shared" si="0"/>
        <v>36.001637931444954</v>
      </c>
    </row>
    <row r="11" spans="4:9" x14ac:dyDescent="0.2">
      <c r="D11" s="107" t="s">
        <v>36</v>
      </c>
      <c r="E11" s="109">
        <v>225.328</v>
      </c>
      <c r="F11" s="109">
        <v>276.476</v>
      </c>
      <c r="G11" s="109">
        <v>277</v>
      </c>
      <c r="H11" s="111">
        <f t="shared" si="0"/>
        <v>22.699353830859902</v>
      </c>
      <c r="I11" s="111">
        <f t="shared" si="0"/>
        <v>0.18952820497981637</v>
      </c>
    </row>
    <row r="17" spans="4:9" x14ac:dyDescent="0.2">
      <c r="E17" s="108" t="s">
        <v>20</v>
      </c>
    </row>
    <row r="19" spans="4:9" x14ac:dyDescent="0.2">
      <c r="D19" s="107" t="s">
        <v>46</v>
      </c>
      <c r="E19" s="107" t="s">
        <v>52</v>
      </c>
      <c r="F19" s="107" t="s">
        <v>53</v>
      </c>
      <c r="G19" s="107" t="s">
        <v>54</v>
      </c>
      <c r="H19" s="107" t="s">
        <v>55</v>
      </c>
      <c r="I19" s="107" t="s">
        <v>56</v>
      </c>
    </row>
    <row r="20" spans="4:9" x14ac:dyDescent="0.2">
      <c r="D20" s="107" t="s">
        <v>33</v>
      </c>
      <c r="E20" s="110">
        <v>122.384</v>
      </c>
      <c r="F20" s="110">
        <v>132.434</v>
      </c>
      <c r="G20" s="110">
        <v>154.59399999999999</v>
      </c>
      <c r="H20" s="111">
        <f t="shared" ref="H20:I23" si="1">(F20/E20-1)*100</f>
        <v>8.2118577591842055</v>
      </c>
      <c r="I20" s="111">
        <f t="shared" si="1"/>
        <v>16.732863162027868</v>
      </c>
    </row>
    <row r="21" spans="4:9" x14ac:dyDescent="0.2">
      <c r="D21" s="107" t="s">
        <v>34</v>
      </c>
      <c r="E21" s="110">
        <v>129.14400000000001</v>
      </c>
      <c r="F21" s="110">
        <v>142.827</v>
      </c>
      <c r="G21" s="110">
        <v>154.524</v>
      </c>
      <c r="H21" s="111">
        <f t="shared" si="1"/>
        <v>10.595149600446007</v>
      </c>
      <c r="I21" s="111">
        <f t="shared" si="1"/>
        <v>8.1896280115104414</v>
      </c>
    </row>
    <row r="22" spans="4:9" x14ac:dyDescent="0.2">
      <c r="D22" s="107" t="s">
        <v>35</v>
      </c>
      <c r="E22" s="110">
        <v>138.94</v>
      </c>
      <c r="F22" s="110">
        <v>113.30200000000001</v>
      </c>
      <c r="G22" s="110">
        <v>139.864</v>
      </c>
      <c r="H22" s="111">
        <f t="shared" si="1"/>
        <v>-18.452569454440759</v>
      </c>
      <c r="I22" s="111">
        <f t="shared" si="1"/>
        <v>23.443540272898964</v>
      </c>
    </row>
    <row r="23" spans="4:9" x14ac:dyDescent="0.2">
      <c r="D23" s="107" t="s">
        <v>36</v>
      </c>
      <c r="E23" s="110">
        <v>123.809</v>
      </c>
      <c r="F23" s="110">
        <v>156.43700000000001</v>
      </c>
      <c r="G23" s="110">
        <v>137.25400000000002</v>
      </c>
      <c r="H23" s="111">
        <f t="shared" si="1"/>
        <v>26.353496110945109</v>
      </c>
      <c r="I23" s="111">
        <f t="shared" si="1"/>
        <v>-12.262444306653785</v>
      </c>
    </row>
    <row r="26" spans="4:9" x14ac:dyDescent="0.2">
      <c r="E26" s="108" t="s">
        <v>21</v>
      </c>
    </row>
    <row r="28" spans="4:9" x14ac:dyDescent="0.2">
      <c r="D28" s="107" t="s">
        <v>46</v>
      </c>
      <c r="E28" s="107" t="s">
        <v>52</v>
      </c>
      <c r="F28" s="107" t="s">
        <v>53</v>
      </c>
      <c r="G28" s="107" t="s">
        <v>54</v>
      </c>
      <c r="H28" s="107" t="s">
        <v>55</v>
      </c>
      <c r="I28" s="107" t="s">
        <v>56</v>
      </c>
    </row>
    <row r="29" spans="4:9" x14ac:dyDescent="0.2">
      <c r="D29" s="107" t="s">
        <v>33</v>
      </c>
      <c r="E29" s="109">
        <v>4.07</v>
      </c>
      <c r="F29" s="109">
        <v>7.0970000000000004</v>
      </c>
      <c r="G29" s="109">
        <v>4.0339999999999998</v>
      </c>
      <c r="H29" s="111">
        <f t="shared" ref="H29:I32" si="2">(F29/E29-1)*100</f>
        <v>74.373464373464373</v>
      </c>
      <c r="I29" s="111">
        <f t="shared" si="2"/>
        <v>-43.15908130195858</v>
      </c>
    </row>
    <row r="30" spans="4:9" x14ac:dyDescent="0.2">
      <c r="D30" s="107" t="s">
        <v>34</v>
      </c>
      <c r="E30" s="109">
        <v>5.8639999999999999</v>
      </c>
      <c r="F30" s="109">
        <v>6.4809999999999999</v>
      </c>
      <c r="G30" s="109">
        <v>5.2859999999999996</v>
      </c>
      <c r="H30" s="111">
        <f t="shared" si="2"/>
        <v>10.521828103683495</v>
      </c>
      <c r="I30" s="111">
        <f t="shared" si="2"/>
        <v>-18.438512575219878</v>
      </c>
    </row>
    <row r="31" spans="4:9" x14ac:dyDescent="0.2">
      <c r="D31" s="107" t="s">
        <v>35</v>
      </c>
      <c r="E31" s="109">
        <v>6.657</v>
      </c>
      <c r="F31" s="109">
        <v>10.035</v>
      </c>
      <c r="G31" s="109">
        <v>5.9420000000000002</v>
      </c>
      <c r="H31" s="111">
        <f t="shared" si="2"/>
        <v>50.743578188373142</v>
      </c>
      <c r="I31" s="111">
        <f t="shared" si="2"/>
        <v>-40.787244643746888</v>
      </c>
    </row>
    <row r="32" spans="4:9" x14ac:dyDescent="0.2">
      <c r="D32" s="107" t="s">
        <v>36</v>
      </c>
      <c r="E32" s="109">
        <v>5.0940000000000003</v>
      </c>
      <c r="F32" s="109">
        <v>6.2380000000000004</v>
      </c>
      <c r="G32" s="109">
        <v>5.3109999999999999</v>
      </c>
      <c r="H32" s="111">
        <f t="shared" si="2"/>
        <v>22.457793482528476</v>
      </c>
      <c r="I32" s="111">
        <f t="shared" si="2"/>
        <v>-14.860532221865984</v>
      </c>
    </row>
  </sheetData>
  <phoneticPr fontId="3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38" transitionEvaluation="1" codeName="גיליון4"/>
  <dimension ref="A1:H256"/>
  <sheetViews>
    <sheetView showGridLines="0" tabSelected="1" zoomScaleSheetLayoutView="100" workbookViewId="0">
      <pane ySplit="28" topLeftCell="A38" activePane="bottomLeft" state="frozen"/>
      <selection pane="bottomLeft" activeCell="H246" sqref="H246"/>
    </sheetView>
  </sheetViews>
  <sheetFormatPr defaultColWidth="16.28515625" defaultRowHeight="15" x14ac:dyDescent="0.2"/>
  <cols>
    <col min="1" max="1" width="11.7109375" style="44" customWidth="1"/>
    <col min="2" max="2" width="12.140625" style="44" customWidth="1"/>
    <col min="3" max="3" width="12.28515625" style="44" customWidth="1"/>
    <col min="4" max="4" width="12.42578125" style="44" customWidth="1"/>
    <col min="5" max="5" width="12.140625" style="44" customWidth="1"/>
    <col min="6" max="6" width="12.7109375" style="44" customWidth="1"/>
    <col min="7" max="7" width="8.42578125" style="44" customWidth="1"/>
    <col min="8" max="8" width="7.5703125" style="44" customWidth="1"/>
    <col min="9" max="16384" width="16.28515625" style="44"/>
  </cols>
  <sheetData>
    <row r="1" spans="1:8" ht="18" customHeight="1" x14ac:dyDescent="0.25">
      <c r="A1" s="169" t="s">
        <v>57</v>
      </c>
      <c r="B1" s="41"/>
      <c r="C1" s="41"/>
      <c r="D1" s="41"/>
      <c r="E1" s="42"/>
      <c r="F1" s="43"/>
      <c r="H1" s="164" t="s">
        <v>23</v>
      </c>
    </row>
    <row r="2" spans="1:8" ht="15.75" x14ac:dyDescent="0.25">
      <c r="A2" s="169" t="s">
        <v>58</v>
      </c>
      <c r="B2" s="41"/>
      <c r="C2" s="41"/>
      <c r="D2" s="41"/>
      <c r="E2" s="42"/>
      <c r="F2" s="43"/>
      <c r="H2" s="164" t="s">
        <v>116</v>
      </c>
    </row>
    <row r="3" spans="1:8" s="46" customFormat="1" ht="15.75" x14ac:dyDescent="0.2">
      <c r="A3" s="169" t="s">
        <v>156</v>
      </c>
      <c r="C3" s="47"/>
      <c r="D3" s="47"/>
      <c r="H3" s="164" t="s">
        <v>157</v>
      </c>
    </row>
    <row r="4" spans="1:8" s="76" customFormat="1" ht="15" customHeight="1" thickBot="1" x14ac:dyDescent="0.25">
      <c r="A4" s="170" t="s">
        <v>38</v>
      </c>
      <c r="B4" s="74"/>
      <c r="C4" s="74"/>
      <c r="D4" s="74"/>
      <c r="E4" s="74"/>
      <c r="F4" s="74"/>
      <c r="G4" s="74"/>
      <c r="H4" s="165" t="s">
        <v>37</v>
      </c>
    </row>
    <row r="5" spans="1:8" s="48" customFormat="1" ht="15" customHeight="1" thickTop="1" x14ac:dyDescent="0.2">
      <c r="A5" s="192"/>
      <c r="B5" s="52"/>
      <c r="C5" s="53"/>
      <c r="D5" s="53"/>
      <c r="E5" s="53"/>
      <c r="F5" s="168" t="s">
        <v>154</v>
      </c>
      <c r="G5" s="56"/>
      <c r="H5" s="95"/>
    </row>
    <row r="6" spans="1:8" s="48" customFormat="1" ht="12" x14ac:dyDescent="0.2">
      <c r="A6" s="193" t="s">
        <v>155</v>
      </c>
      <c r="B6" s="59"/>
      <c r="C6" s="59"/>
      <c r="D6" s="59"/>
      <c r="E6" s="59"/>
      <c r="F6" s="60"/>
      <c r="G6" s="56"/>
      <c r="H6" s="96"/>
    </row>
    <row r="7" spans="1:8" s="63" customFormat="1" ht="12" customHeight="1" x14ac:dyDescent="0.2">
      <c r="A7" s="166" t="s">
        <v>149</v>
      </c>
      <c r="B7" s="166" t="s">
        <v>152</v>
      </c>
      <c r="C7" s="166" t="s">
        <v>148</v>
      </c>
      <c r="D7" s="166" t="s">
        <v>150</v>
      </c>
      <c r="E7" s="166" t="s">
        <v>147</v>
      </c>
      <c r="F7" s="166" t="s">
        <v>42</v>
      </c>
      <c r="G7" s="125" t="s">
        <v>47</v>
      </c>
      <c r="H7" s="126" t="s">
        <v>40</v>
      </c>
    </row>
    <row r="8" spans="1:8" s="63" customFormat="1" ht="12" customHeight="1" x14ac:dyDescent="0.2">
      <c r="A8" s="167" t="s">
        <v>41</v>
      </c>
      <c r="B8" s="167" t="s">
        <v>153</v>
      </c>
      <c r="C8" s="167" t="s">
        <v>31</v>
      </c>
      <c r="D8" s="167" t="s">
        <v>151</v>
      </c>
      <c r="E8" s="167" t="s">
        <v>32</v>
      </c>
      <c r="F8" s="167" t="s">
        <v>43</v>
      </c>
      <c r="G8" s="62" t="s">
        <v>110</v>
      </c>
      <c r="H8" s="64" t="s">
        <v>111</v>
      </c>
    </row>
    <row r="9" spans="1:8" s="67" customFormat="1" ht="11.25" hidden="1" x14ac:dyDescent="0.2">
      <c r="A9" s="92">
        <v>6.351</v>
      </c>
      <c r="B9" s="84"/>
      <c r="C9" s="81">
        <v>479.89299999999997</v>
      </c>
      <c r="D9" s="81"/>
      <c r="E9" s="80">
        <v>871.29700000000003</v>
      </c>
      <c r="F9" s="83">
        <f>SUM(A9:E9)</f>
        <v>1357.5409999999999</v>
      </c>
      <c r="G9" s="66"/>
      <c r="H9" s="97">
        <v>2000</v>
      </c>
    </row>
    <row r="10" spans="1:8" s="67" customFormat="1" ht="11.25" hidden="1" x14ac:dyDescent="0.2">
      <c r="A10" s="93">
        <v>16.831</v>
      </c>
      <c r="B10" s="84"/>
      <c r="C10" s="81">
        <v>511.15300000000002</v>
      </c>
      <c r="D10" s="81"/>
      <c r="E10" s="84">
        <v>839.53200000000004</v>
      </c>
      <c r="F10" s="86">
        <f>SUM(A10:E10)</f>
        <v>1367.5160000000001</v>
      </c>
      <c r="G10" s="79"/>
      <c r="H10" s="98">
        <v>2001</v>
      </c>
    </row>
    <row r="11" spans="1:8" s="67" customFormat="1" ht="11.25" hidden="1" x14ac:dyDescent="0.2">
      <c r="A11" s="93">
        <v>16.475999999999999</v>
      </c>
      <c r="B11" s="84"/>
      <c r="C11" s="81">
        <v>535.40800000000002</v>
      </c>
      <c r="D11" s="81"/>
      <c r="E11" s="84">
        <v>906.34799999999996</v>
      </c>
      <c r="F11" s="86">
        <f>SUM(A11:E11)</f>
        <v>1458.232</v>
      </c>
      <c r="G11" s="79"/>
      <c r="H11" s="98">
        <v>2002</v>
      </c>
    </row>
    <row r="12" spans="1:8" s="70" customFormat="1" ht="11.25" hidden="1" x14ac:dyDescent="0.2">
      <c r="A12" s="94">
        <v>21.684999999999999</v>
      </c>
      <c r="B12" s="81"/>
      <c r="C12" s="81">
        <v>514.27700000000004</v>
      </c>
      <c r="D12" s="81"/>
      <c r="E12" s="81">
        <v>1013.836</v>
      </c>
      <c r="F12" s="86">
        <v>1549.798</v>
      </c>
      <c r="G12" s="69"/>
      <c r="H12" s="99">
        <v>2003</v>
      </c>
    </row>
    <row r="13" spans="1:8" s="70" customFormat="1" ht="11.25" hidden="1" x14ac:dyDescent="0.2">
      <c r="A13" s="94">
        <v>29.850999999999999</v>
      </c>
      <c r="B13" s="81"/>
      <c r="C13" s="81">
        <v>545</v>
      </c>
      <c r="D13" s="81"/>
      <c r="E13" s="81" t="e">
        <f>#REF!+#REF!</f>
        <v>#REF!</v>
      </c>
      <c r="F13" s="86">
        <v>1606.171</v>
      </c>
      <c r="G13" s="69"/>
      <c r="H13" s="99">
        <v>2004</v>
      </c>
    </row>
    <row r="14" spans="1:8" s="70" customFormat="1" ht="11.25" hidden="1" x14ac:dyDescent="0.2">
      <c r="A14" s="94" t="e">
        <f t="shared" ref="A14:F14" si="0">SUM(A20:A23)</f>
        <v>#REF!</v>
      </c>
      <c r="B14" s="81"/>
      <c r="C14" s="81" t="e">
        <f t="shared" si="0"/>
        <v>#REF!</v>
      </c>
      <c r="D14" s="81"/>
      <c r="E14" s="81" t="e">
        <f t="shared" si="0"/>
        <v>#REF!</v>
      </c>
      <c r="F14" s="86" t="e">
        <f t="shared" si="0"/>
        <v>#REF!</v>
      </c>
      <c r="G14" s="69"/>
      <c r="H14" s="99">
        <v>2005</v>
      </c>
    </row>
    <row r="15" spans="1:8" s="70" customFormat="1" ht="11.25" hidden="1" x14ac:dyDescent="0.2">
      <c r="A15" s="94">
        <v>23.3</v>
      </c>
      <c r="B15" s="81"/>
      <c r="C15" s="81">
        <v>693</v>
      </c>
      <c r="D15" s="81"/>
      <c r="E15" s="81">
        <v>1053</v>
      </c>
      <c r="F15" s="86">
        <v>1769.3</v>
      </c>
      <c r="G15" s="69"/>
      <c r="H15" s="99">
        <v>2006</v>
      </c>
    </row>
    <row r="16" spans="1:8" s="70" customFormat="1" ht="11.25" hidden="1" x14ac:dyDescent="0.2">
      <c r="A16" s="94" t="e">
        <f>SUM(#REF!)</f>
        <v>#REF!</v>
      </c>
      <c r="B16" s="81"/>
      <c r="C16" s="81" t="e">
        <f>SUM(#REF!)</f>
        <v>#REF!</v>
      </c>
      <c r="D16" s="81"/>
      <c r="E16" s="81" t="e">
        <f>SUM(#REF!)</f>
        <v>#REF!</v>
      </c>
      <c r="F16" s="86" t="e">
        <f>SUM(#REF!)</f>
        <v>#REF!</v>
      </c>
      <c r="G16" s="69"/>
      <c r="H16" s="99">
        <v>2007</v>
      </c>
    </row>
    <row r="17" spans="1:8" s="70" customFormat="1" ht="11.25" hidden="1" x14ac:dyDescent="0.2">
      <c r="A17" s="94" t="e">
        <f>#REF!+#REF!+#REF!+#REF!</f>
        <v>#REF!</v>
      </c>
      <c r="B17" s="81"/>
      <c r="C17" s="81" t="e">
        <f>#REF!+#REF!+#REF!+#REF!</f>
        <v>#REF!</v>
      </c>
      <c r="D17" s="81"/>
      <c r="E17" s="81" t="e">
        <f>#REF!+#REF!+#REF!+#REF!</f>
        <v>#REF!</v>
      </c>
      <c r="F17" s="86" t="e">
        <f>#REF!+#REF!+#REF!+#REF!</f>
        <v>#REF!</v>
      </c>
      <c r="G17" s="69"/>
      <c r="H17" s="99">
        <v>2008</v>
      </c>
    </row>
    <row r="18" spans="1:8" s="70" customFormat="1" ht="11.25" hidden="1" x14ac:dyDescent="0.2">
      <c r="A18" s="94" t="e">
        <f>#REF!+#REF!+#REF!+#REF!</f>
        <v>#REF!</v>
      </c>
      <c r="B18" s="81"/>
      <c r="C18" s="81" t="e">
        <f>#REF!+#REF!+#REF!+#REF!</f>
        <v>#REF!</v>
      </c>
      <c r="D18" s="81"/>
      <c r="E18" s="81" t="e">
        <f>#REF!+#REF!+#REF!+#REF!</f>
        <v>#REF!</v>
      </c>
      <c r="F18" s="86" t="e">
        <f>#REF!+#REF!+#REF!+#REF!</f>
        <v>#REF!</v>
      </c>
      <c r="G18" s="69"/>
      <c r="H18" s="99">
        <v>2009</v>
      </c>
    </row>
    <row r="19" spans="1:8" s="70" customFormat="1" ht="11.25" hidden="1" x14ac:dyDescent="0.2">
      <c r="A19" s="94"/>
      <c r="B19" s="81"/>
      <c r="C19" s="81"/>
      <c r="D19" s="81"/>
      <c r="E19" s="81"/>
      <c r="F19" s="86"/>
      <c r="G19" s="69"/>
      <c r="H19" s="99"/>
    </row>
    <row r="20" spans="1:8" s="70" customFormat="1" ht="11.25" hidden="1" x14ac:dyDescent="0.2">
      <c r="A20" s="93" t="e">
        <f>#REF!+#REF!</f>
        <v>#REF!</v>
      </c>
      <c r="B20" s="88"/>
      <c r="C20" s="81" t="e">
        <f>#REF!+#REF!</f>
        <v>#REF!</v>
      </c>
      <c r="D20" s="81"/>
      <c r="E20" s="88" t="e">
        <f>#REF!+#REF!</f>
        <v>#REF!</v>
      </c>
      <c r="F20" s="86" t="e">
        <f>SUM(A20:E20)</f>
        <v>#REF!</v>
      </c>
      <c r="G20" s="72" t="s">
        <v>48</v>
      </c>
      <c r="H20" s="99">
        <v>2005</v>
      </c>
    </row>
    <row r="21" spans="1:8" s="70" customFormat="1" ht="11.25" hidden="1" x14ac:dyDescent="0.2">
      <c r="A21" s="93" t="e">
        <f>#REF!+#REF!</f>
        <v>#REF!</v>
      </c>
      <c r="B21" s="88"/>
      <c r="C21" s="81" t="e">
        <f>#REF!+#REF!</f>
        <v>#REF!</v>
      </c>
      <c r="D21" s="81"/>
      <c r="E21" s="88" t="e">
        <f>#REF!+#REF!</f>
        <v>#REF!</v>
      </c>
      <c r="F21" s="86" t="e">
        <f>SUM(A21:E21)</f>
        <v>#REF!</v>
      </c>
      <c r="G21" s="72" t="s">
        <v>49</v>
      </c>
      <c r="H21" s="99"/>
    </row>
    <row r="22" spans="1:8" s="70" customFormat="1" ht="11.25" hidden="1" x14ac:dyDescent="0.2">
      <c r="A22" s="93" t="e">
        <f>#REF!+#REF!</f>
        <v>#REF!</v>
      </c>
      <c r="B22" s="88"/>
      <c r="C22" s="81" t="e">
        <f>#REF!+#REF!</f>
        <v>#REF!</v>
      </c>
      <c r="D22" s="81"/>
      <c r="E22" s="88" t="e">
        <f>#REF!+#REF!</f>
        <v>#REF!</v>
      </c>
      <c r="F22" s="86" t="e">
        <f>SUM(A22:E22)</f>
        <v>#REF!</v>
      </c>
      <c r="G22" s="72" t="s">
        <v>50</v>
      </c>
      <c r="H22" s="99"/>
    </row>
    <row r="23" spans="1:8" s="70" customFormat="1" ht="11.25" hidden="1" x14ac:dyDescent="0.2">
      <c r="A23" s="93">
        <v>5.3109999999999999</v>
      </c>
      <c r="B23" s="88"/>
      <c r="C23" s="81">
        <v>137.25400000000002</v>
      </c>
      <c r="D23" s="81"/>
      <c r="E23" s="88">
        <v>277</v>
      </c>
      <c r="F23" s="86">
        <v>419.565</v>
      </c>
      <c r="G23" s="72" t="s">
        <v>51</v>
      </c>
      <c r="H23" s="99"/>
    </row>
    <row r="24" spans="1:8" s="70" customFormat="1" ht="11.25" hidden="1" x14ac:dyDescent="0.2">
      <c r="A24" s="93"/>
      <c r="B24" s="88"/>
      <c r="C24" s="81"/>
      <c r="D24" s="81"/>
      <c r="E24" s="88"/>
      <c r="F24" s="86"/>
      <c r="G24" s="72"/>
      <c r="H24" s="99"/>
    </row>
    <row r="25" spans="1:8" s="70" customFormat="1" ht="11.25" hidden="1" x14ac:dyDescent="0.2">
      <c r="A25" s="93" t="e">
        <f>#REF!+#REF!</f>
        <v>#REF!</v>
      </c>
      <c r="B25" s="84"/>
      <c r="C25" s="85" t="e">
        <f>#REF!+#REF!</f>
        <v>#REF!</v>
      </c>
      <c r="D25" s="85"/>
      <c r="E25" s="84" t="e">
        <f>#REF!+#REF!</f>
        <v>#REF!</v>
      </c>
      <c r="F25" s="86" t="e">
        <f>#REF!+#REF!</f>
        <v>#REF!</v>
      </c>
      <c r="G25" s="72" t="s">
        <v>48</v>
      </c>
      <c r="H25" s="99">
        <v>2006</v>
      </c>
    </row>
    <row r="26" spans="1:8" s="70" customFormat="1" ht="11.25" hidden="1" x14ac:dyDescent="0.2">
      <c r="A26" s="93" t="e">
        <f>#REF!+#REF!</f>
        <v>#REF!</v>
      </c>
      <c r="B26" s="84"/>
      <c r="C26" s="85" t="e">
        <f>#REF!+#REF!</f>
        <v>#REF!</v>
      </c>
      <c r="D26" s="85"/>
      <c r="E26" s="84" t="e">
        <f>#REF!+#REF!</f>
        <v>#REF!</v>
      </c>
      <c r="F26" s="86" t="e">
        <f>#REF!+#REF!</f>
        <v>#REF!</v>
      </c>
      <c r="G26" s="72" t="s">
        <v>49</v>
      </c>
      <c r="H26" s="99"/>
    </row>
    <row r="27" spans="1:8" s="70" customFormat="1" ht="11.25" hidden="1" x14ac:dyDescent="0.2">
      <c r="A27" s="93">
        <v>4.3</v>
      </c>
      <c r="B27" s="84"/>
      <c r="C27" s="85">
        <v>197</v>
      </c>
      <c r="D27" s="85"/>
      <c r="E27" s="84">
        <v>203</v>
      </c>
      <c r="F27" s="86">
        <v>404.3</v>
      </c>
      <c r="G27" s="72" t="s">
        <v>50</v>
      </c>
      <c r="H27" s="99"/>
    </row>
    <row r="28" spans="1:8" s="70" customFormat="1" ht="11.25" hidden="1" x14ac:dyDescent="0.2">
      <c r="A28" s="93">
        <v>6</v>
      </c>
      <c r="B28" s="84"/>
      <c r="C28" s="85">
        <v>169</v>
      </c>
      <c r="D28" s="85"/>
      <c r="E28" s="84">
        <v>259</v>
      </c>
      <c r="F28" s="86">
        <v>434</v>
      </c>
      <c r="G28" s="72" t="s">
        <v>51</v>
      </c>
      <c r="H28" s="99"/>
    </row>
    <row r="29" spans="1:8" s="70" customFormat="1" ht="11.25" x14ac:dyDescent="0.2">
      <c r="A29" s="93">
        <v>0</v>
      </c>
      <c r="B29" s="84"/>
      <c r="C29" s="85">
        <v>1017.5819999999999</v>
      </c>
      <c r="D29" s="85"/>
      <c r="E29" s="84">
        <v>1266.4569999999999</v>
      </c>
      <c r="F29" s="86">
        <v>2284.0390000000002</v>
      </c>
      <c r="G29" s="72"/>
      <c r="H29" s="99">
        <v>2010</v>
      </c>
    </row>
    <row r="30" spans="1:8" s="70" customFormat="1" ht="11.25" x14ac:dyDescent="0.2">
      <c r="A30" s="93">
        <v>4.9000000000000002E-2</v>
      </c>
      <c r="B30" s="84"/>
      <c r="C30" s="85">
        <v>1160.1030000000001</v>
      </c>
      <c r="D30" s="85"/>
      <c r="E30" s="84">
        <v>1235.5149999999999</v>
      </c>
      <c r="F30" s="86">
        <v>2395.6669999999999</v>
      </c>
      <c r="G30" s="72"/>
      <c r="H30" s="99">
        <v>2011</v>
      </c>
    </row>
    <row r="31" spans="1:8" s="70" customFormat="1" ht="11.25" x14ac:dyDescent="0.2">
      <c r="A31" s="93">
        <v>1E-3</v>
      </c>
      <c r="B31" s="84"/>
      <c r="C31" s="85">
        <v>1170.451</v>
      </c>
      <c r="D31" s="85"/>
      <c r="E31" s="84">
        <v>1370.6210000000001</v>
      </c>
      <c r="F31" s="86">
        <v>2541.0730000000003</v>
      </c>
      <c r="G31" s="72"/>
      <c r="H31" s="99">
        <v>2012</v>
      </c>
    </row>
    <row r="32" spans="1:8" s="70" customFormat="1" ht="11.25" x14ac:dyDescent="0.2">
      <c r="A32" s="93">
        <v>0.22800000000000001</v>
      </c>
      <c r="B32" s="84"/>
      <c r="C32" s="85">
        <v>1181.6679999999999</v>
      </c>
      <c r="D32" s="85"/>
      <c r="E32" s="84">
        <v>1356.989</v>
      </c>
      <c r="F32" s="86">
        <v>2538.8850000000002</v>
      </c>
      <c r="G32" s="72"/>
      <c r="H32" s="99">
        <v>2013</v>
      </c>
    </row>
    <row r="33" spans="1:8" s="70" customFormat="1" ht="11.25" x14ac:dyDescent="0.2">
      <c r="A33" s="146">
        <v>0.18</v>
      </c>
      <c r="B33" s="147"/>
      <c r="C33" s="130">
        <v>1249.7059999999999</v>
      </c>
      <c r="D33" s="130"/>
      <c r="E33" s="147">
        <v>1196.2439999999999</v>
      </c>
      <c r="F33" s="148">
        <v>2446.13</v>
      </c>
      <c r="G33" s="133"/>
      <c r="H33" s="136">
        <v>2014</v>
      </c>
    </row>
    <row r="34" spans="1:8" s="70" customFormat="1" ht="11.25" x14ac:dyDescent="0.2">
      <c r="A34" s="146">
        <v>0.26400000000000001</v>
      </c>
      <c r="B34" s="147"/>
      <c r="C34" s="130">
        <v>1306.7670000000001</v>
      </c>
      <c r="D34" s="130"/>
      <c r="E34" s="147">
        <v>1214.575</v>
      </c>
      <c r="F34" s="148">
        <v>2521.6060000000002</v>
      </c>
      <c r="G34" s="133"/>
      <c r="H34" s="136">
        <v>2015</v>
      </c>
    </row>
    <row r="35" spans="1:8" s="70" customFormat="1" ht="11.25" x14ac:dyDescent="0.2">
      <c r="A35" s="146">
        <v>0.29400000000000004</v>
      </c>
      <c r="B35" s="147"/>
      <c r="C35" s="130">
        <v>1443.076</v>
      </c>
      <c r="D35" s="130"/>
      <c r="E35" s="147">
        <v>1267.9379999999999</v>
      </c>
      <c r="F35" s="148">
        <v>2711.308</v>
      </c>
      <c r="G35" s="133"/>
      <c r="H35" s="136">
        <v>2016</v>
      </c>
    </row>
    <row r="36" spans="1:8" s="70" customFormat="1" ht="11.25" x14ac:dyDescent="0.2">
      <c r="A36" s="146">
        <v>0.22399999999999998</v>
      </c>
      <c r="B36" s="147"/>
      <c r="C36" s="130">
        <v>1525.472</v>
      </c>
      <c r="D36" s="130"/>
      <c r="E36" s="147">
        <v>1343.3050000000001</v>
      </c>
      <c r="F36" s="148">
        <v>2869.0009999999997</v>
      </c>
      <c r="G36" s="133"/>
      <c r="H36" s="136">
        <v>2017</v>
      </c>
    </row>
    <row r="37" spans="1:8" s="70" customFormat="1" ht="11.25" x14ac:dyDescent="0.2">
      <c r="A37" s="146">
        <v>0.22000000000000003</v>
      </c>
      <c r="B37" s="147"/>
      <c r="C37" s="130">
        <v>1477.2110000000002</v>
      </c>
      <c r="D37" s="130"/>
      <c r="E37" s="147">
        <v>1469.15</v>
      </c>
      <c r="F37" s="148">
        <v>2946.5810000000001</v>
      </c>
      <c r="G37" s="133"/>
      <c r="H37" s="136">
        <v>2018</v>
      </c>
    </row>
    <row r="38" spans="1:8" s="70" customFormat="1" ht="11.25" x14ac:dyDescent="0.2">
      <c r="A38" s="146">
        <v>0.17099999999999999</v>
      </c>
      <c r="B38" s="147"/>
      <c r="C38" s="130">
        <v>1537.596</v>
      </c>
      <c r="D38" s="130"/>
      <c r="E38" s="147">
        <v>1379.155</v>
      </c>
      <c r="F38" s="148">
        <v>2916.9219999999996</v>
      </c>
      <c r="G38" s="133"/>
      <c r="H38" s="136">
        <v>2019</v>
      </c>
    </row>
    <row r="39" spans="1:8" s="70" customFormat="1" ht="11.25" x14ac:dyDescent="0.2">
      <c r="A39" s="146">
        <v>0.377</v>
      </c>
      <c r="B39" s="147"/>
      <c r="C39" s="130">
        <v>1584.499</v>
      </c>
      <c r="D39" s="130"/>
      <c r="E39" s="147">
        <v>1464.4339999999997</v>
      </c>
      <c r="F39" s="148">
        <v>3049.31</v>
      </c>
      <c r="G39" s="133"/>
      <c r="H39" s="136">
        <v>2020</v>
      </c>
    </row>
    <row r="40" spans="1:8" s="70" customFormat="1" ht="11.25" x14ac:dyDescent="0.2">
      <c r="A40" s="143">
        <f t="shared" ref="A40:C40" si="1">A229+A233+A237+A241</f>
        <v>0.42000000000000004</v>
      </c>
      <c r="B40" s="144">
        <f>B229+B233+B237+B241</f>
        <v>24.324999999999999</v>
      </c>
      <c r="C40" s="144">
        <f t="shared" si="1"/>
        <v>1612.39</v>
      </c>
      <c r="D40" s="144">
        <f>D229+D233+D237+D241</f>
        <v>32.986999999999995</v>
      </c>
      <c r="E40" s="144">
        <f>E229+E233+E237+E241</f>
        <v>1463.2190000000001</v>
      </c>
      <c r="F40" s="145">
        <f>F229+F233+F237+F241</f>
        <v>3133.3409999999999</v>
      </c>
      <c r="G40" s="122"/>
      <c r="H40" s="123">
        <v>2021</v>
      </c>
    </row>
    <row r="41" spans="1:8" s="70" customFormat="1" ht="8.25" customHeight="1" x14ac:dyDescent="0.2">
      <c r="A41" s="93"/>
      <c r="B41" s="84"/>
      <c r="C41" s="85"/>
      <c r="D41" s="85"/>
      <c r="E41" s="84"/>
      <c r="F41" s="86"/>
      <c r="G41" s="72"/>
      <c r="H41" s="99"/>
    </row>
    <row r="42" spans="1:8" s="70" customFormat="1" ht="11.25" hidden="1" x14ac:dyDescent="0.2">
      <c r="A42" s="93">
        <v>0</v>
      </c>
      <c r="B42" s="84"/>
      <c r="C42" s="85">
        <v>260.15999999999997</v>
      </c>
      <c r="D42" s="85"/>
      <c r="E42" s="84">
        <v>297.31899999999996</v>
      </c>
      <c r="F42" s="86">
        <v>557.47900000000004</v>
      </c>
      <c r="G42" s="72" t="s">
        <v>48</v>
      </c>
      <c r="H42" s="99">
        <v>2010</v>
      </c>
    </row>
    <row r="43" spans="1:8" s="70" customFormat="1" ht="11.25" hidden="1" x14ac:dyDescent="0.2">
      <c r="A43" s="93">
        <v>0</v>
      </c>
      <c r="B43" s="84"/>
      <c r="C43" s="85">
        <v>89.477000000000004</v>
      </c>
      <c r="D43" s="85"/>
      <c r="E43" s="84">
        <v>105.09399999999999</v>
      </c>
      <c r="F43" s="86">
        <v>194.571</v>
      </c>
      <c r="G43" s="72" t="s">
        <v>79</v>
      </c>
      <c r="H43" s="99"/>
    </row>
    <row r="44" spans="1:8" s="70" customFormat="1" ht="11.25" hidden="1" x14ac:dyDescent="0.2">
      <c r="A44" s="93">
        <v>0</v>
      </c>
      <c r="B44" s="84"/>
      <c r="C44" s="85">
        <v>90.050999999999988</v>
      </c>
      <c r="D44" s="85"/>
      <c r="E44" s="84">
        <v>114.218</v>
      </c>
      <c r="F44" s="86">
        <v>204.26900000000001</v>
      </c>
      <c r="G44" s="72" t="s">
        <v>80</v>
      </c>
      <c r="H44" s="99"/>
    </row>
    <row r="45" spans="1:8" s="70" customFormat="1" ht="11.25" hidden="1" x14ac:dyDescent="0.2">
      <c r="A45" s="93">
        <v>0</v>
      </c>
      <c r="B45" s="84"/>
      <c r="C45" s="85">
        <v>86.733000000000004</v>
      </c>
      <c r="D45" s="85"/>
      <c r="E45" s="84">
        <v>114.55799999999999</v>
      </c>
      <c r="F45" s="86">
        <v>201.291</v>
      </c>
      <c r="G45" s="72" t="s">
        <v>81</v>
      </c>
      <c r="H45" s="99"/>
    </row>
    <row r="46" spans="1:8" s="70" customFormat="1" ht="11.25" hidden="1" x14ac:dyDescent="0.2">
      <c r="A46" s="93">
        <v>0</v>
      </c>
      <c r="B46" s="84"/>
      <c r="C46" s="85">
        <v>266.26099999999997</v>
      </c>
      <c r="D46" s="85"/>
      <c r="E46" s="84">
        <v>333.87</v>
      </c>
      <c r="F46" s="86">
        <v>600.13100000000009</v>
      </c>
      <c r="G46" s="72" t="s">
        <v>49</v>
      </c>
      <c r="H46" s="99"/>
    </row>
    <row r="47" spans="1:8" s="70" customFormat="1" ht="11.25" hidden="1" x14ac:dyDescent="0.2">
      <c r="A47" s="93">
        <v>0</v>
      </c>
      <c r="B47" s="84"/>
      <c r="C47" s="85">
        <v>83.712999999999994</v>
      </c>
      <c r="D47" s="85"/>
      <c r="E47" s="84">
        <v>110.988</v>
      </c>
      <c r="F47" s="86">
        <v>194.70099999999999</v>
      </c>
      <c r="G47" s="72" t="s">
        <v>83</v>
      </c>
      <c r="H47" s="99"/>
    </row>
    <row r="48" spans="1:8" s="70" customFormat="1" ht="11.25" hidden="1" x14ac:dyDescent="0.2">
      <c r="A48" s="93">
        <v>0</v>
      </c>
      <c r="B48" s="84"/>
      <c r="C48" s="85">
        <v>79.168000000000006</v>
      </c>
      <c r="D48" s="85"/>
      <c r="E48" s="84">
        <v>118.67699999999999</v>
      </c>
      <c r="F48" s="86">
        <v>197.845</v>
      </c>
      <c r="G48" s="72" t="s">
        <v>84</v>
      </c>
      <c r="H48" s="99"/>
    </row>
    <row r="49" spans="1:8" s="70" customFormat="1" ht="11.25" hidden="1" x14ac:dyDescent="0.2">
      <c r="A49" s="93">
        <v>0</v>
      </c>
      <c r="B49" s="84"/>
      <c r="C49" s="85">
        <v>69.693000000000012</v>
      </c>
      <c r="D49" s="85"/>
      <c r="E49" s="84">
        <v>105.246</v>
      </c>
      <c r="F49" s="86">
        <v>174.93899999999999</v>
      </c>
      <c r="G49" s="72" t="s">
        <v>85</v>
      </c>
      <c r="H49" s="99"/>
    </row>
    <row r="50" spans="1:8" s="70" customFormat="1" ht="11.25" hidden="1" x14ac:dyDescent="0.2">
      <c r="A50" s="93">
        <v>0</v>
      </c>
      <c r="B50" s="84"/>
      <c r="C50" s="85">
        <v>232.57400000000001</v>
      </c>
      <c r="D50" s="85"/>
      <c r="E50" s="84">
        <v>334.911</v>
      </c>
      <c r="F50" s="86">
        <v>567.48500000000001</v>
      </c>
      <c r="G50" s="72" t="s">
        <v>50</v>
      </c>
      <c r="H50" s="99"/>
    </row>
    <row r="51" spans="1:8" s="70" customFormat="1" ht="11.25" hidden="1" x14ac:dyDescent="0.2">
      <c r="A51" s="93">
        <v>0</v>
      </c>
      <c r="B51" s="84"/>
      <c r="C51" s="85">
        <v>82.483000000000004</v>
      </c>
      <c r="D51" s="85"/>
      <c r="E51" s="84">
        <v>100.435</v>
      </c>
      <c r="F51" s="86">
        <v>182.91800000000001</v>
      </c>
      <c r="G51" s="72" t="s">
        <v>87</v>
      </c>
      <c r="H51" s="99"/>
    </row>
    <row r="52" spans="1:8" s="70" customFormat="1" ht="11.25" hidden="1" x14ac:dyDescent="0.2">
      <c r="A52" s="93">
        <v>0</v>
      </c>
      <c r="B52" s="84"/>
      <c r="C52" s="85">
        <v>88.697000000000003</v>
      </c>
      <c r="D52" s="85"/>
      <c r="E52" s="84">
        <v>102.102</v>
      </c>
      <c r="F52" s="86">
        <v>190.79900000000001</v>
      </c>
      <c r="G52" s="72" t="s">
        <v>88</v>
      </c>
      <c r="H52" s="99"/>
    </row>
    <row r="53" spans="1:8" s="70" customFormat="1" ht="11.25" hidden="1" x14ac:dyDescent="0.2">
      <c r="A53" s="93">
        <v>0</v>
      </c>
      <c r="B53" s="84"/>
      <c r="C53" s="85">
        <v>87.406999999999996</v>
      </c>
      <c r="D53" s="85"/>
      <c r="E53" s="84">
        <v>97.82</v>
      </c>
      <c r="F53" s="86">
        <v>185.22699999999998</v>
      </c>
      <c r="G53" s="72" t="s">
        <v>89</v>
      </c>
      <c r="H53" s="99"/>
    </row>
    <row r="54" spans="1:8" s="70" customFormat="1" ht="11.25" hidden="1" x14ac:dyDescent="0.2">
      <c r="A54" s="93">
        <v>0</v>
      </c>
      <c r="B54" s="84"/>
      <c r="C54" s="85">
        <v>258.58699999999999</v>
      </c>
      <c r="D54" s="85"/>
      <c r="E54" s="84">
        <v>300.35699999999997</v>
      </c>
      <c r="F54" s="86">
        <v>558.94399999999996</v>
      </c>
      <c r="G54" s="72" t="s">
        <v>51</v>
      </c>
      <c r="H54" s="99"/>
    </row>
    <row r="55" spans="1:8" s="70" customFormat="1" ht="8.25" hidden="1" customHeight="1" x14ac:dyDescent="0.2">
      <c r="A55" s="93"/>
      <c r="B55" s="84"/>
      <c r="C55" s="85"/>
      <c r="D55" s="85"/>
      <c r="E55" s="84"/>
      <c r="F55" s="86"/>
      <c r="G55" s="72"/>
      <c r="H55" s="99"/>
    </row>
    <row r="56" spans="1:8" s="70" customFormat="1" ht="12.75" hidden="1" customHeight="1" x14ac:dyDescent="0.2">
      <c r="A56" s="94">
        <v>0</v>
      </c>
      <c r="B56" s="85"/>
      <c r="C56" s="85">
        <v>87.399000000000001</v>
      </c>
      <c r="D56" s="85"/>
      <c r="E56" s="85">
        <v>86.518000000000001</v>
      </c>
      <c r="F56" s="87">
        <v>173.917</v>
      </c>
      <c r="G56" s="72" t="s">
        <v>75</v>
      </c>
      <c r="H56" s="99">
        <v>2011</v>
      </c>
    </row>
    <row r="57" spans="1:8" s="70" customFormat="1" ht="11.25" hidden="1" x14ac:dyDescent="0.2">
      <c r="A57" s="94">
        <v>0</v>
      </c>
      <c r="B57" s="85"/>
      <c r="C57" s="85">
        <v>94.697000000000003</v>
      </c>
      <c r="D57" s="85"/>
      <c r="E57" s="85">
        <v>100.09700000000001</v>
      </c>
      <c r="F57" s="87">
        <v>194.79399999999998</v>
      </c>
      <c r="G57" s="72" t="s">
        <v>76</v>
      </c>
      <c r="H57" s="99"/>
    </row>
    <row r="58" spans="1:8" s="70" customFormat="1" ht="11.25" hidden="1" x14ac:dyDescent="0.2">
      <c r="A58" s="94">
        <v>0</v>
      </c>
      <c r="B58" s="85"/>
      <c r="C58" s="85">
        <v>115.191</v>
      </c>
      <c r="D58" s="85"/>
      <c r="E58" s="85">
        <v>115.37</v>
      </c>
      <c r="F58" s="87">
        <v>230.56100000000001</v>
      </c>
      <c r="G58" s="72" t="s">
        <v>77</v>
      </c>
      <c r="H58" s="99"/>
    </row>
    <row r="59" spans="1:8" s="70" customFormat="1" ht="11.25" hidden="1" x14ac:dyDescent="0.2">
      <c r="A59" s="94">
        <v>0</v>
      </c>
      <c r="B59" s="85"/>
      <c r="C59" s="85">
        <v>297.28700000000003</v>
      </c>
      <c r="D59" s="85"/>
      <c r="E59" s="85">
        <v>301.98500000000001</v>
      </c>
      <c r="F59" s="87">
        <v>599.27200000000005</v>
      </c>
      <c r="G59" s="72" t="s">
        <v>48</v>
      </c>
      <c r="H59" s="99">
        <v>2011</v>
      </c>
    </row>
    <row r="60" spans="1:8" s="70" customFormat="1" ht="11.25" hidden="1" x14ac:dyDescent="0.2">
      <c r="A60" s="94">
        <v>4.9000000000000002E-2</v>
      </c>
      <c r="B60" s="85"/>
      <c r="C60" s="85">
        <v>105.157</v>
      </c>
      <c r="D60" s="85"/>
      <c r="E60" s="85">
        <v>102.965</v>
      </c>
      <c r="F60" s="87">
        <v>208.17099999999999</v>
      </c>
      <c r="G60" s="72" t="s">
        <v>79</v>
      </c>
      <c r="H60" s="99"/>
    </row>
    <row r="61" spans="1:8" s="70" customFormat="1" ht="11.25" hidden="1" x14ac:dyDescent="0.2">
      <c r="A61" s="94">
        <v>0</v>
      </c>
      <c r="B61" s="85"/>
      <c r="C61" s="85">
        <v>89.491</v>
      </c>
      <c r="D61" s="85"/>
      <c r="E61" s="85">
        <v>117.208</v>
      </c>
      <c r="F61" s="87">
        <v>206.69900000000001</v>
      </c>
      <c r="G61" s="72" t="s">
        <v>80</v>
      </c>
      <c r="H61" s="99"/>
    </row>
    <row r="62" spans="1:8" s="70" customFormat="1" ht="11.25" hidden="1" x14ac:dyDescent="0.2">
      <c r="A62" s="94">
        <v>0</v>
      </c>
      <c r="B62" s="85"/>
      <c r="C62" s="85">
        <v>107.75899999999999</v>
      </c>
      <c r="D62" s="85"/>
      <c r="E62" s="85">
        <v>118.078</v>
      </c>
      <c r="F62" s="87">
        <v>225.83699999999999</v>
      </c>
      <c r="G62" s="72" t="s">
        <v>81</v>
      </c>
      <c r="H62" s="99"/>
    </row>
    <row r="63" spans="1:8" s="70" customFormat="1" ht="11.25" hidden="1" x14ac:dyDescent="0.2">
      <c r="A63" s="94">
        <v>4.9000000000000002E-2</v>
      </c>
      <c r="B63" s="85"/>
      <c r="C63" s="85">
        <v>302.40699999999998</v>
      </c>
      <c r="D63" s="85"/>
      <c r="E63" s="85">
        <v>338.25099999999998</v>
      </c>
      <c r="F63" s="87">
        <v>640.70699999999999</v>
      </c>
      <c r="G63" s="72" t="s">
        <v>49</v>
      </c>
      <c r="H63" s="99"/>
    </row>
    <row r="64" spans="1:8" s="70" customFormat="1" ht="11.25" hidden="1" x14ac:dyDescent="0.2">
      <c r="A64" s="94">
        <v>0</v>
      </c>
      <c r="B64" s="85"/>
      <c r="C64" s="85">
        <v>94.53</v>
      </c>
      <c r="D64" s="85"/>
      <c r="E64" s="85">
        <v>105.812</v>
      </c>
      <c r="F64" s="87">
        <v>200.34199999999998</v>
      </c>
      <c r="G64" s="72" t="s">
        <v>83</v>
      </c>
      <c r="H64" s="99"/>
    </row>
    <row r="65" spans="1:8" s="70" customFormat="1" ht="11.25" hidden="1" x14ac:dyDescent="0.2">
      <c r="A65" s="94">
        <v>0</v>
      </c>
      <c r="B65" s="85"/>
      <c r="C65" s="85">
        <v>102.74600000000001</v>
      </c>
      <c r="D65" s="85"/>
      <c r="E65" s="85">
        <v>108.43700000000001</v>
      </c>
      <c r="F65" s="87">
        <v>211.18300000000002</v>
      </c>
      <c r="G65" s="72" t="s">
        <v>84</v>
      </c>
      <c r="H65" s="99"/>
    </row>
    <row r="66" spans="1:8" s="70" customFormat="1" ht="11.25" hidden="1" x14ac:dyDescent="0.2">
      <c r="A66" s="94">
        <v>0</v>
      </c>
      <c r="B66" s="85"/>
      <c r="C66" s="85">
        <v>89.843000000000004</v>
      </c>
      <c r="D66" s="85"/>
      <c r="E66" s="85">
        <v>90.759</v>
      </c>
      <c r="F66" s="87">
        <v>180.602</v>
      </c>
      <c r="G66" s="72" t="s">
        <v>85</v>
      </c>
      <c r="H66" s="99"/>
    </row>
    <row r="67" spans="1:8" s="70" customFormat="1" ht="11.25" hidden="1" x14ac:dyDescent="0.2">
      <c r="A67" s="94">
        <v>0</v>
      </c>
      <c r="B67" s="85"/>
      <c r="C67" s="85">
        <v>287.11900000000003</v>
      </c>
      <c r="D67" s="85"/>
      <c r="E67" s="85">
        <v>305.00800000000004</v>
      </c>
      <c r="F67" s="87">
        <v>592.12699999999995</v>
      </c>
      <c r="G67" s="72" t="s">
        <v>50</v>
      </c>
      <c r="H67" s="99"/>
    </row>
    <row r="68" spans="1:8" s="70" customFormat="1" ht="11.25" hidden="1" x14ac:dyDescent="0.2">
      <c r="A68" s="94">
        <v>0</v>
      </c>
      <c r="B68" s="85"/>
      <c r="C68" s="85">
        <v>92.24</v>
      </c>
      <c r="D68" s="85"/>
      <c r="E68" s="85">
        <v>97.23599999999999</v>
      </c>
      <c r="F68" s="87">
        <v>189.476</v>
      </c>
      <c r="G68" s="72" t="s">
        <v>87</v>
      </c>
      <c r="H68" s="99"/>
    </row>
    <row r="69" spans="1:8" s="70" customFormat="1" ht="11.25" hidden="1" x14ac:dyDescent="0.2">
      <c r="A69" s="94">
        <v>0</v>
      </c>
      <c r="B69" s="85"/>
      <c r="C69" s="85">
        <v>87.057999999999993</v>
      </c>
      <c r="D69" s="85"/>
      <c r="E69" s="85">
        <v>100.075</v>
      </c>
      <c r="F69" s="87">
        <v>187.13300000000001</v>
      </c>
      <c r="G69" s="72" t="s">
        <v>88</v>
      </c>
      <c r="H69" s="99"/>
    </row>
    <row r="70" spans="1:8" s="70" customFormat="1" ht="11.25" hidden="1" x14ac:dyDescent="0.2">
      <c r="A70" s="94">
        <v>0</v>
      </c>
      <c r="B70" s="85"/>
      <c r="C70" s="85">
        <v>93.99199999999999</v>
      </c>
      <c r="D70" s="85"/>
      <c r="E70" s="85">
        <v>92.960000000000008</v>
      </c>
      <c r="F70" s="87">
        <v>186.952</v>
      </c>
      <c r="G70" s="72" t="s">
        <v>89</v>
      </c>
      <c r="H70" s="99"/>
    </row>
    <row r="71" spans="1:8" s="70" customFormat="1" ht="11.25" hidden="1" x14ac:dyDescent="0.2">
      <c r="A71" s="94">
        <v>0</v>
      </c>
      <c r="B71" s="85"/>
      <c r="C71" s="85">
        <v>273.28999999999996</v>
      </c>
      <c r="D71" s="85"/>
      <c r="E71" s="85">
        <v>290.27099999999996</v>
      </c>
      <c r="F71" s="87">
        <v>563.56100000000004</v>
      </c>
      <c r="G71" s="72" t="s">
        <v>51</v>
      </c>
      <c r="H71" s="99"/>
    </row>
    <row r="72" spans="1:8" s="70" customFormat="1" ht="9" hidden="1" customHeight="1" x14ac:dyDescent="0.2">
      <c r="A72" s="94"/>
      <c r="B72" s="85"/>
      <c r="C72" s="85"/>
      <c r="D72" s="85"/>
      <c r="E72" s="85"/>
      <c r="F72" s="87"/>
      <c r="G72" s="72"/>
      <c r="H72" s="99"/>
    </row>
    <row r="73" spans="1:8" s="70" customFormat="1" ht="11.25" hidden="1" x14ac:dyDescent="0.2">
      <c r="A73" s="94">
        <v>0</v>
      </c>
      <c r="B73" s="85"/>
      <c r="C73" s="85">
        <v>97.706999999999994</v>
      </c>
      <c r="D73" s="85"/>
      <c r="E73" s="85">
        <v>119.345</v>
      </c>
      <c r="F73" s="87">
        <v>217.05200000000002</v>
      </c>
      <c r="G73" s="72" t="s">
        <v>75</v>
      </c>
      <c r="H73" s="99">
        <v>2012</v>
      </c>
    </row>
    <row r="74" spans="1:8" s="70" customFormat="1" ht="11.25" hidden="1" x14ac:dyDescent="0.2">
      <c r="A74" s="94">
        <v>0</v>
      </c>
      <c r="B74" s="85"/>
      <c r="C74" s="85">
        <v>86.667000000000002</v>
      </c>
      <c r="D74" s="85"/>
      <c r="E74" s="85">
        <v>104.673</v>
      </c>
      <c r="F74" s="87">
        <v>191.34</v>
      </c>
      <c r="G74" s="72" t="s">
        <v>76</v>
      </c>
      <c r="H74" s="99"/>
    </row>
    <row r="75" spans="1:8" s="70" customFormat="1" ht="11.25" hidden="1" x14ac:dyDescent="0.2">
      <c r="A75" s="94">
        <v>0</v>
      </c>
      <c r="B75" s="85"/>
      <c r="C75" s="85">
        <v>103.62100000000001</v>
      </c>
      <c r="D75" s="85"/>
      <c r="E75" s="85">
        <v>133.50900000000001</v>
      </c>
      <c r="F75" s="87">
        <v>237.13</v>
      </c>
      <c r="G75" s="72" t="s">
        <v>77</v>
      </c>
      <c r="H75" s="99"/>
    </row>
    <row r="76" spans="1:8" s="70" customFormat="1" ht="11.25" hidden="1" x14ac:dyDescent="0.2">
      <c r="A76" s="94">
        <v>0</v>
      </c>
      <c r="B76" s="85"/>
      <c r="C76" s="85">
        <v>287.995</v>
      </c>
      <c r="D76" s="85"/>
      <c r="E76" s="85">
        <v>357.52700000000004</v>
      </c>
      <c r="F76" s="87">
        <v>645.52200000000005</v>
      </c>
      <c r="G76" s="72" t="s">
        <v>48</v>
      </c>
      <c r="H76" s="99">
        <v>2012</v>
      </c>
    </row>
    <row r="77" spans="1:8" s="70" customFormat="1" ht="11.25" hidden="1" x14ac:dyDescent="0.2">
      <c r="A77" s="94">
        <v>0</v>
      </c>
      <c r="B77" s="85"/>
      <c r="C77" s="85">
        <v>106.083</v>
      </c>
      <c r="D77" s="85"/>
      <c r="E77" s="85">
        <v>126.61399999999999</v>
      </c>
      <c r="F77" s="87">
        <v>232.697</v>
      </c>
      <c r="G77" s="72" t="s">
        <v>79</v>
      </c>
      <c r="H77" s="99"/>
    </row>
    <row r="78" spans="1:8" s="70" customFormat="1" ht="11.25" hidden="1" x14ac:dyDescent="0.2">
      <c r="A78" s="94">
        <v>0</v>
      </c>
      <c r="B78" s="85"/>
      <c r="C78" s="85">
        <v>111.086</v>
      </c>
      <c r="D78" s="85"/>
      <c r="E78" s="85">
        <v>125.02500000000001</v>
      </c>
      <c r="F78" s="87">
        <v>236.11099999999999</v>
      </c>
      <c r="G78" s="72" t="s">
        <v>80</v>
      </c>
      <c r="H78" s="99"/>
    </row>
    <row r="79" spans="1:8" s="70" customFormat="1" ht="11.25" hidden="1" x14ac:dyDescent="0.2">
      <c r="A79" s="94">
        <v>0</v>
      </c>
      <c r="B79" s="85"/>
      <c r="C79" s="85">
        <v>100.854</v>
      </c>
      <c r="D79" s="85"/>
      <c r="E79" s="85">
        <v>110.551</v>
      </c>
      <c r="F79" s="87">
        <v>211.405</v>
      </c>
      <c r="G79" s="72" t="s">
        <v>81</v>
      </c>
      <c r="H79" s="99"/>
    </row>
    <row r="80" spans="1:8" s="70" customFormat="1" ht="11.25" hidden="1" x14ac:dyDescent="0.2">
      <c r="A80" s="94">
        <v>0</v>
      </c>
      <c r="B80" s="85"/>
      <c r="C80" s="85">
        <v>318.02299999999997</v>
      </c>
      <c r="D80" s="85"/>
      <c r="E80" s="85">
        <v>362.19</v>
      </c>
      <c r="F80" s="87">
        <v>680.21299999999997</v>
      </c>
      <c r="G80" s="72" t="s">
        <v>49</v>
      </c>
      <c r="H80" s="99"/>
    </row>
    <row r="81" spans="1:8" s="70" customFormat="1" ht="11.25" hidden="1" x14ac:dyDescent="0.2">
      <c r="A81" s="94">
        <v>0</v>
      </c>
      <c r="B81" s="85"/>
      <c r="C81" s="85">
        <v>110.74799999999999</v>
      </c>
      <c r="D81" s="85"/>
      <c r="E81" s="85">
        <v>114.893</v>
      </c>
      <c r="F81" s="87">
        <v>225.64100000000002</v>
      </c>
      <c r="G81" s="72" t="s">
        <v>83</v>
      </c>
      <c r="H81" s="99"/>
    </row>
    <row r="82" spans="1:8" s="70" customFormat="1" ht="11.25" hidden="1" x14ac:dyDescent="0.2">
      <c r="A82" s="94">
        <v>0</v>
      </c>
      <c r="B82" s="85"/>
      <c r="C82" s="85">
        <v>97.918000000000006</v>
      </c>
      <c r="D82" s="85"/>
      <c r="E82" s="85">
        <v>109.5</v>
      </c>
      <c r="F82" s="87">
        <v>207.41800000000001</v>
      </c>
      <c r="G82" s="72" t="s">
        <v>84</v>
      </c>
      <c r="H82" s="99"/>
    </row>
    <row r="83" spans="1:8" s="70" customFormat="1" ht="11.25" hidden="1" x14ac:dyDescent="0.2">
      <c r="A83" s="94">
        <v>0</v>
      </c>
      <c r="B83" s="85"/>
      <c r="C83" s="85">
        <v>82.516999999999996</v>
      </c>
      <c r="D83" s="85"/>
      <c r="E83" s="85">
        <v>97.888000000000005</v>
      </c>
      <c r="F83" s="87">
        <v>180.405</v>
      </c>
      <c r="G83" s="72" t="s">
        <v>85</v>
      </c>
      <c r="H83" s="99"/>
    </row>
    <row r="84" spans="1:8" s="70" customFormat="1" ht="11.25" hidden="1" x14ac:dyDescent="0.2">
      <c r="A84" s="94">
        <v>0</v>
      </c>
      <c r="B84" s="85"/>
      <c r="C84" s="85">
        <v>291.18299999999999</v>
      </c>
      <c r="D84" s="85"/>
      <c r="E84" s="85">
        <v>322.28100000000001</v>
      </c>
      <c r="F84" s="87">
        <v>613.46400000000006</v>
      </c>
      <c r="G84" s="72" t="s">
        <v>50</v>
      </c>
      <c r="H84" s="99"/>
    </row>
    <row r="85" spans="1:8" s="70" customFormat="1" ht="11.25" hidden="1" x14ac:dyDescent="0.2">
      <c r="A85" s="94">
        <v>0</v>
      </c>
      <c r="B85" s="85"/>
      <c r="C85" s="85">
        <v>97.414000000000001</v>
      </c>
      <c r="D85" s="85"/>
      <c r="E85" s="85">
        <v>105.78999999999999</v>
      </c>
      <c r="F85" s="87">
        <v>203.20400000000001</v>
      </c>
      <c r="G85" s="72" t="s">
        <v>87</v>
      </c>
      <c r="H85" s="99"/>
    </row>
    <row r="86" spans="1:8" s="70" customFormat="1" ht="11.25" hidden="1" x14ac:dyDescent="0.2">
      <c r="A86" s="94">
        <v>1E-3</v>
      </c>
      <c r="B86" s="85"/>
      <c r="C86" s="85">
        <v>85.932000000000002</v>
      </c>
      <c r="D86" s="85"/>
      <c r="E86" s="85">
        <v>106.43299999999999</v>
      </c>
      <c r="F86" s="87">
        <v>192.36599999999999</v>
      </c>
      <c r="G86" s="72" t="s">
        <v>88</v>
      </c>
      <c r="H86" s="99"/>
    </row>
    <row r="87" spans="1:8" s="70" customFormat="1" ht="11.25" hidden="1" x14ac:dyDescent="0.2">
      <c r="A87" s="94">
        <v>0</v>
      </c>
      <c r="B87" s="85"/>
      <c r="C87" s="85">
        <v>89.903999999999996</v>
      </c>
      <c r="D87" s="85"/>
      <c r="E87" s="85">
        <v>116.4</v>
      </c>
      <c r="F87" s="87">
        <v>206.304</v>
      </c>
      <c r="G87" s="72" t="s">
        <v>89</v>
      </c>
      <c r="H87" s="99"/>
    </row>
    <row r="88" spans="1:8" s="70" customFormat="1" ht="11.25" hidden="1" x14ac:dyDescent="0.2">
      <c r="A88" s="94">
        <v>1E-3</v>
      </c>
      <c r="B88" s="85"/>
      <c r="C88" s="85">
        <v>273.25</v>
      </c>
      <c r="D88" s="85"/>
      <c r="E88" s="85">
        <v>328.62299999999999</v>
      </c>
      <c r="F88" s="87">
        <v>601.87400000000002</v>
      </c>
      <c r="G88" s="72" t="s">
        <v>51</v>
      </c>
      <c r="H88" s="99"/>
    </row>
    <row r="89" spans="1:8" s="70" customFormat="1" ht="8.25" hidden="1" customHeight="1" x14ac:dyDescent="0.2">
      <c r="A89" s="94"/>
      <c r="B89" s="85"/>
      <c r="C89" s="85"/>
      <c r="D89" s="85"/>
      <c r="E89" s="85"/>
      <c r="F89" s="87"/>
      <c r="G89" s="72"/>
      <c r="H89" s="99"/>
    </row>
    <row r="90" spans="1:8" s="70" customFormat="1" ht="11.25" hidden="1" x14ac:dyDescent="0.2">
      <c r="A90" s="94">
        <v>0</v>
      </c>
      <c r="B90" s="85"/>
      <c r="C90" s="85">
        <v>89.925999999999988</v>
      </c>
      <c r="D90" s="85"/>
      <c r="E90" s="85">
        <v>131.69400000000002</v>
      </c>
      <c r="F90" s="87">
        <v>221.62</v>
      </c>
      <c r="G90" s="72" t="s">
        <v>75</v>
      </c>
      <c r="H90" s="99">
        <v>2013</v>
      </c>
    </row>
    <row r="91" spans="1:8" s="70" customFormat="1" ht="11.25" hidden="1" x14ac:dyDescent="0.2">
      <c r="A91" s="94">
        <v>5.0999999999999997E-2</v>
      </c>
      <c r="B91" s="85"/>
      <c r="C91" s="85">
        <v>96.528000000000006</v>
      </c>
      <c r="D91" s="85"/>
      <c r="E91" s="85">
        <v>117.91200000000001</v>
      </c>
      <c r="F91" s="87">
        <v>214.49100000000001</v>
      </c>
      <c r="G91" s="72" t="s">
        <v>76</v>
      </c>
      <c r="H91" s="99"/>
    </row>
    <row r="92" spans="1:8" s="70" customFormat="1" ht="11.25" hidden="1" x14ac:dyDescent="0.2">
      <c r="A92" s="94">
        <v>7.0000000000000007E-2</v>
      </c>
      <c r="B92" s="85"/>
      <c r="C92" s="85">
        <v>91.882000000000005</v>
      </c>
      <c r="D92" s="85"/>
      <c r="E92" s="85">
        <v>130.88900000000001</v>
      </c>
      <c r="F92" s="87">
        <v>222.84100000000001</v>
      </c>
      <c r="G92" s="72" t="s">
        <v>77</v>
      </c>
      <c r="H92" s="99"/>
    </row>
    <row r="93" spans="1:8" s="70" customFormat="1" ht="11.25" hidden="1" x14ac:dyDescent="0.2">
      <c r="A93" s="129">
        <v>0.121</v>
      </c>
      <c r="B93" s="130"/>
      <c r="C93" s="130">
        <v>278.33600000000001</v>
      </c>
      <c r="D93" s="130"/>
      <c r="E93" s="130">
        <v>380.495</v>
      </c>
      <c r="F93" s="131">
        <v>658.952</v>
      </c>
      <c r="G93" s="133" t="s">
        <v>48</v>
      </c>
      <c r="H93" s="136">
        <v>2013</v>
      </c>
    </row>
    <row r="94" spans="1:8" s="70" customFormat="1" ht="11.25" hidden="1" x14ac:dyDescent="0.2">
      <c r="A94" s="129">
        <v>3.2000000000000001E-2</v>
      </c>
      <c r="B94" s="130"/>
      <c r="C94" s="130">
        <v>104.279</v>
      </c>
      <c r="D94" s="130"/>
      <c r="E94" s="130">
        <v>133.791</v>
      </c>
      <c r="F94" s="131">
        <v>238.10200000000003</v>
      </c>
      <c r="G94" s="133" t="s">
        <v>79</v>
      </c>
      <c r="H94" s="136"/>
    </row>
    <row r="95" spans="1:8" s="70" customFormat="1" ht="11.25" hidden="1" x14ac:dyDescent="0.2">
      <c r="A95" s="129">
        <v>0</v>
      </c>
      <c r="B95" s="130"/>
      <c r="C95" s="130">
        <v>111.714</v>
      </c>
      <c r="D95" s="130"/>
      <c r="E95" s="130">
        <v>132.72300000000001</v>
      </c>
      <c r="F95" s="131">
        <v>244.43700000000001</v>
      </c>
      <c r="G95" s="133" t="s">
        <v>80</v>
      </c>
      <c r="H95" s="136"/>
    </row>
    <row r="96" spans="1:8" s="70" customFormat="1" ht="11.25" hidden="1" x14ac:dyDescent="0.2">
      <c r="A96" s="129">
        <v>1E-3</v>
      </c>
      <c r="B96" s="130"/>
      <c r="C96" s="130">
        <v>101.69200000000001</v>
      </c>
      <c r="D96" s="130"/>
      <c r="E96" s="130">
        <v>119.38499999999999</v>
      </c>
      <c r="F96" s="131">
        <v>221.078</v>
      </c>
      <c r="G96" s="133" t="s">
        <v>81</v>
      </c>
      <c r="H96" s="136"/>
    </row>
    <row r="97" spans="1:8" s="70" customFormat="1" ht="11.25" hidden="1" x14ac:dyDescent="0.2">
      <c r="A97" s="129">
        <v>3.3000000000000002E-2</v>
      </c>
      <c r="B97" s="130"/>
      <c r="C97" s="130">
        <v>317.685</v>
      </c>
      <c r="D97" s="130"/>
      <c r="E97" s="130">
        <v>385.899</v>
      </c>
      <c r="F97" s="131">
        <v>703.61700000000008</v>
      </c>
      <c r="G97" s="133" t="s">
        <v>49</v>
      </c>
      <c r="H97" s="136"/>
    </row>
    <row r="98" spans="1:8" s="70" customFormat="1" ht="11.25" hidden="1" x14ac:dyDescent="0.2">
      <c r="A98" s="129">
        <v>1.9E-2</v>
      </c>
      <c r="B98" s="130"/>
      <c r="C98" s="130">
        <v>108.589</v>
      </c>
      <c r="D98" s="130"/>
      <c r="E98" s="130">
        <v>125.306</v>
      </c>
      <c r="F98" s="131">
        <v>233.91399999999999</v>
      </c>
      <c r="G98" s="133" t="s">
        <v>83</v>
      </c>
      <c r="H98" s="136"/>
    </row>
    <row r="99" spans="1:8" s="70" customFormat="1" ht="11.25" hidden="1" x14ac:dyDescent="0.2">
      <c r="A99" s="129">
        <v>1.9E-2</v>
      </c>
      <c r="B99" s="130"/>
      <c r="C99" s="130">
        <v>107.306</v>
      </c>
      <c r="D99" s="130"/>
      <c r="E99" s="130">
        <v>108.20400000000001</v>
      </c>
      <c r="F99" s="131">
        <v>215.529</v>
      </c>
      <c r="G99" s="133" t="s">
        <v>84</v>
      </c>
      <c r="H99" s="136"/>
    </row>
    <row r="100" spans="1:8" s="70" customFormat="1" ht="11.25" hidden="1" x14ac:dyDescent="0.2">
      <c r="A100" s="129">
        <v>6.0000000000000001E-3</v>
      </c>
      <c r="B100" s="130"/>
      <c r="C100" s="130">
        <v>85.070999999999998</v>
      </c>
      <c r="D100" s="130"/>
      <c r="E100" s="130">
        <v>87.811000000000007</v>
      </c>
      <c r="F100" s="131">
        <v>172.88800000000001</v>
      </c>
      <c r="G100" s="133" t="s">
        <v>85</v>
      </c>
      <c r="H100" s="136"/>
    </row>
    <row r="101" spans="1:8" s="70" customFormat="1" ht="11.25" hidden="1" x14ac:dyDescent="0.2">
      <c r="A101" s="129">
        <v>4.3999999999999997E-2</v>
      </c>
      <c r="B101" s="130"/>
      <c r="C101" s="130">
        <v>300.96600000000001</v>
      </c>
      <c r="D101" s="130"/>
      <c r="E101" s="130">
        <v>321.32100000000003</v>
      </c>
      <c r="F101" s="131">
        <v>622.33100000000002</v>
      </c>
      <c r="G101" s="133" t="s">
        <v>50</v>
      </c>
      <c r="H101" s="136"/>
    </row>
    <row r="102" spans="1:8" s="70" customFormat="1" ht="11.25" hidden="1" x14ac:dyDescent="0.2">
      <c r="A102" s="129">
        <v>9.0000000000000011E-3</v>
      </c>
      <c r="B102" s="130"/>
      <c r="C102" s="130">
        <v>101.386</v>
      </c>
      <c r="D102" s="130"/>
      <c r="E102" s="130">
        <v>83.850999999999999</v>
      </c>
      <c r="F102" s="131">
        <v>185.24600000000001</v>
      </c>
      <c r="G102" s="133" t="s">
        <v>87</v>
      </c>
      <c r="H102" s="136"/>
    </row>
    <row r="103" spans="1:8" s="70" customFormat="1" ht="11.25" hidden="1" x14ac:dyDescent="0.2">
      <c r="A103" s="129">
        <v>1.4E-2</v>
      </c>
      <c r="B103" s="130"/>
      <c r="C103" s="130">
        <v>89.344999999999999</v>
      </c>
      <c r="D103" s="130"/>
      <c r="E103" s="130">
        <v>82.474000000000004</v>
      </c>
      <c r="F103" s="131">
        <v>171.833</v>
      </c>
      <c r="G103" s="133" t="s">
        <v>88</v>
      </c>
      <c r="H103" s="136"/>
    </row>
    <row r="104" spans="1:8" s="70" customFormat="1" ht="11.25" hidden="1" x14ac:dyDescent="0.2">
      <c r="A104" s="129">
        <v>7.0000000000000001E-3</v>
      </c>
      <c r="B104" s="130"/>
      <c r="C104" s="130">
        <v>93.95</v>
      </c>
      <c r="D104" s="130"/>
      <c r="E104" s="130">
        <v>102.94900000000001</v>
      </c>
      <c r="F104" s="131">
        <v>196.90600000000001</v>
      </c>
      <c r="G104" s="133" t="s">
        <v>89</v>
      </c>
      <c r="H104" s="136"/>
    </row>
    <row r="105" spans="1:8" s="70" customFormat="1" ht="11.25" hidden="1" x14ac:dyDescent="0.2">
      <c r="A105" s="129">
        <v>0.03</v>
      </c>
      <c r="B105" s="130"/>
      <c r="C105" s="130">
        <v>284.68099999999998</v>
      </c>
      <c r="D105" s="130"/>
      <c r="E105" s="130">
        <v>269.274</v>
      </c>
      <c r="F105" s="131">
        <v>553.98500000000001</v>
      </c>
      <c r="G105" s="133" t="s">
        <v>51</v>
      </c>
      <c r="H105" s="136"/>
    </row>
    <row r="106" spans="1:8" s="70" customFormat="1" ht="6.75" hidden="1" customHeight="1" x14ac:dyDescent="0.2">
      <c r="A106" s="118"/>
      <c r="B106" s="119"/>
      <c r="C106" s="119"/>
      <c r="D106" s="119"/>
      <c r="E106" s="119"/>
      <c r="F106" s="120"/>
      <c r="G106" s="122"/>
      <c r="H106" s="99"/>
    </row>
    <row r="107" spans="1:8" s="70" customFormat="1" ht="15.75" hidden="1" customHeight="1" x14ac:dyDescent="0.2">
      <c r="A107" s="146">
        <v>0</v>
      </c>
      <c r="B107" s="147"/>
      <c r="C107" s="130">
        <v>107.357</v>
      </c>
      <c r="D107" s="130"/>
      <c r="E107" s="147">
        <v>94.992999999999995</v>
      </c>
      <c r="F107" s="148">
        <v>202.35000000000002</v>
      </c>
      <c r="G107" s="133" t="s">
        <v>75</v>
      </c>
      <c r="H107" s="136">
        <v>2014</v>
      </c>
    </row>
    <row r="108" spans="1:8" s="70" customFormat="1" ht="11.25" hidden="1" x14ac:dyDescent="0.2">
      <c r="A108" s="146">
        <v>3.2000000000000001E-2</v>
      </c>
      <c r="B108" s="147"/>
      <c r="C108" s="130">
        <v>108.09899999999999</v>
      </c>
      <c r="D108" s="130"/>
      <c r="E108" s="147">
        <v>85.613</v>
      </c>
      <c r="F108" s="148">
        <v>193.74399999999997</v>
      </c>
      <c r="G108" s="133" t="s">
        <v>76</v>
      </c>
      <c r="H108" s="136"/>
    </row>
    <row r="109" spans="1:8" s="70" customFormat="1" ht="11.25" hidden="1" x14ac:dyDescent="0.2">
      <c r="A109" s="146">
        <v>4.4999999999999998E-2</v>
      </c>
      <c r="B109" s="147"/>
      <c r="C109" s="130">
        <v>102.626</v>
      </c>
      <c r="D109" s="130"/>
      <c r="E109" s="147">
        <v>102.92099999999999</v>
      </c>
      <c r="F109" s="148">
        <v>205.59200000000001</v>
      </c>
      <c r="G109" s="133" t="s">
        <v>77</v>
      </c>
      <c r="H109" s="136"/>
    </row>
    <row r="110" spans="1:8" s="70" customFormat="1" ht="11.25" hidden="1" x14ac:dyDescent="0.2">
      <c r="A110" s="146">
        <v>7.6999999999999999E-2</v>
      </c>
      <c r="B110" s="147"/>
      <c r="C110" s="130">
        <v>318.08199999999999</v>
      </c>
      <c r="D110" s="130"/>
      <c r="E110" s="147">
        <v>283.52699999999999</v>
      </c>
      <c r="F110" s="148">
        <v>601.68600000000004</v>
      </c>
      <c r="G110" s="133" t="s">
        <v>48</v>
      </c>
      <c r="H110" s="136">
        <v>2014</v>
      </c>
    </row>
    <row r="111" spans="1:8" s="70" customFormat="1" ht="11.25" hidden="1" x14ac:dyDescent="0.2">
      <c r="A111" s="146">
        <v>5.0000000000000001E-3</v>
      </c>
      <c r="B111" s="147"/>
      <c r="C111" s="130">
        <v>93.826999999999998</v>
      </c>
      <c r="D111" s="130"/>
      <c r="E111" s="147">
        <v>106.096</v>
      </c>
      <c r="F111" s="148">
        <v>199.928</v>
      </c>
      <c r="G111" s="133" t="s">
        <v>79</v>
      </c>
      <c r="H111" s="123"/>
    </row>
    <row r="112" spans="1:8" s="70" customFormat="1" ht="11.25" hidden="1" x14ac:dyDescent="0.2">
      <c r="A112" s="146">
        <v>2E-3</v>
      </c>
      <c r="B112" s="147"/>
      <c r="C112" s="130">
        <v>109.065</v>
      </c>
      <c r="D112" s="130"/>
      <c r="E112" s="147">
        <v>102.07900000000001</v>
      </c>
      <c r="F112" s="148">
        <v>211.14600000000002</v>
      </c>
      <c r="G112" s="133" t="s">
        <v>80</v>
      </c>
      <c r="H112" s="123"/>
    </row>
    <row r="113" spans="1:8" s="70" customFormat="1" ht="11.25" hidden="1" x14ac:dyDescent="0.2">
      <c r="A113" s="146">
        <v>3.0000000000000001E-3</v>
      </c>
      <c r="B113" s="147"/>
      <c r="C113" s="130">
        <v>116.241</v>
      </c>
      <c r="D113" s="130"/>
      <c r="E113" s="147">
        <v>100.898</v>
      </c>
      <c r="F113" s="148">
        <v>217.142</v>
      </c>
      <c r="G113" s="133" t="s">
        <v>81</v>
      </c>
      <c r="H113" s="123"/>
    </row>
    <row r="114" spans="1:8" s="70" customFormat="1" ht="11.25" hidden="1" x14ac:dyDescent="0.2">
      <c r="A114" s="146">
        <v>0.01</v>
      </c>
      <c r="B114" s="147"/>
      <c r="C114" s="130">
        <v>319.13299999999998</v>
      </c>
      <c r="D114" s="130"/>
      <c r="E114" s="147">
        <v>309.07299999999998</v>
      </c>
      <c r="F114" s="148">
        <v>628.21600000000001</v>
      </c>
      <c r="G114" s="133" t="s">
        <v>49</v>
      </c>
      <c r="H114" s="123"/>
    </row>
    <row r="115" spans="1:8" s="70" customFormat="1" ht="11.25" hidden="1" x14ac:dyDescent="0.2">
      <c r="A115" s="146">
        <v>2E-3</v>
      </c>
      <c r="B115" s="147"/>
      <c r="C115" s="130">
        <v>100.992</v>
      </c>
      <c r="D115" s="130"/>
      <c r="E115" s="147">
        <v>115.842</v>
      </c>
      <c r="F115" s="148">
        <v>216.83600000000001</v>
      </c>
      <c r="G115" s="133" t="s">
        <v>83</v>
      </c>
      <c r="H115" s="123"/>
    </row>
    <row r="116" spans="1:8" s="70" customFormat="1" ht="11.25" hidden="1" x14ac:dyDescent="0.2">
      <c r="A116" s="146">
        <v>2.5999999999999999E-2</v>
      </c>
      <c r="B116" s="147"/>
      <c r="C116" s="130">
        <v>100.80699999999999</v>
      </c>
      <c r="D116" s="130"/>
      <c r="E116" s="147">
        <v>101.495</v>
      </c>
      <c r="F116" s="148">
        <v>202.328</v>
      </c>
      <c r="G116" s="133" t="s">
        <v>84</v>
      </c>
      <c r="H116" s="123"/>
    </row>
    <row r="117" spans="1:8" s="70" customFormat="1" ht="11.25" hidden="1" x14ac:dyDescent="0.2">
      <c r="A117" s="146">
        <v>0.03</v>
      </c>
      <c r="B117" s="147"/>
      <c r="C117" s="130">
        <v>100.58199999999999</v>
      </c>
      <c r="D117" s="130"/>
      <c r="E117" s="147">
        <v>97.1</v>
      </c>
      <c r="F117" s="148">
        <v>197.71199999999999</v>
      </c>
      <c r="G117" s="133" t="s">
        <v>85</v>
      </c>
      <c r="H117" s="123"/>
    </row>
    <row r="118" spans="1:8" s="70" customFormat="1" ht="11.25" hidden="1" x14ac:dyDescent="0.2">
      <c r="A118" s="146">
        <v>5.7999999999999996E-2</v>
      </c>
      <c r="B118" s="147"/>
      <c r="C118" s="130">
        <v>302.38099999999997</v>
      </c>
      <c r="D118" s="130"/>
      <c r="E118" s="147">
        <v>314.43700000000001</v>
      </c>
      <c r="F118" s="148">
        <v>616.87599999999998</v>
      </c>
      <c r="G118" s="133" t="s">
        <v>50</v>
      </c>
      <c r="H118" s="123"/>
    </row>
    <row r="119" spans="1:8" s="70" customFormat="1" ht="11.25" hidden="1" x14ac:dyDescent="0.2">
      <c r="A119" s="146">
        <v>1.2999999999999999E-2</v>
      </c>
      <c r="B119" s="147"/>
      <c r="C119" s="130">
        <v>98.120999999999995</v>
      </c>
      <c r="D119" s="130"/>
      <c r="E119" s="147">
        <v>99.709000000000003</v>
      </c>
      <c r="F119" s="148">
        <v>197.84300000000002</v>
      </c>
      <c r="G119" s="133" t="s">
        <v>87</v>
      </c>
      <c r="H119" s="123"/>
    </row>
    <row r="120" spans="1:8" s="70" customFormat="1" ht="11.25" hidden="1" x14ac:dyDescent="0.2">
      <c r="A120" s="146">
        <v>2E-3</v>
      </c>
      <c r="B120" s="147"/>
      <c r="C120" s="130">
        <v>97.900999999999996</v>
      </c>
      <c r="D120" s="130"/>
      <c r="E120" s="147">
        <v>88.894000000000005</v>
      </c>
      <c r="F120" s="148">
        <v>186.797</v>
      </c>
      <c r="G120" s="133" t="s">
        <v>88</v>
      </c>
      <c r="H120" s="123"/>
    </row>
    <row r="121" spans="1:8" s="70" customFormat="1" ht="11.25" hidden="1" x14ac:dyDescent="0.2">
      <c r="A121" s="146">
        <v>0.02</v>
      </c>
      <c r="B121" s="147"/>
      <c r="C121" s="130">
        <v>114.08799999999999</v>
      </c>
      <c r="D121" s="130"/>
      <c r="E121" s="147">
        <v>100.604</v>
      </c>
      <c r="F121" s="148">
        <v>214.71199999999999</v>
      </c>
      <c r="G121" s="133" t="s">
        <v>89</v>
      </c>
      <c r="H121" s="123"/>
    </row>
    <row r="122" spans="1:8" s="70" customFormat="1" ht="11.25" hidden="1" x14ac:dyDescent="0.2">
      <c r="A122" s="146">
        <v>3.5000000000000003E-2</v>
      </c>
      <c r="B122" s="147"/>
      <c r="C122" s="130">
        <v>310.11</v>
      </c>
      <c r="D122" s="130"/>
      <c r="E122" s="147">
        <v>289.20699999999999</v>
      </c>
      <c r="F122" s="148">
        <v>599.35199999999998</v>
      </c>
      <c r="G122" s="133" t="s">
        <v>51</v>
      </c>
      <c r="H122" s="123"/>
    </row>
    <row r="123" spans="1:8" s="70" customFormat="1" ht="9" hidden="1" customHeight="1" x14ac:dyDescent="0.2">
      <c r="A123" s="143"/>
      <c r="B123" s="144"/>
      <c r="C123" s="119"/>
      <c r="D123" s="119"/>
      <c r="E123" s="144"/>
      <c r="F123" s="145"/>
      <c r="G123" s="122"/>
      <c r="H123" s="123"/>
    </row>
    <row r="124" spans="1:8" s="70" customFormat="1" ht="11.25" hidden="1" x14ac:dyDescent="0.2">
      <c r="A124" s="146">
        <v>0</v>
      </c>
      <c r="B124" s="147"/>
      <c r="C124" s="130">
        <v>96.537000000000006</v>
      </c>
      <c r="D124" s="130"/>
      <c r="E124" s="147">
        <v>100.223</v>
      </c>
      <c r="F124" s="148">
        <v>196.76</v>
      </c>
      <c r="G124" s="133" t="s">
        <v>75</v>
      </c>
      <c r="H124" s="136">
        <v>2015</v>
      </c>
    </row>
    <row r="125" spans="1:8" s="70" customFormat="1" ht="11.25" hidden="1" x14ac:dyDescent="0.2">
      <c r="A125" s="146">
        <v>7.6999999999999999E-2</v>
      </c>
      <c r="B125" s="147"/>
      <c r="C125" s="130">
        <v>87.183999999999997</v>
      </c>
      <c r="D125" s="130"/>
      <c r="E125" s="147">
        <v>97.62700000000001</v>
      </c>
      <c r="F125" s="148">
        <v>184.88799999999998</v>
      </c>
      <c r="G125" s="133" t="s">
        <v>76</v>
      </c>
      <c r="H125" s="123"/>
    </row>
    <row r="126" spans="1:8" s="70" customFormat="1" ht="11.25" hidden="1" x14ac:dyDescent="0.2">
      <c r="A126" s="146">
        <v>0</v>
      </c>
      <c r="B126" s="147"/>
      <c r="C126" s="130">
        <v>122.441</v>
      </c>
      <c r="D126" s="130"/>
      <c r="E126" s="147">
        <v>125.196</v>
      </c>
      <c r="F126" s="148">
        <v>247.637</v>
      </c>
      <c r="G126" s="133" t="s">
        <v>77</v>
      </c>
      <c r="H126" s="123"/>
    </row>
    <row r="127" spans="1:8" s="70" customFormat="1" ht="11.25" hidden="1" x14ac:dyDescent="0.2">
      <c r="A127" s="146">
        <v>7.6999999999999999E-2</v>
      </c>
      <c r="B127" s="147"/>
      <c r="C127" s="130">
        <v>306.16200000000003</v>
      </c>
      <c r="D127" s="130"/>
      <c r="E127" s="147">
        <v>323.04600000000005</v>
      </c>
      <c r="F127" s="148">
        <v>629.28499999999997</v>
      </c>
      <c r="G127" s="133" t="s">
        <v>48</v>
      </c>
      <c r="H127" s="136">
        <v>2015</v>
      </c>
    </row>
    <row r="128" spans="1:8" s="70" customFormat="1" ht="11.25" hidden="1" x14ac:dyDescent="0.2">
      <c r="A128" s="146">
        <v>8.0000000000000002E-3</v>
      </c>
      <c r="B128" s="147"/>
      <c r="C128" s="130">
        <v>107.726</v>
      </c>
      <c r="D128" s="130"/>
      <c r="E128" s="147">
        <v>103.952</v>
      </c>
      <c r="F128" s="148">
        <v>211.68600000000001</v>
      </c>
      <c r="G128" s="133" t="s">
        <v>79</v>
      </c>
      <c r="H128" s="136"/>
    </row>
    <row r="129" spans="1:8" s="70" customFormat="1" ht="11.25" hidden="1" x14ac:dyDescent="0.2">
      <c r="A129" s="146">
        <v>2.7E-2</v>
      </c>
      <c r="B129" s="147"/>
      <c r="C129" s="130">
        <v>110.27500000000001</v>
      </c>
      <c r="D129" s="130"/>
      <c r="E129" s="147">
        <v>96.33</v>
      </c>
      <c r="F129" s="148">
        <v>206.63200000000001</v>
      </c>
      <c r="G129" s="133" t="s">
        <v>80</v>
      </c>
      <c r="H129" s="136"/>
    </row>
    <row r="130" spans="1:8" s="70" customFormat="1" ht="11.25" hidden="1" x14ac:dyDescent="0.2">
      <c r="A130" s="146">
        <v>0</v>
      </c>
      <c r="B130" s="147"/>
      <c r="C130" s="130">
        <v>122.46299999999999</v>
      </c>
      <c r="D130" s="130"/>
      <c r="E130" s="147">
        <v>107.83799999999999</v>
      </c>
      <c r="F130" s="148">
        <v>230.30099999999999</v>
      </c>
      <c r="G130" s="133" t="s">
        <v>81</v>
      </c>
      <c r="H130" s="136"/>
    </row>
    <row r="131" spans="1:8" s="70" customFormat="1" ht="11.25" hidden="1" x14ac:dyDescent="0.2">
      <c r="A131" s="146">
        <v>3.5000000000000003E-2</v>
      </c>
      <c r="B131" s="147"/>
      <c r="C131" s="130">
        <v>340.464</v>
      </c>
      <c r="D131" s="130"/>
      <c r="E131" s="147">
        <v>308.12</v>
      </c>
      <c r="F131" s="148">
        <v>648.61899999999991</v>
      </c>
      <c r="G131" s="133" t="s">
        <v>49</v>
      </c>
      <c r="H131" s="136"/>
    </row>
    <row r="132" spans="1:8" s="70" customFormat="1" ht="11.25" hidden="1" x14ac:dyDescent="0.2">
      <c r="A132" s="146">
        <v>7.0000000000000001E-3</v>
      </c>
      <c r="B132" s="147"/>
      <c r="C132" s="130">
        <v>116.61500000000001</v>
      </c>
      <c r="D132" s="130"/>
      <c r="E132" s="147">
        <v>103.872</v>
      </c>
      <c r="F132" s="148">
        <v>220.494</v>
      </c>
      <c r="G132" s="133" t="s">
        <v>83</v>
      </c>
      <c r="H132" s="136"/>
    </row>
    <row r="133" spans="1:8" s="70" customFormat="1" ht="11.25" hidden="1" x14ac:dyDescent="0.2">
      <c r="A133" s="146">
        <v>0</v>
      </c>
      <c r="B133" s="147"/>
      <c r="C133" s="130">
        <v>115.75</v>
      </c>
      <c r="D133" s="130"/>
      <c r="E133" s="147">
        <v>85.557999999999993</v>
      </c>
      <c r="F133" s="148">
        <v>201.30799999999999</v>
      </c>
      <c r="G133" s="133" t="s">
        <v>84</v>
      </c>
      <c r="H133" s="136"/>
    </row>
    <row r="134" spans="1:8" s="70" customFormat="1" ht="11.25" hidden="1" x14ac:dyDescent="0.2">
      <c r="A134" s="146">
        <v>0</v>
      </c>
      <c r="B134" s="147"/>
      <c r="C134" s="130">
        <v>95.846000000000004</v>
      </c>
      <c r="D134" s="130"/>
      <c r="E134" s="147">
        <v>92.98</v>
      </c>
      <c r="F134" s="148">
        <v>188.82600000000002</v>
      </c>
      <c r="G134" s="133" t="s">
        <v>85</v>
      </c>
      <c r="H134" s="136"/>
    </row>
    <row r="135" spans="1:8" s="70" customFormat="1" ht="11.25" hidden="1" x14ac:dyDescent="0.2">
      <c r="A135" s="146">
        <v>7.0000000000000001E-3</v>
      </c>
      <c r="B135" s="147"/>
      <c r="C135" s="130">
        <v>328.21100000000001</v>
      </c>
      <c r="D135" s="130"/>
      <c r="E135" s="147">
        <v>282.41000000000003</v>
      </c>
      <c r="F135" s="148">
        <v>610.62800000000004</v>
      </c>
      <c r="G135" s="133" t="s">
        <v>50</v>
      </c>
      <c r="H135" s="136"/>
    </row>
    <row r="136" spans="1:8" s="70" customFormat="1" ht="11.25" hidden="1" x14ac:dyDescent="0.2">
      <c r="A136" s="146">
        <v>9.4E-2</v>
      </c>
      <c r="B136" s="147"/>
      <c r="C136" s="130">
        <v>114.184</v>
      </c>
      <c r="D136" s="130"/>
      <c r="E136" s="147">
        <v>100.286</v>
      </c>
      <c r="F136" s="148">
        <v>214.56399999999999</v>
      </c>
      <c r="G136" s="133" t="s">
        <v>87</v>
      </c>
      <c r="H136" s="136"/>
    </row>
    <row r="137" spans="1:8" s="70" customFormat="1" ht="11.25" hidden="1" x14ac:dyDescent="0.2">
      <c r="A137" s="146">
        <v>0</v>
      </c>
      <c r="B137" s="147"/>
      <c r="C137" s="130">
        <v>104.99299999999999</v>
      </c>
      <c r="D137" s="130"/>
      <c r="E137" s="147">
        <v>99.182999999999993</v>
      </c>
      <c r="F137" s="148">
        <v>204.17599999999999</v>
      </c>
      <c r="G137" s="133" t="s">
        <v>88</v>
      </c>
      <c r="H137" s="136"/>
    </row>
    <row r="138" spans="1:8" s="70" customFormat="1" ht="11.25" hidden="1" x14ac:dyDescent="0.2">
      <c r="A138" s="146">
        <v>5.1000000000000004E-2</v>
      </c>
      <c r="B138" s="147"/>
      <c r="C138" s="130">
        <v>112.753</v>
      </c>
      <c r="D138" s="130"/>
      <c r="E138" s="147">
        <v>101.53</v>
      </c>
      <c r="F138" s="148">
        <v>214.334</v>
      </c>
      <c r="G138" s="133" t="s">
        <v>89</v>
      </c>
      <c r="H138" s="136"/>
    </row>
    <row r="139" spans="1:8" s="70" customFormat="1" ht="11.25" hidden="1" x14ac:dyDescent="0.2">
      <c r="A139" s="146">
        <v>0.14500000000000002</v>
      </c>
      <c r="B139" s="147"/>
      <c r="C139" s="130">
        <v>331.93</v>
      </c>
      <c r="D139" s="130"/>
      <c r="E139" s="147">
        <v>300.99900000000002</v>
      </c>
      <c r="F139" s="148">
        <v>633.07400000000007</v>
      </c>
      <c r="G139" s="133" t="s">
        <v>51</v>
      </c>
      <c r="H139" s="136"/>
    </row>
    <row r="140" spans="1:8" s="70" customFormat="1" ht="7.5" hidden="1" customHeight="1" x14ac:dyDescent="0.2">
      <c r="A140" s="143"/>
      <c r="B140" s="144"/>
      <c r="C140" s="119"/>
      <c r="D140" s="119"/>
      <c r="E140" s="144"/>
      <c r="F140" s="145"/>
      <c r="G140" s="122"/>
      <c r="H140" s="123"/>
    </row>
    <row r="141" spans="1:8" s="70" customFormat="1" ht="13.5" hidden="1" customHeight="1" x14ac:dyDescent="0.2">
      <c r="A141" s="146">
        <v>0</v>
      </c>
      <c r="B141" s="147"/>
      <c r="C141" s="130">
        <v>107.58500000000001</v>
      </c>
      <c r="D141" s="130"/>
      <c r="E141" s="147">
        <v>103.429</v>
      </c>
      <c r="F141" s="148">
        <v>211.01400000000001</v>
      </c>
      <c r="G141" s="133" t="s">
        <v>75</v>
      </c>
      <c r="H141" s="136">
        <v>2016</v>
      </c>
    </row>
    <row r="142" spans="1:8" s="70" customFormat="1" ht="13.5" hidden="1" customHeight="1" x14ac:dyDescent="0.2">
      <c r="A142" s="146">
        <v>0</v>
      </c>
      <c r="B142" s="147"/>
      <c r="C142" s="130">
        <v>118.541</v>
      </c>
      <c r="D142" s="130"/>
      <c r="E142" s="147">
        <v>109.82</v>
      </c>
      <c r="F142" s="148">
        <v>228.36099999999999</v>
      </c>
      <c r="G142" s="133" t="s">
        <v>76</v>
      </c>
      <c r="H142" s="136"/>
    </row>
    <row r="143" spans="1:8" s="70" customFormat="1" ht="13.5" hidden="1" customHeight="1" x14ac:dyDescent="0.2">
      <c r="A143" s="146">
        <v>2.4E-2</v>
      </c>
      <c r="B143" s="147"/>
      <c r="C143" s="130">
        <v>127.047</v>
      </c>
      <c r="D143" s="130"/>
      <c r="E143" s="147">
        <v>124.40600000000001</v>
      </c>
      <c r="F143" s="148">
        <v>251.477</v>
      </c>
      <c r="G143" s="133" t="s">
        <v>77</v>
      </c>
      <c r="H143" s="136"/>
    </row>
    <row r="144" spans="1:8" s="70" customFormat="1" ht="13.5" hidden="1" customHeight="1" x14ac:dyDescent="0.2">
      <c r="A144" s="146">
        <v>2.4E-2</v>
      </c>
      <c r="B144" s="147"/>
      <c r="C144" s="130">
        <v>353.173</v>
      </c>
      <c r="D144" s="130"/>
      <c r="E144" s="147">
        <v>337.65499999999997</v>
      </c>
      <c r="F144" s="148">
        <v>690.85199999999998</v>
      </c>
      <c r="G144" s="133" t="s">
        <v>48</v>
      </c>
      <c r="H144" s="136">
        <v>2016</v>
      </c>
    </row>
    <row r="145" spans="1:8" s="70" customFormat="1" ht="13.5" hidden="1" customHeight="1" x14ac:dyDescent="0.2">
      <c r="A145" s="146">
        <v>0</v>
      </c>
      <c r="B145" s="147"/>
      <c r="C145" s="130">
        <v>113.17</v>
      </c>
      <c r="D145" s="130"/>
      <c r="E145" s="147">
        <v>99.603999999999999</v>
      </c>
      <c r="F145" s="148">
        <v>212.774</v>
      </c>
      <c r="G145" s="133" t="s">
        <v>79</v>
      </c>
      <c r="H145" s="136"/>
    </row>
    <row r="146" spans="1:8" s="70" customFormat="1" ht="13.5" hidden="1" customHeight="1" x14ac:dyDescent="0.2">
      <c r="A146" s="146">
        <v>1.4999999999999999E-2</v>
      </c>
      <c r="B146" s="147"/>
      <c r="C146" s="130">
        <v>134.577</v>
      </c>
      <c r="D146" s="130"/>
      <c r="E146" s="147">
        <v>107.661</v>
      </c>
      <c r="F146" s="148">
        <v>242.25299999999999</v>
      </c>
      <c r="G146" s="133" t="s">
        <v>80</v>
      </c>
      <c r="H146" s="136"/>
    </row>
    <row r="147" spans="1:8" s="70" customFormat="1" ht="13.5" hidden="1" customHeight="1" x14ac:dyDescent="0.2">
      <c r="A147" s="146">
        <v>8.5999999999999993E-2</v>
      </c>
      <c r="B147" s="147"/>
      <c r="C147" s="130">
        <v>124.959</v>
      </c>
      <c r="D147" s="130"/>
      <c r="E147" s="147">
        <v>111.42099999999999</v>
      </c>
      <c r="F147" s="148">
        <v>236.46600000000001</v>
      </c>
      <c r="G147" s="133" t="s">
        <v>81</v>
      </c>
      <c r="H147" s="136"/>
    </row>
    <row r="148" spans="1:8" s="70" customFormat="1" ht="13.5" hidden="1" customHeight="1" x14ac:dyDescent="0.2">
      <c r="A148" s="146">
        <v>0.10099999999999999</v>
      </c>
      <c r="B148" s="147"/>
      <c r="C148" s="130">
        <v>372.70600000000002</v>
      </c>
      <c r="D148" s="130"/>
      <c r="E148" s="147">
        <v>318.68599999999998</v>
      </c>
      <c r="F148" s="148">
        <v>691.49299999999994</v>
      </c>
      <c r="G148" s="133" t="s">
        <v>49</v>
      </c>
      <c r="H148" s="136"/>
    </row>
    <row r="149" spans="1:8" s="70" customFormat="1" ht="13.5" hidden="1" customHeight="1" x14ac:dyDescent="0.2">
      <c r="A149" s="146">
        <v>8.0000000000000002E-3</v>
      </c>
      <c r="B149" s="147"/>
      <c r="C149" s="130">
        <v>132.733</v>
      </c>
      <c r="D149" s="130"/>
      <c r="E149" s="147">
        <v>102.178</v>
      </c>
      <c r="F149" s="148">
        <v>234.91900000000001</v>
      </c>
      <c r="G149" s="133" t="s">
        <v>83</v>
      </c>
      <c r="H149" s="136"/>
    </row>
    <row r="150" spans="1:8" s="70" customFormat="1" ht="13.5" hidden="1" customHeight="1" x14ac:dyDescent="0.2">
      <c r="A150" s="146">
        <v>0</v>
      </c>
      <c r="B150" s="147"/>
      <c r="C150" s="130">
        <v>135.28700000000001</v>
      </c>
      <c r="D150" s="130"/>
      <c r="E150" s="147">
        <v>106.55199999999999</v>
      </c>
      <c r="F150" s="148">
        <v>241.839</v>
      </c>
      <c r="G150" s="133" t="s">
        <v>84</v>
      </c>
      <c r="H150" s="136"/>
    </row>
    <row r="151" spans="1:8" s="70" customFormat="1" ht="13.5" hidden="1" customHeight="1" x14ac:dyDescent="0.2">
      <c r="A151" s="146">
        <v>2.5000000000000001E-2</v>
      </c>
      <c r="B151" s="147"/>
      <c r="C151" s="130">
        <v>119.52800000000001</v>
      </c>
      <c r="D151" s="130"/>
      <c r="E151" s="147">
        <v>104.877</v>
      </c>
      <c r="F151" s="148">
        <v>224.43</v>
      </c>
      <c r="G151" s="133" t="s">
        <v>85</v>
      </c>
      <c r="H151" s="136"/>
    </row>
    <row r="152" spans="1:8" s="70" customFormat="1" ht="13.5" hidden="1" customHeight="1" x14ac:dyDescent="0.2">
      <c r="A152" s="146">
        <v>3.3000000000000002E-2</v>
      </c>
      <c r="B152" s="147"/>
      <c r="C152" s="130">
        <v>387.548</v>
      </c>
      <c r="D152" s="130"/>
      <c r="E152" s="147">
        <v>313.60699999999997</v>
      </c>
      <c r="F152" s="148">
        <v>701.1880000000001</v>
      </c>
      <c r="G152" s="133" t="s">
        <v>50</v>
      </c>
      <c r="H152" s="136"/>
    </row>
    <row r="153" spans="1:8" s="70" customFormat="1" ht="13.5" hidden="1" customHeight="1" x14ac:dyDescent="0.2">
      <c r="A153" s="146">
        <v>3.5999999999999997E-2</v>
      </c>
      <c r="B153" s="147"/>
      <c r="C153" s="130">
        <v>95.417000000000002</v>
      </c>
      <c r="D153" s="130"/>
      <c r="E153" s="147">
        <v>94.866</v>
      </c>
      <c r="F153" s="148">
        <v>190.31900000000002</v>
      </c>
      <c r="G153" s="133" t="s">
        <v>87</v>
      </c>
      <c r="H153" s="136"/>
    </row>
    <row r="154" spans="1:8" s="70" customFormat="1" ht="13.5" hidden="1" customHeight="1" x14ac:dyDescent="0.2">
      <c r="A154" s="146">
        <v>0</v>
      </c>
      <c r="B154" s="147"/>
      <c r="C154" s="130">
        <v>120.578</v>
      </c>
      <c r="D154" s="130"/>
      <c r="E154" s="147">
        <v>100.878</v>
      </c>
      <c r="F154" s="148">
        <v>221.45600000000002</v>
      </c>
      <c r="G154" s="133" t="s">
        <v>88</v>
      </c>
      <c r="H154" s="136"/>
    </row>
    <row r="155" spans="1:8" s="70" customFormat="1" ht="13.5" hidden="1" customHeight="1" x14ac:dyDescent="0.2">
      <c r="A155" s="146">
        <v>0.1</v>
      </c>
      <c r="B155" s="147"/>
      <c r="C155" s="130">
        <v>113.654</v>
      </c>
      <c r="D155" s="130"/>
      <c r="E155" s="147">
        <v>102.246</v>
      </c>
      <c r="F155" s="148">
        <v>216</v>
      </c>
      <c r="G155" s="133" t="s">
        <v>89</v>
      </c>
      <c r="H155" s="136"/>
    </row>
    <row r="156" spans="1:8" s="70" customFormat="1" ht="13.5" hidden="1" customHeight="1" x14ac:dyDescent="0.2">
      <c r="A156" s="146">
        <v>0.13600000000000001</v>
      </c>
      <c r="B156" s="147"/>
      <c r="C156" s="130">
        <v>329.649</v>
      </c>
      <c r="D156" s="130"/>
      <c r="E156" s="147">
        <v>297.99</v>
      </c>
      <c r="F156" s="148">
        <v>627.77500000000009</v>
      </c>
      <c r="G156" s="133" t="s">
        <v>51</v>
      </c>
      <c r="H156" s="136"/>
    </row>
    <row r="157" spans="1:8" s="70" customFormat="1" ht="13.5" hidden="1" customHeight="1" x14ac:dyDescent="0.2">
      <c r="A157" s="143"/>
      <c r="B157" s="144"/>
      <c r="C157" s="119"/>
      <c r="D157" s="119"/>
      <c r="E157" s="144"/>
      <c r="F157" s="145"/>
      <c r="G157" s="122"/>
      <c r="H157" s="123"/>
    </row>
    <row r="158" spans="1:8" s="70" customFormat="1" ht="13.5" hidden="1" customHeight="1" x14ac:dyDescent="0.2">
      <c r="A158" s="146">
        <v>3.6999999999999998E-2</v>
      </c>
      <c r="B158" s="147"/>
      <c r="C158" s="130">
        <v>126.98299999999999</v>
      </c>
      <c r="D158" s="130"/>
      <c r="E158" s="147">
        <v>116.80199999999999</v>
      </c>
      <c r="F158" s="148">
        <v>243.822</v>
      </c>
      <c r="G158" s="133" t="s">
        <v>75</v>
      </c>
      <c r="H158" s="136">
        <v>2017</v>
      </c>
    </row>
    <row r="159" spans="1:8" s="70" customFormat="1" ht="13.5" hidden="1" customHeight="1" x14ac:dyDescent="0.2">
      <c r="A159" s="146">
        <v>2.4E-2</v>
      </c>
      <c r="B159" s="147"/>
      <c r="C159" s="130">
        <v>117.643</v>
      </c>
      <c r="D159" s="130"/>
      <c r="E159" s="147">
        <v>109.03700000000001</v>
      </c>
      <c r="F159" s="148">
        <v>226.70400000000001</v>
      </c>
      <c r="G159" s="133" t="s">
        <v>76</v>
      </c>
      <c r="H159" s="136"/>
    </row>
    <row r="160" spans="1:8" s="70" customFormat="1" ht="13.5" hidden="1" customHeight="1" x14ac:dyDescent="0.2">
      <c r="A160" s="146">
        <v>0</v>
      </c>
      <c r="B160" s="147"/>
      <c r="C160" s="130">
        <v>126.78700000000001</v>
      </c>
      <c r="D160" s="130"/>
      <c r="E160" s="147">
        <v>124.34700000000001</v>
      </c>
      <c r="F160" s="148">
        <v>251.13400000000001</v>
      </c>
      <c r="G160" s="133" t="s">
        <v>77</v>
      </c>
      <c r="H160" s="136"/>
    </row>
    <row r="161" spans="1:8" s="70" customFormat="1" ht="13.5" hidden="1" customHeight="1" x14ac:dyDescent="0.2">
      <c r="A161" s="146">
        <v>6.0999999999999999E-2</v>
      </c>
      <c r="B161" s="147"/>
      <c r="C161" s="130">
        <v>371.41300000000001</v>
      </c>
      <c r="D161" s="130"/>
      <c r="E161" s="147">
        <v>350.18600000000004</v>
      </c>
      <c r="F161" s="148">
        <v>721.66000000000008</v>
      </c>
      <c r="G161" s="133" t="s">
        <v>48</v>
      </c>
      <c r="H161" s="136">
        <v>2017</v>
      </c>
    </row>
    <row r="162" spans="1:8" s="70" customFormat="1" ht="13.5" hidden="1" customHeight="1" x14ac:dyDescent="0.2">
      <c r="A162" s="146">
        <v>0</v>
      </c>
      <c r="B162" s="147"/>
      <c r="C162" s="130">
        <v>121.339</v>
      </c>
      <c r="D162" s="130"/>
      <c r="E162" s="147">
        <v>120.904</v>
      </c>
      <c r="F162" s="148">
        <v>242.24299999999999</v>
      </c>
      <c r="G162" s="133" t="s">
        <v>79</v>
      </c>
      <c r="H162" s="136"/>
    </row>
    <row r="163" spans="1:8" s="70" customFormat="1" ht="13.5" hidden="1" customHeight="1" x14ac:dyDescent="0.2">
      <c r="A163" s="146">
        <v>1.2E-2</v>
      </c>
      <c r="B163" s="147"/>
      <c r="C163" s="130">
        <v>139.73699999999999</v>
      </c>
      <c r="D163" s="130"/>
      <c r="E163" s="147">
        <v>121.575</v>
      </c>
      <c r="F163" s="148">
        <v>261.32399999999996</v>
      </c>
      <c r="G163" s="133" t="s">
        <v>80</v>
      </c>
      <c r="H163" s="136"/>
    </row>
    <row r="164" spans="1:8" s="70" customFormat="1" ht="13.5" hidden="1" customHeight="1" x14ac:dyDescent="0.2">
      <c r="A164" s="146">
        <v>0</v>
      </c>
      <c r="B164" s="147"/>
      <c r="C164" s="130">
        <v>140.98699999999999</v>
      </c>
      <c r="D164" s="130"/>
      <c r="E164" s="147">
        <v>121.25999999999999</v>
      </c>
      <c r="F164" s="148">
        <v>262.24699999999996</v>
      </c>
      <c r="G164" s="133" t="s">
        <v>81</v>
      </c>
      <c r="H164" s="136"/>
    </row>
    <row r="165" spans="1:8" s="70" customFormat="1" ht="13.5" hidden="1" customHeight="1" x14ac:dyDescent="0.2">
      <c r="A165" s="146">
        <v>1.2E-2</v>
      </c>
      <c r="B165" s="147"/>
      <c r="C165" s="130">
        <v>402.06299999999999</v>
      </c>
      <c r="D165" s="130"/>
      <c r="E165" s="147">
        <v>363.73899999999998</v>
      </c>
      <c r="F165" s="148">
        <v>765.81399999999985</v>
      </c>
      <c r="G165" s="133" t="s">
        <v>49</v>
      </c>
      <c r="H165" s="136"/>
    </row>
    <row r="166" spans="1:8" s="70" customFormat="1" ht="13.5" hidden="1" customHeight="1" x14ac:dyDescent="0.2">
      <c r="A166" s="146">
        <v>0</v>
      </c>
      <c r="B166" s="147"/>
      <c r="C166" s="130">
        <v>133.20400000000001</v>
      </c>
      <c r="D166" s="130"/>
      <c r="E166" s="147">
        <v>109.393</v>
      </c>
      <c r="F166" s="148">
        <v>242.59699999999998</v>
      </c>
      <c r="G166" s="133" t="s">
        <v>83</v>
      </c>
      <c r="H166" s="136"/>
    </row>
    <row r="167" spans="1:8" s="70" customFormat="1" ht="13.5" hidden="1" customHeight="1" x14ac:dyDescent="0.2">
      <c r="A167" s="146">
        <v>1.2999999999999999E-2</v>
      </c>
      <c r="B167" s="147"/>
      <c r="C167" s="130">
        <v>130.595</v>
      </c>
      <c r="D167" s="130"/>
      <c r="E167" s="147">
        <v>110.45</v>
      </c>
      <c r="F167" s="148">
        <v>241.05799999999999</v>
      </c>
      <c r="G167" s="133" t="s">
        <v>84</v>
      </c>
      <c r="H167" s="136"/>
    </row>
    <row r="168" spans="1:8" s="70" customFormat="1" ht="13.5" hidden="1" customHeight="1" x14ac:dyDescent="0.2">
      <c r="A168" s="146">
        <v>1.4E-2</v>
      </c>
      <c r="B168" s="147"/>
      <c r="C168" s="130">
        <v>115.407</v>
      </c>
      <c r="D168" s="130"/>
      <c r="E168" s="147">
        <v>98.573999999999998</v>
      </c>
      <c r="F168" s="148">
        <v>213.995</v>
      </c>
      <c r="G168" s="133" t="s">
        <v>85</v>
      </c>
      <c r="H168" s="136"/>
    </row>
    <row r="169" spans="1:8" s="70" customFormat="1" ht="13.5" hidden="1" customHeight="1" x14ac:dyDescent="0.2">
      <c r="A169" s="146">
        <v>2.7E-2</v>
      </c>
      <c r="B169" s="147"/>
      <c r="C169" s="130">
        <v>379.20599999999996</v>
      </c>
      <c r="D169" s="130"/>
      <c r="E169" s="147">
        <v>318.41700000000003</v>
      </c>
      <c r="F169" s="148">
        <v>697.65</v>
      </c>
      <c r="G169" s="133" t="s">
        <v>50</v>
      </c>
      <c r="H169" s="136"/>
    </row>
    <row r="170" spans="1:8" s="70" customFormat="1" ht="13.5" hidden="1" customHeight="1" x14ac:dyDescent="0.2">
      <c r="A170" s="146">
        <v>6.0999999999999999E-2</v>
      </c>
      <c r="B170" s="147"/>
      <c r="C170" s="130">
        <v>122.07400000000001</v>
      </c>
      <c r="D170" s="130"/>
      <c r="E170" s="147">
        <v>103.22199999999999</v>
      </c>
      <c r="F170" s="148">
        <v>225.357</v>
      </c>
      <c r="G170" s="133" t="s">
        <v>87</v>
      </c>
      <c r="H170" s="136"/>
    </row>
    <row r="171" spans="1:8" s="70" customFormat="1" ht="13.5" hidden="1" customHeight="1" x14ac:dyDescent="0.2">
      <c r="A171" s="146">
        <v>2.7999999999999997E-2</v>
      </c>
      <c r="B171" s="147"/>
      <c r="C171" s="130">
        <v>123.967</v>
      </c>
      <c r="D171" s="130"/>
      <c r="E171" s="147">
        <v>104.43</v>
      </c>
      <c r="F171" s="148">
        <v>228.42500000000001</v>
      </c>
      <c r="G171" s="133" t="s">
        <v>88</v>
      </c>
      <c r="H171" s="136"/>
    </row>
    <row r="172" spans="1:8" s="70" customFormat="1" ht="13.5" hidden="1" customHeight="1" x14ac:dyDescent="0.2">
      <c r="A172" s="146">
        <v>3.4999999999999996E-2</v>
      </c>
      <c r="B172" s="147"/>
      <c r="C172" s="130">
        <v>126.749</v>
      </c>
      <c r="D172" s="130"/>
      <c r="E172" s="147">
        <v>103.31100000000001</v>
      </c>
      <c r="F172" s="148">
        <v>230.095</v>
      </c>
      <c r="G172" s="133" t="s">
        <v>89</v>
      </c>
      <c r="H172" s="136"/>
    </row>
    <row r="173" spans="1:8" s="70" customFormat="1" ht="13.5" hidden="1" customHeight="1" x14ac:dyDescent="0.2">
      <c r="A173" s="146">
        <v>0.124</v>
      </c>
      <c r="B173" s="147"/>
      <c r="C173" s="130">
        <v>372.78999999999996</v>
      </c>
      <c r="D173" s="130"/>
      <c r="E173" s="147">
        <v>310.96299999999997</v>
      </c>
      <c r="F173" s="148">
        <v>683.87700000000007</v>
      </c>
      <c r="G173" s="133" t="s">
        <v>51</v>
      </c>
      <c r="H173" s="136"/>
    </row>
    <row r="174" spans="1:8" s="70" customFormat="1" ht="9" hidden="1" customHeight="1" x14ac:dyDescent="0.2">
      <c r="A174" s="143"/>
      <c r="B174" s="144"/>
      <c r="C174" s="119"/>
      <c r="D174" s="119"/>
      <c r="E174" s="144"/>
      <c r="F174" s="145"/>
      <c r="G174" s="122"/>
      <c r="H174" s="123"/>
    </row>
    <row r="175" spans="1:8" s="70" customFormat="1" ht="13.5" hidden="1" customHeight="1" x14ac:dyDescent="0.2">
      <c r="A175" s="146">
        <v>0</v>
      </c>
      <c r="B175" s="147"/>
      <c r="C175" s="147">
        <v>121.78400000000001</v>
      </c>
      <c r="D175" s="147"/>
      <c r="E175" s="147">
        <v>112.40299999999999</v>
      </c>
      <c r="F175" s="148">
        <v>234.18700000000001</v>
      </c>
      <c r="G175" s="133" t="s">
        <v>75</v>
      </c>
      <c r="H175" s="136">
        <v>2018</v>
      </c>
    </row>
    <row r="176" spans="1:8" s="70" customFormat="1" ht="13.5" hidden="1" customHeight="1" x14ac:dyDescent="0.2">
      <c r="A176" s="146">
        <v>0</v>
      </c>
      <c r="B176" s="147"/>
      <c r="C176" s="147">
        <v>108.88500000000001</v>
      </c>
      <c r="D176" s="147"/>
      <c r="E176" s="147">
        <v>112.63800000000001</v>
      </c>
      <c r="F176" s="148">
        <v>221.52300000000002</v>
      </c>
      <c r="G176" s="133" t="s">
        <v>76</v>
      </c>
      <c r="H176" s="136"/>
    </row>
    <row r="177" spans="1:8" s="70" customFormat="1" ht="13.5" hidden="1" customHeight="1" x14ac:dyDescent="0.2">
      <c r="A177" s="146">
        <v>1.4999999999999999E-2</v>
      </c>
      <c r="B177" s="147"/>
      <c r="C177" s="147">
        <v>122.666</v>
      </c>
      <c r="D177" s="147"/>
      <c r="E177" s="147">
        <v>126.79900000000001</v>
      </c>
      <c r="F177" s="148">
        <v>249.48000000000002</v>
      </c>
      <c r="G177" s="133" t="s">
        <v>77</v>
      </c>
      <c r="H177" s="136"/>
    </row>
    <row r="178" spans="1:8" s="70" customFormat="1" ht="13.5" customHeight="1" x14ac:dyDescent="0.2">
      <c r="A178" s="146">
        <v>1.4999999999999999E-2</v>
      </c>
      <c r="B178" s="147"/>
      <c r="C178" s="147">
        <v>353.33500000000004</v>
      </c>
      <c r="D178" s="147"/>
      <c r="E178" s="147">
        <v>351.84000000000003</v>
      </c>
      <c r="F178" s="148">
        <v>705.19</v>
      </c>
      <c r="G178" s="133" t="s">
        <v>48</v>
      </c>
      <c r="H178" s="136">
        <v>2018</v>
      </c>
    </row>
    <row r="179" spans="1:8" s="70" customFormat="1" ht="13.5" hidden="1" customHeight="1" x14ac:dyDescent="0.2">
      <c r="A179" s="146">
        <v>2E-3</v>
      </c>
      <c r="B179" s="147"/>
      <c r="C179" s="147">
        <v>117.145</v>
      </c>
      <c r="D179" s="147"/>
      <c r="E179" s="147">
        <v>130.68299999999999</v>
      </c>
      <c r="F179" s="148">
        <v>247.82999999999998</v>
      </c>
      <c r="G179" s="133" t="s">
        <v>79</v>
      </c>
      <c r="H179" s="136"/>
    </row>
    <row r="180" spans="1:8" s="70" customFormat="1" ht="13.5" hidden="1" customHeight="1" x14ac:dyDescent="0.2">
      <c r="A180" s="146">
        <v>0</v>
      </c>
      <c r="B180" s="147"/>
      <c r="C180" s="147">
        <v>109.438</v>
      </c>
      <c r="D180" s="147"/>
      <c r="E180" s="147">
        <v>127.879</v>
      </c>
      <c r="F180" s="148">
        <v>237.31700000000001</v>
      </c>
      <c r="G180" s="133" t="s">
        <v>80</v>
      </c>
      <c r="H180" s="136"/>
    </row>
    <row r="181" spans="1:8" s="70" customFormat="1" ht="13.5" hidden="1" customHeight="1" x14ac:dyDescent="0.2">
      <c r="A181" s="146">
        <v>0</v>
      </c>
      <c r="B181" s="147"/>
      <c r="C181" s="147">
        <v>132.21699999999998</v>
      </c>
      <c r="D181" s="147"/>
      <c r="E181" s="147">
        <v>131.55799999999999</v>
      </c>
      <c r="F181" s="148">
        <v>263.77499999999998</v>
      </c>
      <c r="G181" s="133" t="s">
        <v>81</v>
      </c>
      <c r="H181" s="136"/>
    </row>
    <row r="182" spans="1:8" s="70" customFormat="1" ht="13.5" customHeight="1" x14ac:dyDescent="0.2">
      <c r="A182" s="146">
        <v>2E-3</v>
      </c>
      <c r="B182" s="147"/>
      <c r="C182" s="147">
        <v>358.79999999999995</v>
      </c>
      <c r="D182" s="147"/>
      <c r="E182" s="147">
        <v>390.12</v>
      </c>
      <c r="F182" s="148">
        <v>748.92200000000003</v>
      </c>
      <c r="G182" s="133" t="s">
        <v>49</v>
      </c>
      <c r="H182" s="136"/>
    </row>
    <row r="183" spans="1:8" s="70" customFormat="1" ht="13.5" hidden="1" customHeight="1" x14ac:dyDescent="0.2">
      <c r="A183" s="146">
        <v>1.7999999999999999E-2</v>
      </c>
      <c r="B183" s="147"/>
      <c r="C183" s="147">
        <v>142.31800000000001</v>
      </c>
      <c r="D183" s="147"/>
      <c r="E183" s="147">
        <v>135.91399999999999</v>
      </c>
      <c r="F183" s="148">
        <v>278.25</v>
      </c>
      <c r="G183" s="133" t="s">
        <v>83</v>
      </c>
      <c r="H183" s="136"/>
    </row>
    <row r="184" spans="1:8" s="70" customFormat="1" ht="13.5" hidden="1" customHeight="1" x14ac:dyDescent="0.2">
      <c r="A184" s="146">
        <v>0.10100000000000001</v>
      </c>
      <c r="B184" s="147"/>
      <c r="C184" s="147">
        <v>136.64100000000002</v>
      </c>
      <c r="D184" s="147"/>
      <c r="E184" s="147">
        <v>127.70099999999999</v>
      </c>
      <c r="F184" s="148">
        <v>264.44299999999998</v>
      </c>
      <c r="G184" s="133" t="s">
        <v>84</v>
      </c>
      <c r="H184" s="136"/>
    </row>
    <row r="185" spans="1:8" s="70" customFormat="1" ht="13.5" hidden="1" customHeight="1" x14ac:dyDescent="0.2">
      <c r="A185" s="146">
        <v>2.7E-2</v>
      </c>
      <c r="B185" s="147"/>
      <c r="C185" s="147">
        <v>95.956000000000003</v>
      </c>
      <c r="D185" s="147"/>
      <c r="E185" s="147">
        <v>111.05199999999999</v>
      </c>
      <c r="F185" s="148">
        <v>207.035</v>
      </c>
      <c r="G185" s="133" t="s">
        <v>85</v>
      </c>
      <c r="H185" s="136"/>
    </row>
    <row r="186" spans="1:8" s="70" customFormat="1" ht="13.5" customHeight="1" x14ac:dyDescent="0.2">
      <c r="A186" s="146">
        <v>0.14600000000000002</v>
      </c>
      <c r="B186" s="147"/>
      <c r="C186" s="147">
        <v>374.91500000000008</v>
      </c>
      <c r="D186" s="147"/>
      <c r="E186" s="147">
        <v>374.66700000000003</v>
      </c>
      <c r="F186" s="148">
        <v>749.72799999999995</v>
      </c>
      <c r="G186" s="133" t="s">
        <v>50</v>
      </c>
      <c r="H186" s="136"/>
    </row>
    <row r="187" spans="1:8" s="70" customFormat="1" ht="13.5" hidden="1" customHeight="1" x14ac:dyDescent="0.2">
      <c r="A187" s="146">
        <v>2E-3</v>
      </c>
      <c r="B187" s="147"/>
      <c r="C187" s="147">
        <v>137.108</v>
      </c>
      <c r="D187" s="147"/>
      <c r="E187" s="147">
        <v>121.55200000000001</v>
      </c>
      <c r="F187" s="148">
        <v>258.66199999999998</v>
      </c>
      <c r="G187" s="133" t="s">
        <v>87</v>
      </c>
      <c r="H187" s="136"/>
    </row>
    <row r="188" spans="1:8" s="70" customFormat="1" ht="13.5" hidden="1" customHeight="1" x14ac:dyDescent="0.2">
      <c r="A188" s="146">
        <v>0</v>
      </c>
      <c r="B188" s="147"/>
      <c r="C188" s="147">
        <v>130.572</v>
      </c>
      <c r="D188" s="147"/>
      <c r="E188" s="147">
        <v>119.024</v>
      </c>
      <c r="F188" s="148">
        <v>249.596</v>
      </c>
      <c r="G188" s="133" t="s">
        <v>88</v>
      </c>
      <c r="H188" s="136"/>
    </row>
    <row r="189" spans="1:8" s="70" customFormat="1" ht="13.5" hidden="1" customHeight="1" x14ac:dyDescent="0.2">
      <c r="A189" s="146">
        <v>5.5E-2</v>
      </c>
      <c r="B189" s="147"/>
      <c r="C189" s="147">
        <v>122.48100000000001</v>
      </c>
      <c r="D189" s="147"/>
      <c r="E189" s="147">
        <v>111.947</v>
      </c>
      <c r="F189" s="148">
        <v>234.483</v>
      </c>
      <c r="G189" s="133" t="s">
        <v>89</v>
      </c>
      <c r="H189" s="136"/>
    </row>
    <row r="190" spans="1:8" s="70" customFormat="1" ht="13.5" customHeight="1" x14ac:dyDescent="0.2">
      <c r="A190" s="146">
        <v>5.7000000000000002E-2</v>
      </c>
      <c r="B190" s="147"/>
      <c r="C190" s="147">
        <v>390.161</v>
      </c>
      <c r="D190" s="147"/>
      <c r="E190" s="147">
        <v>352.52300000000002</v>
      </c>
      <c r="F190" s="148">
        <v>742.74099999999999</v>
      </c>
      <c r="G190" s="133" t="s">
        <v>51</v>
      </c>
      <c r="H190" s="136"/>
    </row>
    <row r="191" spans="1:8" s="70" customFormat="1" ht="13.5" customHeight="1" x14ac:dyDescent="0.2">
      <c r="A191" s="143"/>
      <c r="B191" s="144"/>
      <c r="C191" s="144"/>
      <c r="D191" s="144"/>
      <c r="E191" s="144"/>
      <c r="F191" s="145"/>
      <c r="G191" s="122"/>
      <c r="H191" s="123"/>
    </row>
    <row r="192" spans="1:8" s="70" customFormat="1" ht="13.5" hidden="1" customHeight="1" x14ac:dyDescent="0.2">
      <c r="A192" s="143">
        <v>1.6E-2</v>
      </c>
      <c r="B192" s="144"/>
      <c r="C192" s="144">
        <v>122.983</v>
      </c>
      <c r="D192" s="144"/>
      <c r="E192" s="144">
        <v>123.01300000000001</v>
      </c>
      <c r="F192" s="145">
        <v>246.012</v>
      </c>
      <c r="G192" s="122" t="s">
        <v>75</v>
      </c>
      <c r="H192" s="123">
        <v>2019</v>
      </c>
    </row>
    <row r="193" spans="1:8" s="70" customFormat="1" ht="13.5" hidden="1" customHeight="1" x14ac:dyDescent="0.2">
      <c r="A193" s="143">
        <v>0</v>
      </c>
      <c r="B193" s="144"/>
      <c r="C193" s="144">
        <v>134.80000000000001</v>
      </c>
      <c r="D193" s="144"/>
      <c r="E193" s="144">
        <v>106.443</v>
      </c>
      <c r="F193" s="145">
        <v>241.24299999999999</v>
      </c>
      <c r="G193" s="122" t="s">
        <v>76</v>
      </c>
      <c r="H193" s="123"/>
    </row>
    <row r="194" spans="1:8" s="70" customFormat="1" ht="13.5" hidden="1" customHeight="1" x14ac:dyDescent="0.2">
      <c r="A194" s="143">
        <v>0.01</v>
      </c>
      <c r="B194" s="144"/>
      <c r="C194" s="144">
        <v>117.96299999999999</v>
      </c>
      <c r="D194" s="144"/>
      <c r="E194" s="144">
        <v>125.74600000000001</v>
      </c>
      <c r="F194" s="145">
        <v>243.71899999999999</v>
      </c>
      <c r="G194" s="122" t="s">
        <v>77</v>
      </c>
      <c r="H194" s="123"/>
    </row>
    <row r="195" spans="1:8" s="70" customFormat="1" ht="13.5" customHeight="1" x14ac:dyDescent="0.2">
      <c r="A195" s="146">
        <v>2.6000000000000002E-2</v>
      </c>
      <c r="B195" s="147"/>
      <c r="C195" s="147">
        <v>375.74599999999998</v>
      </c>
      <c r="D195" s="147"/>
      <c r="E195" s="147">
        <v>355.202</v>
      </c>
      <c r="F195" s="148">
        <v>730.97399999999993</v>
      </c>
      <c r="G195" s="133" t="s">
        <v>48</v>
      </c>
      <c r="H195" s="136">
        <v>2019</v>
      </c>
    </row>
    <row r="196" spans="1:8" s="70" customFormat="1" ht="13.5" hidden="1" customHeight="1" x14ac:dyDescent="0.2">
      <c r="A196" s="146">
        <v>0</v>
      </c>
      <c r="B196" s="147"/>
      <c r="C196" s="147">
        <v>134.52300000000002</v>
      </c>
      <c r="D196" s="147"/>
      <c r="E196" s="147">
        <v>127.316</v>
      </c>
      <c r="F196" s="148">
        <v>261.839</v>
      </c>
      <c r="G196" s="133" t="s">
        <v>79</v>
      </c>
      <c r="H196" s="136"/>
    </row>
    <row r="197" spans="1:8" s="70" customFormat="1" ht="13.5" hidden="1" customHeight="1" x14ac:dyDescent="0.2">
      <c r="A197" s="146">
        <v>0</v>
      </c>
      <c r="B197" s="147"/>
      <c r="C197" s="147">
        <v>129.55700000000002</v>
      </c>
      <c r="D197" s="147"/>
      <c r="E197" s="147">
        <v>118.131</v>
      </c>
      <c r="F197" s="148">
        <v>247.68799999999999</v>
      </c>
      <c r="G197" s="133" t="s">
        <v>80</v>
      </c>
      <c r="H197" s="136"/>
    </row>
    <row r="198" spans="1:8" s="70" customFormat="1" ht="13.5" hidden="1" customHeight="1" x14ac:dyDescent="0.2">
      <c r="A198" s="146">
        <v>5.0000000000000001E-3</v>
      </c>
      <c r="B198" s="147"/>
      <c r="C198" s="147">
        <v>138.893</v>
      </c>
      <c r="D198" s="147"/>
      <c r="E198" s="147">
        <v>112.027</v>
      </c>
      <c r="F198" s="148">
        <v>250.92500000000001</v>
      </c>
      <c r="G198" s="133" t="s">
        <v>81</v>
      </c>
      <c r="H198" s="136"/>
    </row>
    <row r="199" spans="1:8" s="70" customFormat="1" ht="13.5" customHeight="1" x14ac:dyDescent="0.2">
      <c r="A199" s="146">
        <v>5.0000000000000001E-3</v>
      </c>
      <c r="B199" s="147"/>
      <c r="C199" s="147">
        <v>402.97300000000007</v>
      </c>
      <c r="D199" s="147"/>
      <c r="E199" s="147">
        <v>357.47399999999999</v>
      </c>
      <c r="F199" s="148">
        <v>760.452</v>
      </c>
      <c r="G199" s="133" t="s">
        <v>49</v>
      </c>
      <c r="H199" s="136"/>
    </row>
    <row r="200" spans="1:8" s="70" customFormat="1" ht="13.5" hidden="1" customHeight="1" x14ac:dyDescent="0.2">
      <c r="A200" s="146">
        <v>3.7999999999999999E-2</v>
      </c>
      <c r="B200" s="147"/>
      <c r="C200" s="147">
        <v>149.56799999999998</v>
      </c>
      <c r="D200" s="147"/>
      <c r="E200" s="147">
        <v>116.265</v>
      </c>
      <c r="F200" s="148">
        <v>265.87099999999998</v>
      </c>
      <c r="G200" s="133" t="s">
        <v>83</v>
      </c>
      <c r="H200" s="136"/>
    </row>
    <row r="201" spans="1:8" s="70" customFormat="1" ht="13.5" hidden="1" customHeight="1" x14ac:dyDescent="0.2">
      <c r="A201" s="146">
        <v>5.0000000000000001E-3</v>
      </c>
      <c r="B201" s="147"/>
      <c r="C201" s="147">
        <v>132.24</v>
      </c>
      <c r="D201" s="147"/>
      <c r="E201" s="147">
        <v>104.006</v>
      </c>
      <c r="F201" s="148">
        <v>236.25100000000003</v>
      </c>
      <c r="G201" s="133" t="s">
        <v>84</v>
      </c>
      <c r="H201" s="136"/>
    </row>
    <row r="202" spans="1:8" s="70" customFormat="1" ht="13.5" hidden="1" customHeight="1" x14ac:dyDescent="0.2">
      <c r="A202" s="146">
        <v>0.01</v>
      </c>
      <c r="B202" s="147"/>
      <c r="C202" s="147">
        <v>127.738</v>
      </c>
      <c r="D202" s="147"/>
      <c r="E202" s="147">
        <v>102.44800000000001</v>
      </c>
      <c r="F202" s="148">
        <v>230.19600000000003</v>
      </c>
      <c r="G202" s="133" t="s">
        <v>85</v>
      </c>
      <c r="H202" s="136"/>
    </row>
    <row r="203" spans="1:8" s="70" customFormat="1" ht="13.5" customHeight="1" x14ac:dyDescent="0.2">
      <c r="A203" s="146">
        <v>5.2999999999999999E-2</v>
      </c>
      <c r="B203" s="147"/>
      <c r="C203" s="147">
        <v>409.54599999999999</v>
      </c>
      <c r="D203" s="147"/>
      <c r="E203" s="147">
        <v>322.71900000000005</v>
      </c>
      <c r="F203" s="148">
        <v>732.31799999999998</v>
      </c>
      <c r="G203" s="133" t="s">
        <v>50</v>
      </c>
      <c r="H203" s="136"/>
    </row>
    <row r="204" spans="1:8" s="70" customFormat="1" ht="13.5" hidden="1" customHeight="1" x14ac:dyDescent="0.2">
      <c r="A204" s="146">
        <v>7.3999999999999996E-2</v>
      </c>
      <c r="B204" s="147"/>
      <c r="C204" s="147">
        <v>113.143</v>
      </c>
      <c r="D204" s="147"/>
      <c r="E204" s="147">
        <v>115.624</v>
      </c>
      <c r="F204" s="148">
        <v>228.84100000000001</v>
      </c>
      <c r="G204" s="133" t="s">
        <v>87</v>
      </c>
      <c r="H204" s="136"/>
    </row>
    <row r="205" spans="1:8" s="70" customFormat="1" ht="13.5" hidden="1" customHeight="1" x14ac:dyDescent="0.2">
      <c r="A205" s="146">
        <v>4.0000000000000001E-3</v>
      </c>
      <c r="B205" s="147"/>
      <c r="C205" s="147">
        <v>119.108</v>
      </c>
      <c r="D205" s="147"/>
      <c r="E205" s="147">
        <v>112.71299999999999</v>
      </c>
      <c r="F205" s="148">
        <v>231.82499999999999</v>
      </c>
      <c r="G205" s="133" t="s">
        <v>88</v>
      </c>
      <c r="H205" s="136"/>
    </row>
    <row r="206" spans="1:8" s="70" customFormat="1" ht="13.5" hidden="1" customHeight="1" x14ac:dyDescent="0.2">
      <c r="A206" s="146">
        <v>8.9999999999999993E-3</v>
      </c>
      <c r="B206" s="147"/>
      <c r="C206" s="147">
        <v>117.08000000000001</v>
      </c>
      <c r="D206" s="147"/>
      <c r="E206" s="147">
        <v>115.423</v>
      </c>
      <c r="F206" s="148">
        <v>232.512</v>
      </c>
      <c r="G206" s="133" t="s">
        <v>89</v>
      </c>
      <c r="H206" s="136"/>
    </row>
    <row r="207" spans="1:8" s="70" customFormat="1" ht="13.5" customHeight="1" x14ac:dyDescent="0.2">
      <c r="A207" s="146">
        <v>8.6999999999999994E-2</v>
      </c>
      <c r="B207" s="147"/>
      <c r="C207" s="147">
        <v>349.33100000000002</v>
      </c>
      <c r="D207" s="147"/>
      <c r="E207" s="147">
        <v>343.76</v>
      </c>
      <c r="F207" s="148">
        <v>693.178</v>
      </c>
      <c r="G207" s="133" t="s">
        <v>51</v>
      </c>
      <c r="H207" s="136"/>
    </row>
    <row r="208" spans="1:8" s="70" customFormat="1" ht="9" customHeight="1" x14ac:dyDescent="0.2">
      <c r="A208" s="146"/>
      <c r="B208" s="147"/>
      <c r="C208" s="147"/>
      <c r="D208" s="147"/>
      <c r="E208" s="147"/>
      <c r="F208" s="148"/>
      <c r="G208" s="133"/>
      <c r="H208" s="136"/>
    </row>
    <row r="209" spans="1:8" s="70" customFormat="1" ht="13.5" hidden="1" customHeight="1" x14ac:dyDescent="0.2">
      <c r="A209" s="143">
        <v>7.3999999999999996E-2</v>
      </c>
      <c r="B209" s="144"/>
      <c r="C209" s="144">
        <v>118.45699999999999</v>
      </c>
      <c r="D209" s="144"/>
      <c r="E209" s="144">
        <v>124.00700000000001</v>
      </c>
      <c r="F209" s="145">
        <v>242.53800000000001</v>
      </c>
      <c r="G209" s="122" t="s">
        <v>75</v>
      </c>
      <c r="H209" s="123">
        <v>2020</v>
      </c>
    </row>
    <row r="210" spans="1:8" s="70" customFormat="1" ht="13.5" hidden="1" customHeight="1" x14ac:dyDescent="0.2">
      <c r="A210" s="143">
        <v>3.9E-2</v>
      </c>
      <c r="B210" s="144"/>
      <c r="C210" s="144">
        <v>125.79400000000001</v>
      </c>
      <c r="D210" s="144"/>
      <c r="E210" s="144">
        <v>120.547</v>
      </c>
      <c r="F210" s="145">
        <v>246.38</v>
      </c>
      <c r="G210" s="122" t="s">
        <v>76</v>
      </c>
      <c r="H210" s="123"/>
    </row>
    <row r="211" spans="1:8" s="70" customFormat="1" ht="13.5" hidden="1" customHeight="1" x14ac:dyDescent="0.2">
      <c r="A211" s="143">
        <v>0</v>
      </c>
      <c r="B211" s="144"/>
      <c r="C211" s="144">
        <v>119.175</v>
      </c>
      <c r="D211" s="144"/>
      <c r="E211" s="144">
        <v>129.19399999999999</v>
      </c>
      <c r="F211" s="145">
        <v>248.369</v>
      </c>
      <c r="G211" s="122" t="s">
        <v>77</v>
      </c>
      <c r="H211" s="123"/>
    </row>
    <row r="212" spans="1:8" s="70" customFormat="1" ht="13.5" customHeight="1" x14ac:dyDescent="0.2">
      <c r="A212" s="146">
        <v>0.11299999999999999</v>
      </c>
      <c r="B212" s="147"/>
      <c r="C212" s="147">
        <v>363.42599999999999</v>
      </c>
      <c r="D212" s="147"/>
      <c r="E212" s="147">
        <v>373.74799999999999</v>
      </c>
      <c r="F212" s="148">
        <v>737.28700000000003</v>
      </c>
      <c r="G212" s="133" t="s">
        <v>48</v>
      </c>
      <c r="H212" s="136">
        <v>2020</v>
      </c>
    </row>
    <row r="213" spans="1:8" s="70" customFormat="1" ht="13.5" hidden="1" customHeight="1" x14ac:dyDescent="0.2">
      <c r="A213" s="146">
        <v>0</v>
      </c>
      <c r="B213" s="147"/>
      <c r="C213" s="147">
        <v>114.09899999999999</v>
      </c>
      <c r="D213" s="147"/>
      <c r="E213" s="147">
        <v>132.637</v>
      </c>
      <c r="F213" s="148">
        <v>246.73599999999999</v>
      </c>
      <c r="G213" s="133" t="s">
        <v>79</v>
      </c>
      <c r="H213" s="136"/>
    </row>
    <row r="214" spans="1:8" s="70" customFormat="1" ht="13.5" hidden="1" customHeight="1" x14ac:dyDescent="0.2">
      <c r="A214" s="146">
        <v>6.7000000000000004E-2</v>
      </c>
      <c r="B214" s="147"/>
      <c r="C214" s="147">
        <v>121.426</v>
      </c>
      <c r="D214" s="147"/>
      <c r="E214" s="147">
        <v>120.99299999999999</v>
      </c>
      <c r="F214" s="148">
        <v>242.48599999999999</v>
      </c>
      <c r="G214" s="133" t="s">
        <v>80</v>
      </c>
      <c r="H214" s="136"/>
    </row>
    <row r="215" spans="1:8" s="70" customFormat="1" ht="13.5" hidden="1" customHeight="1" x14ac:dyDescent="0.2">
      <c r="A215" s="146">
        <v>4.3999999999999997E-2</v>
      </c>
      <c r="B215" s="147"/>
      <c r="C215" s="147">
        <v>136.483</v>
      </c>
      <c r="D215" s="147"/>
      <c r="E215" s="147">
        <v>112.02800000000001</v>
      </c>
      <c r="F215" s="148">
        <v>248.55500000000001</v>
      </c>
      <c r="G215" s="133" t="s">
        <v>81</v>
      </c>
      <c r="H215" s="136"/>
    </row>
    <row r="216" spans="1:8" s="70" customFormat="1" ht="13.5" customHeight="1" x14ac:dyDescent="0.2">
      <c r="A216" s="146">
        <v>0.111</v>
      </c>
      <c r="B216" s="147"/>
      <c r="C216" s="147">
        <v>372.00799999999998</v>
      </c>
      <c r="D216" s="147"/>
      <c r="E216" s="147">
        <v>365.65800000000002</v>
      </c>
      <c r="F216" s="148">
        <v>737.77700000000004</v>
      </c>
      <c r="G216" s="133" t="s">
        <v>49</v>
      </c>
      <c r="H216" s="136"/>
    </row>
    <row r="217" spans="1:8" s="70" customFormat="1" ht="13.5" hidden="1" customHeight="1" x14ac:dyDescent="0.2">
      <c r="A217" s="146">
        <v>3.0000000000000001E-3</v>
      </c>
      <c r="B217" s="147"/>
      <c r="C217" s="147">
        <v>143.321</v>
      </c>
      <c r="D217" s="147"/>
      <c r="E217" s="147">
        <v>124.55699999999999</v>
      </c>
      <c r="F217" s="148">
        <v>267.88099999999997</v>
      </c>
      <c r="G217" s="133" t="s">
        <v>83</v>
      </c>
      <c r="H217" s="136"/>
    </row>
    <row r="218" spans="1:8" s="70" customFormat="1" ht="13.5" hidden="1" customHeight="1" x14ac:dyDescent="0.2">
      <c r="A218" s="146">
        <v>8.0000000000000002E-3</v>
      </c>
      <c r="B218" s="147"/>
      <c r="C218" s="147">
        <v>145.35300000000001</v>
      </c>
      <c r="D218" s="147"/>
      <c r="E218" s="147">
        <v>113.777</v>
      </c>
      <c r="F218" s="148">
        <v>259.13800000000003</v>
      </c>
      <c r="G218" s="133" t="s">
        <v>84</v>
      </c>
      <c r="H218" s="136"/>
    </row>
    <row r="219" spans="1:8" s="70" customFormat="1" ht="13.5" hidden="1" customHeight="1" x14ac:dyDescent="0.2">
      <c r="A219" s="146">
        <v>7.0000000000000007E-2</v>
      </c>
      <c r="B219" s="147"/>
      <c r="C219" s="147">
        <v>136.08499999999998</v>
      </c>
      <c r="D219" s="147"/>
      <c r="E219" s="147">
        <v>113.342</v>
      </c>
      <c r="F219" s="148">
        <v>249.49699999999999</v>
      </c>
      <c r="G219" s="133" t="s">
        <v>85</v>
      </c>
      <c r="H219" s="136"/>
    </row>
    <row r="220" spans="1:8" s="70" customFormat="1" ht="13.5" customHeight="1" x14ac:dyDescent="0.2">
      <c r="A220" s="146">
        <v>8.1000000000000003E-2</v>
      </c>
      <c r="B220" s="147"/>
      <c r="C220" s="147">
        <v>424.75899999999996</v>
      </c>
      <c r="D220" s="147"/>
      <c r="E220" s="147">
        <v>351.67599999999999</v>
      </c>
      <c r="F220" s="148">
        <v>776.51599999999996</v>
      </c>
      <c r="G220" s="133" t="s">
        <v>50</v>
      </c>
      <c r="H220" s="136"/>
    </row>
    <row r="221" spans="1:8" s="70" customFormat="1" ht="13.5" hidden="1" customHeight="1" x14ac:dyDescent="0.2">
      <c r="A221" s="146">
        <v>1.4999999999999999E-2</v>
      </c>
      <c r="B221" s="147"/>
      <c r="C221" s="147">
        <v>144.608</v>
      </c>
      <c r="D221" s="147"/>
      <c r="E221" s="147">
        <v>132.97399999999999</v>
      </c>
      <c r="F221" s="148">
        <v>277.59699999999998</v>
      </c>
      <c r="G221" s="133" t="s">
        <v>87</v>
      </c>
      <c r="H221" s="136"/>
    </row>
    <row r="222" spans="1:8" s="70" customFormat="1" ht="13.5" hidden="1" customHeight="1" x14ac:dyDescent="0.2">
      <c r="A222" s="146">
        <v>0</v>
      </c>
      <c r="B222" s="147"/>
      <c r="C222" s="147">
        <v>138.07299999999998</v>
      </c>
      <c r="D222" s="147"/>
      <c r="E222" s="147">
        <v>125.407</v>
      </c>
      <c r="F222" s="148">
        <v>263.47999999999996</v>
      </c>
      <c r="G222" s="133" t="s">
        <v>88</v>
      </c>
      <c r="H222" s="136"/>
    </row>
    <row r="223" spans="1:8" s="70" customFormat="1" ht="13.5" hidden="1" customHeight="1" x14ac:dyDescent="0.2">
      <c r="A223" s="146">
        <v>5.6999999999999995E-2</v>
      </c>
      <c r="B223" s="147"/>
      <c r="C223" s="147">
        <v>141.625</v>
      </c>
      <c r="D223" s="147"/>
      <c r="E223" s="147">
        <v>114.971</v>
      </c>
      <c r="F223" s="148">
        <v>256.65300000000002</v>
      </c>
      <c r="G223" s="133" t="s">
        <v>89</v>
      </c>
      <c r="H223" s="136"/>
    </row>
    <row r="224" spans="1:8" s="70" customFormat="1" ht="13.5" customHeight="1" x14ac:dyDescent="0.2">
      <c r="A224" s="146">
        <v>7.1999999999999995E-2</v>
      </c>
      <c r="B224" s="147"/>
      <c r="C224" s="147">
        <v>424.30599999999998</v>
      </c>
      <c r="D224" s="147"/>
      <c r="E224" s="147">
        <v>373.35199999999998</v>
      </c>
      <c r="F224" s="148">
        <v>797.73</v>
      </c>
      <c r="G224" s="133" t="s">
        <v>51</v>
      </c>
      <c r="H224" s="136"/>
    </row>
    <row r="225" spans="1:8" s="70" customFormat="1" ht="9" customHeight="1" x14ac:dyDescent="0.2">
      <c r="A225" s="146"/>
      <c r="B225" s="147"/>
      <c r="C225" s="147"/>
      <c r="D225" s="147"/>
      <c r="E225" s="147"/>
      <c r="F225" s="148"/>
      <c r="G225" s="133"/>
      <c r="H225" s="136"/>
    </row>
    <row r="226" spans="1:8" s="70" customFormat="1" ht="13.5" hidden="1" customHeight="1" x14ac:dyDescent="0.2">
      <c r="A226" s="146">
        <v>0</v>
      </c>
      <c r="B226" s="147"/>
      <c r="C226" s="147">
        <v>133.39699999999999</v>
      </c>
      <c r="D226" s="147"/>
      <c r="E226" s="147">
        <v>127.13200000000001</v>
      </c>
      <c r="F226" s="148">
        <f>SUM(A226:E226)</f>
        <v>260.529</v>
      </c>
      <c r="G226" s="133" t="s">
        <v>75</v>
      </c>
      <c r="H226" s="136">
        <v>2021</v>
      </c>
    </row>
    <row r="227" spans="1:8" s="70" customFormat="1" ht="13.5" hidden="1" customHeight="1" x14ac:dyDescent="0.2">
      <c r="A227" s="146">
        <v>0.05</v>
      </c>
      <c r="B227" s="147"/>
      <c r="C227" s="147">
        <v>119.32300000000001</v>
      </c>
      <c r="D227" s="147"/>
      <c r="E227" s="147">
        <v>122.928</v>
      </c>
      <c r="F227" s="148">
        <f t="shared" ref="F227:F240" si="2">SUM(A227:E227)</f>
        <v>242.30099999999999</v>
      </c>
      <c r="G227" s="133" t="s">
        <v>76</v>
      </c>
      <c r="H227" s="136"/>
    </row>
    <row r="228" spans="1:8" s="70" customFormat="1" ht="13.5" hidden="1" customHeight="1" x14ac:dyDescent="0.2">
      <c r="A228" s="146">
        <v>0.01</v>
      </c>
      <c r="B228" s="147"/>
      <c r="C228" s="147">
        <v>136.83099999999999</v>
      </c>
      <c r="D228" s="147"/>
      <c r="E228" s="147">
        <v>126.274</v>
      </c>
      <c r="F228" s="148">
        <f t="shared" si="2"/>
        <v>263.11500000000001</v>
      </c>
      <c r="G228" s="133" t="s">
        <v>77</v>
      </c>
      <c r="H228" s="136"/>
    </row>
    <row r="229" spans="1:8" s="70" customFormat="1" ht="13.5" customHeight="1" x14ac:dyDescent="0.2">
      <c r="A229" s="146">
        <v>6.0000000000000005E-2</v>
      </c>
      <c r="B229" s="147"/>
      <c r="C229" s="147">
        <v>389.55099999999999</v>
      </c>
      <c r="D229" s="147"/>
      <c r="E229" s="147">
        <v>376.334</v>
      </c>
      <c r="F229" s="148">
        <f t="shared" si="2"/>
        <v>765.94499999999994</v>
      </c>
      <c r="G229" s="133" t="s">
        <v>48</v>
      </c>
      <c r="H229" s="136">
        <v>2021</v>
      </c>
    </row>
    <row r="230" spans="1:8" s="70" customFormat="1" ht="13.5" hidden="1" customHeight="1" x14ac:dyDescent="0.2">
      <c r="A230" s="146">
        <v>1.3999999999999999E-2</v>
      </c>
      <c r="B230" s="147"/>
      <c r="C230" s="147">
        <v>130.94499999999999</v>
      </c>
      <c r="D230" s="147"/>
      <c r="E230" s="147">
        <v>121.88499999999999</v>
      </c>
      <c r="F230" s="148">
        <f>SUM(A230:E230)</f>
        <v>252.84399999999999</v>
      </c>
      <c r="G230" s="133" t="s">
        <v>79</v>
      </c>
      <c r="H230" s="136"/>
    </row>
    <row r="231" spans="1:8" s="70" customFormat="1" ht="13.5" hidden="1" customHeight="1" x14ac:dyDescent="0.2">
      <c r="A231" s="146">
        <v>5.0000000000000001E-3</v>
      </c>
      <c r="B231" s="147"/>
      <c r="C231" s="147">
        <v>139.946</v>
      </c>
      <c r="D231" s="147"/>
      <c r="E231" s="147">
        <v>134.011</v>
      </c>
      <c r="F231" s="148">
        <f t="shared" si="2"/>
        <v>273.96199999999999</v>
      </c>
      <c r="G231" s="133" t="s">
        <v>80</v>
      </c>
      <c r="H231" s="136"/>
    </row>
    <row r="232" spans="1:8" s="70" customFormat="1" ht="13.5" hidden="1" customHeight="1" x14ac:dyDescent="0.2">
      <c r="A232" s="146">
        <v>2E-3</v>
      </c>
      <c r="B232" s="147"/>
      <c r="C232" s="147">
        <v>145.91300000000001</v>
      </c>
      <c r="D232" s="147"/>
      <c r="E232" s="147">
        <v>130.12700000000001</v>
      </c>
      <c r="F232" s="148">
        <f t="shared" si="2"/>
        <v>276.04200000000003</v>
      </c>
      <c r="G232" s="133" t="s">
        <v>81</v>
      </c>
      <c r="H232" s="136"/>
    </row>
    <row r="233" spans="1:8" s="70" customFormat="1" ht="13.5" customHeight="1" x14ac:dyDescent="0.2">
      <c r="A233" s="146">
        <v>2.0999999999999998E-2</v>
      </c>
      <c r="B233" s="147"/>
      <c r="C233" s="147">
        <v>416.80399999999997</v>
      </c>
      <c r="D233" s="147"/>
      <c r="E233" s="147">
        <v>386.02300000000002</v>
      </c>
      <c r="F233" s="148">
        <f t="shared" si="2"/>
        <v>802.84799999999996</v>
      </c>
      <c r="G233" s="133" t="s">
        <v>49</v>
      </c>
      <c r="H233" s="136"/>
    </row>
    <row r="234" spans="1:8" s="70" customFormat="1" ht="13.5" hidden="1" customHeight="1" x14ac:dyDescent="0.2">
      <c r="A234" s="146">
        <v>1.6E-2</v>
      </c>
      <c r="B234" s="147"/>
      <c r="C234" s="147">
        <v>150.512</v>
      </c>
      <c r="D234" s="147">
        <v>2.944</v>
      </c>
      <c r="E234" s="147">
        <v>118.613</v>
      </c>
      <c r="F234" s="148">
        <f t="shared" si="2"/>
        <v>272.08499999999998</v>
      </c>
      <c r="G234" s="133" t="s">
        <v>83</v>
      </c>
      <c r="H234" s="136"/>
    </row>
    <row r="235" spans="1:8" s="70" customFormat="1" ht="13.5" hidden="1" customHeight="1" x14ac:dyDescent="0.2">
      <c r="A235" s="146">
        <v>2.5999999999999999E-2</v>
      </c>
      <c r="B235" s="147">
        <v>4.883</v>
      </c>
      <c r="C235" s="147">
        <v>152.68600000000001</v>
      </c>
      <c r="D235" s="147">
        <v>3.3610000000000002</v>
      </c>
      <c r="E235" s="147">
        <v>125.5</v>
      </c>
      <c r="F235" s="148">
        <f t="shared" si="2"/>
        <v>286.45600000000002</v>
      </c>
      <c r="G235" s="133" t="s">
        <v>84</v>
      </c>
      <c r="H235" s="136"/>
    </row>
    <row r="236" spans="1:8" s="70" customFormat="1" ht="13.5" hidden="1" customHeight="1" x14ac:dyDescent="0.2">
      <c r="A236" s="146">
        <v>1E-3</v>
      </c>
      <c r="B236" s="147">
        <v>3.8119999999999998</v>
      </c>
      <c r="C236" s="147">
        <v>105.35900000000001</v>
      </c>
      <c r="D236" s="147">
        <v>0.82299999999999995</v>
      </c>
      <c r="E236" s="147">
        <v>105.251</v>
      </c>
      <c r="F236" s="148">
        <f t="shared" si="2"/>
        <v>215.24600000000001</v>
      </c>
      <c r="G236" s="133" t="s">
        <v>85</v>
      </c>
      <c r="H236" s="136"/>
    </row>
    <row r="237" spans="1:8" s="70" customFormat="1" ht="13.5" customHeight="1" x14ac:dyDescent="0.2">
      <c r="A237" s="146">
        <v>4.2999999999999997E-2</v>
      </c>
      <c r="B237" s="147">
        <f>SUM(B234:B236)</f>
        <v>8.6950000000000003</v>
      </c>
      <c r="C237" s="147">
        <v>408.55700000000002</v>
      </c>
      <c r="D237" s="147">
        <f>SUM(D234:D236)</f>
        <v>7.1280000000000001</v>
      </c>
      <c r="E237" s="147">
        <v>349.36400000000003</v>
      </c>
      <c r="F237" s="148">
        <f>SUM(A237:E237)</f>
        <v>773.78700000000003</v>
      </c>
      <c r="G237" s="133" t="s">
        <v>50</v>
      </c>
      <c r="H237" s="136"/>
    </row>
    <row r="238" spans="1:8" s="70" customFormat="1" ht="13.5" hidden="1" customHeight="1" x14ac:dyDescent="0.2">
      <c r="A238" s="146">
        <v>4.4999999999999998E-2</v>
      </c>
      <c r="B238" s="147">
        <v>5.1740000000000004</v>
      </c>
      <c r="C238" s="147">
        <v>136.624</v>
      </c>
      <c r="D238" s="147">
        <v>8.4610000000000003</v>
      </c>
      <c r="E238" s="147">
        <v>121.087</v>
      </c>
      <c r="F238" s="148">
        <f t="shared" si="2"/>
        <v>271.39100000000002</v>
      </c>
      <c r="G238" s="133" t="s">
        <v>87</v>
      </c>
      <c r="H238" s="136"/>
    </row>
    <row r="239" spans="1:8" s="70" customFormat="1" ht="13.5" hidden="1" customHeight="1" x14ac:dyDescent="0.2">
      <c r="A239" s="146">
        <v>0.161</v>
      </c>
      <c r="B239" s="147">
        <v>4.3579999999999997</v>
      </c>
      <c r="C239" s="147">
        <v>139.40800000000002</v>
      </c>
      <c r="D239" s="147">
        <v>9.1219999999999999</v>
      </c>
      <c r="E239" s="147">
        <v>112.997</v>
      </c>
      <c r="F239" s="148">
        <f t="shared" si="2"/>
        <v>266.04600000000005</v>
      </c>
      <c r="G239" s="133" t="s">
        <v>88</v>
      </c>
      <c r="H239" s="136"/>
    </row>
    <row r="240" spans="1:8" s="70" customFormat="1" ht="13.5" hidden="1" customHeight="1" x14ac:dyDescent="0.2">
      <c r="A240" s="146">
        <v>0.09</v>
      </c>
      <c r="B240" s="130">
        <v>6.0979999999999999</v>
      </c>
      <c r="C240" s="147">
        <v>121.446</v>
      </c>
      <c r="D240" s="147">
        <v>8.2759999999999998</v>
      </c>
      <c r="E240" s="147">
        <v>117.414</v>
      </c>
      <c r="F240" s="148">
        <f t="shared" si="2"/>
        <v>253.32400000000001</v>
      </c>
      <c r="G240" s="133" t="s">
        <v>89</v>
      </c>
      <c r="H240" s="136"/>
    </row>
    <row r="241" spans="1:8" s="70" customFormat="1" ht="13.5" customHeight="1" x14ac:dyDescent="0.2">
      <c r="A241" s="146">
        <v>0.29600000000000004</v>
      </c>
      <c r="B241" s="147">
        <f>SUM(B238:B240)</f>
        <v>15.629999999999999</v>
      </c>
      <c r="C241" s="147">
        <v>397.47800000000007</v>
      </c>
      <c r="D241" s="147">
        <f>SUM(D238:D240)</f>
        <v>25.858999999999998</v>
      </c>
      <c r="E241" s="147">
        <v>351.49799999999999</v>
      </c>
      <c r="F241" s="148">
        <f>SUM(A241:E241)</f>
        <v>790.76099999999997</v>
      </c>
      <c r="G241" s="133" t="s">
        <v>51</v>
      </c>
      <c r="H241" s="136"/>
    </row>
    <row r="242" spans="1:8" s="70" customFormat="1" ht="13.5" customHeight="1" x14ac:dyDescent="0.2">
      <c r="A242" s="143"/>
      <c r="B242" s="144"/>
      <c r="C242" s="144"/>
      <c r="D242" s="144"/>
      <c r="E242" s="144"/>
      <c r="F242" s="145"/>
      <c r="G242" s="122"/>
      <c r="H242" s="123"/>
    </row>
    <row r="243" spans="1:8" s="70" customFormat="1" ht="13.5" hidden="1" customHeight="1" x14ac:dyDescent="0.2">
      <c r="A243" s="143">
        <v>1.2999999999999999E-2</v>
      </c>
      <c r="B243" s="144">
        <v>5.9160000000000004</v>
      </c>
      <c r="C243" s="144">
        <v>117.953</v>
      </c>
      <c r="D243" s="144">
        <v>12.124000000000001</v>
      </c>
      <c r="E243" s="144">
        <v>116.256</v>
      </c>
      <c r="F243" s="145">
        <f>SUM(A243:E243)</f>
        <v>252.262</v>
      </c>
      <c r="G243" s="122" t="s">
        <v>75</v>
      </c>
      <c r="H243" s="123">
        <v>2022</v>
      </c>
    </row>
    <row r="244" spans="1:8" s="70" customFormat="1" ht="13.5" hidden="1" customHeight="1" x14ac:dyDescent="0.2">
      <c r="A244" s="143">
        <v>1.4999999999999999E-2</v>
      </c>
      <c r="B244" s="144">
        <v>7.78</v>
      </c>
      <c r="C244" s="144">
        <v>120.294</v>
      </c>
      <c r="D244" s="144">
        <v>16.925999999999998</v>
      </c>
      <c r="E244" s="144">
        <v>112.718</v>
      </c>
      <c r="F244" s="145">
        <f>SUM(A244:E244)</f>
        <v>257.733</v>
      </c>
      <c r="G244" s="122" t="s">
        <v>76</v>
      </c>
      <c r="H244" s="123"/>
    </row>
    <row r="245" spans="1:8" s="70" customFormat="1" ht="13.5" hidden="1" customHeight="1" x14ac:dyDescent="0.2">
      <c r="A245" s="143">
        <v>1.7999999999999999E-2</v>
      </c>
      <c r="B245" s="144">
        <v>7.056</v>
      </c>
      <c r="C245" s="144">
        <v>122.252</v>
      </c>
      <c r="D245" s="144">
        <v>20.475000000000001</v>
      </c>
      <c r="E245" s="144">
        <v>125.521</v>
      </c>
      <c r="F245" s="145">
        <f>SUM(A245:E245)</f>
        <v>275.322</v>
      </c>
      <c r="G245" s="122" t="s">
        <v>77</v>
      </c>
      <c r="H245" s="123"/>
    </row>
    <row r="246" spans="1:8" s="70" customFormat="1" ht="13.5" customHeight="1" x14ac:dyDescent="0.2">
      <c r="A246" s="143">
        <f t="shared" ref="A246:F246" si="3">SUM(A243:A245)</f>
        <v>4.5999999999999999E-2</v>
      </c>
      <c r="B246" s="144">
        <f t="shared" si="3"/>
        <v>20.752000000000002</v>
      </c>
      <c r="C246" s="144">
        <f t="shared" si="3"/>
        <v>360.49900000000002</v>
      </c>
      <c r="D246" s="144">
        <f t="shared" si="3"/>
        <v>49.524999999999999</v>
      </c>
      <c r="E246" s="144">
        <f t="shared" si="3"/>
        <v>354.495</v>
      </c>
      <c r="F246" s="145">
        <f t="shared" si="3"/>
        <v>785.31700000000001</v>
      </c>
      <c r="G246" s="122" t="s">
        <v>48</v>
      </c>
      <c r="H246" s="123">
        <v>2022</v>
      </c>
    </row>
    <row r="247" spans="1:8" s="70" customFormat="1" ht="13.5" customHeight="1" x14ac:dyDescent="0.2">
      <c r="A247" s="143">
        <v>0</v>
      </c>
      <c r="B247" s="144">
        <v>7.4450000000000003</v>
      </c>
      <c r="C247" s="144">
        <v>113.41500000000001</v>
      </c>
      <c r="D247" s="144">
        <v>34.6</v>
      </c>
      <c r="E247" s="144">
        <v>106.54</v>
      </c>
      <c r="F247" s="145">
        <f>SUM(A247:E247)</f>
        <v>262</v>
      </c>
      <c r="G247" s="122" t="s">
        <v>79</v>
      </c>
      <c r="H247" s="123"/>
    </row>
    <row r="248" spans="1:8" s="70" customFormat="1" ht="13.5" customHeight="1" x14ac:dyDescent="0.2">
      <c r="A248" s="143">
        <v>0</v>
      </c>
      <c r="B248" s="144">
        <v>10.07</v>
      </c>
      <c r="C248" s="144">
        <v>131.06200000000001</v>
      </c>
      <c r="D248" s="144">
        <v>36.124000000000002</v>
      </c>
      <c r="E248" s="144">
        <v>109.55500000000001</v>
      </c>
      <c r="F248" s="145">
        <f>SUM(A248:E248)</f>
        <v>286.81100000000004</v>
      </c>
      <c r="G248" s="122" t="s">
        <v>80</v>
      </c>
      <c r="H248" s="123"/>
    </row>
    <row r="249" spans="1:8" s="70" customFormat="1" ht="14.25" customHeight="1" x14ac:dyDescent="0.2">
      <c r="A249" s="194"/>
      <c r="B249" s="140"/>
      <c r="C249" s="138"/>
      <c r="D249" s="138"/>
      <c r="E249" s="140"/>
      <c r="F249" s="141"/>
      <c r="G249" s="134"/>
      <c r="H249" s="135"/>
    </row>
    <row r="250" spans="1:8" s="70" customFormat="1" ht="12.75" x14ac:dyDescent="0.2">
      <c r="A250" s="115"/>
      <c r="B250" s="115"/>
      <c r="C250" s="115"/>
      <c r="D250" s="115"/>
      <c r="E250" s="115"/>
      <c r="F250" s="115"/>
      <c r="H250" s="77" t="s">
        <v>39</v>
      </c>
    </row>
    <row r="251" spans="1:8" x14ac:dyDescent="0.2">
      <c r="A251" s="151"/>
      <c r="B251" s="151"/>
      <c r="C251" s="151"/>
      <c r="D251" s="151"/>
      <c r="E251" s="151"/>
      <c r="F251" s="119"/>
    </row>
    <row r="252" spans="1:8" x14ac:dyDescent="0.2">
      <c r="H252" s="77"/>
    </row>
    <row r="253" spans="1:8" x14ac:dyDescent="0.2">
      <c r="C253" s="117"/>
      <c r="D253" s="117"/>
    </row>
    <row r="254" spans="1:8" x14ac:dyDescent="0.2">
      <c r="C254" s="117"/>
      <c r="D254" s="117"/>
    </row>
    <row r="255" spans="1:8" x14ac:dyDescent="0.2">
      <c r="C255" s="117"/>
      <c r="D255" s="117"/>
    </row>
    <row r="256" spans="1:8" x14ac:dyDescent="0.2">
      <c r="C256" s="117"/>
      <c r="D256" s="117"/>
    </row>
  </sheetData>
  <phoneticPr fontId="12" type="noConversion"/>
  <printOptions horizontalCentered="1" gridLinesSet="0"/>
  <pageMargins left="0.15748031496062992" right="0.47244094488188981" top="0.15748031496062992" bottom="0.15748031496062992" header="0.15748031496062992" footer="0.15748031496062992"/>
  <pageSetup paperSize="9" orientation="landscape" r:id="rId1"/>
  <headerFooter alignWithMargins="0"/>
  <ignoredErrors>
    <ignoredError sqref="E20:F20 E22 F19 F9:F14 A9:A13 E9:E12 F21:F22 E25:F26 E16:F18 C249 F248:F249 A249 A16:A18 A25:A26 A20:A22 C16:C18 C25:C26 C9:C12 C20:C22 D237 B237 D241 B241 A40:F40 F226:F241 F243:F245 A246:E246" unlockedFormula="1"/>
    <ignoredError sqref="E21 E19 A19 C19 F246:F247" formula="1" unlockedFormula="1"/>
    <ignoredError sqref="G43:G45 G47:G49 G51:G53 G56:G58 G60:G62 G64:G66 G68:G70 G73:G75 G77:G79 G81:G83 G85:G87 G90:G92 G94:G96 G98:G100 G102:G104 G107 G108:G109 G111:G113 G115:G117 G119:G121 G124:G126 G128:G130 G132:G134 G136:G138 G141:G143 G145:G147 G149:G151 G153:G155 G158 G159:G160 G162:G164 G166:G168 G170:G172 G175:G177 G179:G181 G183:G185 G187:G189 G192 G193 G194 G196:G198 G200:G202 G204:G206 G209:G215 G217:G219 G221:G223 G226:G228 G230:G232 G234:G236 G238:G240 G243:G245 G247:G24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81" transitionEvaluation="1"/>
  <dimension ref="A1:H297"/>
  <sheetViews>
    <sheetView showGridLines="0" zoomScaleSheetLayoutView="100" workbookViewId="0">
      <pane ySplit="28" topLeftCell="A81" activePane="bottomLeft" state="frozen"/>
      <selection pane="bottomLeft" activeCell="H289" sqref="H289"/>
    </sheetView>
  </sheetViews>
  <sheetFormatPr defaultColWidth="16.28515625" defaultRowHeight="15" x14ac:dyDescent="0.2"/>
  <cols>
    <col min="1" max="1" width="10" style="44" customWidth="1"/>
    <col min="2" max="2" width="11.5703125" style="44" customWidth="1"/>
    <col min="3" max="3" width="10.5703125" style="44" customWidth="1"/>
    <col min="4" max="4" width="10.42578125" style="44" customWidth="1"/>
    <col min="5" max="5" width="12.7109375" style="44" customWidth="1"/>
    <col min="6" max="6" width="10" style="44" customWidth="1"/>
    <col min="7" max="7" width="8.42578125" style="44" customWidth="1"/>
    <col min="8" max="8" width="7.85546875" style="44" customWidth="1"/>
    <col min="9" max="16384" width="16.28515625" style="44"/>
  </cols>
  <sheetData>
    <row r="1" spans="1:8" ht="18" customHeight="1" x14ac:dyDescent="0.25">
      <c r="A1" s="169" t="s">
        <v>57</v>
      </c>
      <c r="B1" s="169"/>
      <c r="C1" s="41"/>
      <c r="D1" s="41"/>
      <c r="E1" s="41"/>
      <c r="F1" s="41"/>
      <c r="H1" s="171" t="s">
        <v>23</v>
      </c>
    </row>
    <row r="2" spans="1:8" ht="15.75" x14ac:dyDescent="0.25">
      <c r="A2" s="169" t="s">
        <v>58</v>
      </c>
      <c r="B2" s="169"/>
      <c r="C2" s="41"/>
      <c r="D2" s="41"/>
      <c r="E2" s="41"/>
      <c r="F2" s="41"/>
      <c r="H2" s="171" t="s">
        <v>116</v>
      </c>
    </row>
    <row r="3" spans="1:8" s="46" customFormat="1" ht="12" x14ac:dyDescent="0.2">
      <c r="A3" s="169" t="s">
        <v>158</v>
      </c>
      <c r="B3" s="169"/>
      <c r="H3" s="171" t="s">
        <v>161</v>
      </c>
    </row>
    <row r="4" spans="1:8" s="76" customFormat="1" ht="15" customHeight="1" thickBot="1" x14ac:dyDescent="0.25">
      <c r="A4" s="170" t="s">
        <v>38</v>
      </c>
      <c r="B4" s="170"/>
      <c r="C4" s="74"/>
      <c r="D4" s="74"/>
      <c r="E4" s="74"/>
      <c r="F4" s="74"/>
      <c r="G4" s="74"/>
      <c r="H4" s="172" t="s">
        <v>37</v>
      </c>
    </row>
    <row r="5" spans="1:8" s="48" customFormat="1" ht="15" customHeight="1" thickTop="1" x14ac:dyDescent="0.2">
      <c r="A5" s="50"/>
      <c r="B5" s="50"/>
      <c r="F5" s="189" t="s">
        <v>163</v>
      </c>
      <c r="G5" s="173"/>
      <c r="H5" s="95"/>
    </row>
    <row r="6" spans="1:8" s="48" customFormat="1" ht="12" x14ac:dyDescent="0.2">
      <c r="A6" s="184" t="s">
        <v>162</v>
      </c>
      <c r="B6" s="57"/>
      <c r="C6" s="57"/>
      <c r="D6" s="57"/>
      <c r="E6" s="57"/>
      <c r="F6" s="57"/>
      <c r="G6" s="174"/>
      <c r="H6" s="96"/>
    </row>
    <row r="7" spans="1:8" s="63" customFormat="1" ht="12" customHeight="1" x14ac:dyDescent="0.2">
      <c r="A7" s="166" t="s">
        <v>149</v>
      </c>
      <c r="B7" s="166" t="s">
        <v>152</v>
      </c>
      <c r="C7" s="166" t="s">
        <v>148</v>
      </c>
      <c r="D7" s="166" t="s">
        <v>150</v>
      </c>
      <c r="E7" s="166" t="s">
        <v>147</v>
      </c>
      <c r="F7" s="166" t="s">
        <v>42</v>
      </c>
      <c r="G7" s="175" t="s">
        <v>47</v>
      </c>
      <c r="H7" s="126" t="s">
        <v>40</v>
      </c>
    </row>
    <row r="8" spans="1:8" s="63" customFormat="1" ht="12" customHeight="1" x14ac:dyDescent="0.2">
      <c r="A8" s="167" t="s">
        <v>41</v>
      </c>
      <c r="B8" s="167" t="s">
        <v>153</v>
      </c>
      <c r="C8" s="167" t="s">
        <v>31</v>
      </c>
      <c r="D8" s="167" t="s">
        <v>151</v>
      </c>
      <c r="E8" s="167" t="s">
        <v>32</v>
      </c>
      <c r="F8" s="167" t="s">
        <v>43</v>
      </c>
      <c r="G8" s="176" t="s">
        <v>110</v>
      </c>
      <c r="H8" s="64" t="s">
        <v>111</v>
      </c>
    </row>
    <row r="9" spans="1:8" s="67" customFormat="1" ht="11.25" hidden="1" x14ac:dyDescent="0.2">
      <c r="A9" s="82">
        <v>3.3919999999999999</v>
      </c>
      <c r="B9" s="85"/>
      <c r="C9" s="81">
        <v>254.50800000000001</v>
      </c>
      <c r="D9" s="81"/>
      <c r="E9" s="82">
        <v>425.11</v>
      </c>
      <c r="F9" s="80">
        <f>SUM(A9:E9)</f>
        <v>683.01</v>
      </c>
      <c r="G9" s="177"/>
      <c r="H9" s="97">
        <v>2000</v>
      </c>
    </row>
    <row r="10" spans="1:8" s="67" customFormat="1" ht="11.25" hidden="1" x14ac:dyDescent="0.2">
      <c r="A10" s="85">
        <v>11.534000000000001</v>
      </c>
      <c r="B10" s="85"/>
      <c r="C10" s="81">
        <v>281.11</v>
      </c>
      <c r="D10" s="81"/>
      <c r="E10" s="85">
        <v>398.55200000000002</v>
      </c>
      <c r="F10" s="84">
        <f>SUM(A10:E10)</f>
        <v>691.19600000000003</v>
      </c>
      <c r="G10" s="178"/>
      <c r="H10" s="98">
        <v>2001</v>
      </c>
    </row>
    <row r="11" spans="1:8" s="67" customFormat="1" ht="11.25" hidden="1" x14ac:dyDescent="0.2">
      <c r="A11" s="85">
        <v>8.7530000000000001</v>
      </c>
      <c r="B11" s="85"/>
      <c r="C11" s="81">
        <v>298.512</v>
      </c>
      <c r="D11" s="81"/>
      <c r="E11" s="85">
        <v>425.73099999999999</v>
      </c>
      <c r="F11" s="84">
        <f>SUM(A11:E11)</f>
        <v>732.99599999999998</v>
      </c>
      <c r="G11" s="178"/>
      <c r="H11" s="98">
        <v>2002</v>
      </c>
    </row>
    <row r="12" spans="1:8" s="70" customFormat="1" ht="11.25" hidden="1" x14ac:dyDescent="0.2">
      <c r="A12" s="81">
        <v>9.7940000000000005</v>
      </c>
      <c r="B12" s="81"/>
      <c r="C12" s="81">
        <v>289.10300000000001</v>
      </c>
      <c r="D12" s="81"/>
      <c r="E12" s="84">
        <v>480.34399999999999</v>
      </c>
      <c r="F12" s="84">
        <v>779.24099999999999</v>
      </c>
      <c r="G12" s="179"/>
      <c r="H12" s="99">
        <v>2003</v>
      </c>
    </row>
    <row r="13" spans="1:8" s="70" customFormat="1" ht="11.25" hidden="1" x14ac:dyDescent="0.2">
      <c r="A13" s="81">
        <v>14.858000000000001</v>
      </c>
      <c r="B13" s="81"/>
      <c r="C13" s="81">
        <v>298.16300000000001</v>
      </c>
      <c r="D13" s="81"/>
      <c r="E13" s="84">
        <v>495.06200000000001</v>
      </c>
      <c r="F13" s="84">
        <v>808.08299999999997</v>
      </c>
      <c r="G13" s="179"/>
      <c r="H13" s="99">
        <v>2004</v>
      </c>
    </row>
    <row r="14" spans="1:8" s="70" customFormat="1" ht="11.25" hidden="1" x14ac:dyDescent="0.2">
      <c r="A14" s="81">
        <f t="shared" ref="A14:F14" si="0">SUM(A20:A23)</f>
        <v>9.6639999999999997</v>
      </c>
      <c r="B14" s="81"/>
      <c r="C14" s="81">
        <f t="shared" si="0"/>
        <v>316.47199999999998</v>
      </c>
      <c r="D14" s="81"/>
      <c r="E14" s="84">
        <f t="shared" si="0"/>
        <v>522.92000000000007</v>
      </c>
      <c r="F14" s="84">
        <f t="shared" si="0"/>
        <v>849.05600000000004</v>
      </c>
      <c r="G14" s="179"/>
      <c r="H14" s="99">
        <v>2005</v>
      </c>
    </row>
    <row r="15" spans="1:8" s="70" customFormat="1" ht="11.25" hidden="1" x14ac:dyDescent="0.2">
      <c r="A15" s="81">
        <v>11.7</v>
      </c>
      <c r="B15" s="81"/>
      <c r="C15" s="81">
        <v>377</v>
      </c>
      <c r="D15" s="81"/>
      <c r="E15" s="84">
        <v>501</v>
      </c>
      <c r="F15" s="84">
        <v>889.7</v>
      </c>
      <c r="G15" s="179"/>
      <c r="H15" s="99">
        <v>2006</v>
      </c>
    </row>
    <row r="16" spans="1:8" s="70" customFormat="1" ht="11.25" hidden="1" x14ac:dyDescent="0.2">
      <c r="A16" s="81">
        <f t="shared" ref="A16:F16" si="1">SUM(A33:A36)</f>
        <v>3.4279999999999999</v>
      </c>
      <c r="B16" s="81"/>
      <c r="C16" s="81">
        <f t="shared" si="1"/>
        <v>437.95699999999999</v>
      </c>
      <c r="D16" s="81"/>
      <c r="E16" s="84">
        <f t="shared" si="1"/>
        <v>553.54</v>
      </c>
      <c r="F16" s="84">
        <f t="shared" si="1"/>
        <v>994.92500000000007</v>
      </c>
      <c r="G16" s="179"/>
      <c r="H16" s="99">
        <v>2007</v>
      </c>
    </row>
    <row r="17" spans="1:8" s="70" customFormat="1" ht="11.25" hidden="1" x14ac:dyDescent="0.2">
      <c r="A17" s="81">
        <f t="shared" ref="A17:F17" si="2">A42+A46+A50+A54</f>
        <v>1.1059999999999999</v>
      </c>
      <c r="B17" s="81"/>
      <c r="C17" s="81">
        <f t="shared" si="2"/>
        <v>439.28199999999998</v>
      </c>
      <c r="D17" s="81"/>
      <c r="E17" s="84">
        <f t="shared" si="2"/>
        <v>606.8309999999999</v>
      </c>
      <c r="F17" s="84">
        <f t="shared" si="2"/>
        <v>1047.2189999999998</v>
      </c>
      <c r="G17" s="179"/>
      <c r="H17" s="99">
        <v>2008</v>
      </c>
    </row>
    <row r="18" spans="1:8" s="70" customFormat="1" ht="11.25" hidden="1" x14ac:dyDescent="0.2">
      <c r="A18" s="81">
        <f t="shared" ref="A18:F18" si="3">A59+A63+A67+A71</f>
        <v>2.6549999999999998</v>
      </c>
      <c r="B18" s="81"/>
      <c r="C18" s="81">
        <f t="shared" si="3"/>
        <v>462.02299999999997</v>
      </c>
      <c r="D18" s="81"/>
      <c r="E18" s="84">
        <f t="shared" si="3"/>
        <v>541.96499999999992</v>
      </c>
      <c r="F18" s="84">
        <f t="shared" si="3"/>
        <v>1006.6429999999999</v>
      </c>
      <c r="G18" s="179"/>
      <c r="H18" s="99">
        <v>2009</v>
      </c>
    </row>
    <row r="19" spans="1:8" s="70" customFormat="1" ht="11.25" hidden="1" x14ac:dyDescent="0.2">
      <c r="A19" s="81"/>
      <c r="B19" s="81"/>
      <c r="C19" s="81"/>
      <c r="D19" s="81"/>
      <c r="E19" s="81"/>
      <c r="F19" s="84"/>
      <c r="G19" s="179"/>
      <c r="H19" s="99"/>
    </row>
    <row r="20" spans="1:8" s="70" customFormat="1" ht="11.25" hidden="1" x14ac:dyDescent="0.2">
      <c r="A20" s="88">
        <v>2.0409999999999999</v>
      </c>
      <c r="B20" s="88"/>
      <c r="C20" s="81">
        <v>80.930000000000007</v>
      </c>
      <c r="D20" s="81"/>
      <c r="E20" s="81">
        <v>114.16800000000001</v>
      </c>
      <c r="F20" s="85">
        <f>SUM(A20:E20)</f>
        <v>197.13900000000001</v>
      </c>
      <c r="G20" s="180" t="s">
        <v>48</v>
      </c>
      <c r="H20" s="99">
        <v>2005</v>
      </c>
    </row>
    <row r="21" spans="1:8" s="70" customFormat="1" ht="11.25" hidden="1" x14ac:dyDescent="0.2">
      <c r="A21" s="88">
        <v>2.4220000000000002</v>
      </c>
      <c r="B21" s="88"/>
      <c r="C21" s="81">
        <v>84.192999999999998</v>
      </c>
      <c r="D21" s="81"/>
      <c r="E21" s="81">
        <v>139.262</v>
      </c>
      <c r="F21" s="85">
        <f>SUM(A21:E21)</f>
        <v>225.87700000000001</v>
      </c>
      <c r="G21" s="180" t="s">
        <v>49</v>
      </c>
      <c r="H21" s="99"/>
    </row>
    <row r="22" spans="1:8" s="70" customFormat="1" ht="11.25" hidden="1" x14ac:dyDescent="0.2">
      <c r="A22" s="88">
        <v>3.0150000000000001</v>
      </c>
      <c r="B22" s="88"/>
      <c r="C22" s="81">
        <v>75.686999999999998</v>
      </c>
      <c r="D22" s="81"/>
      <c r="E22" s="81">
        <v>136.49</v>
      </c>
      <c r="F22" s="85">
        <f>SUM(A22:E22)</f>
        <v>215.19200000000001</v>
      </c>
      <c r="G22" s="180" t="s">
        <v>50</v>
      </c>
      <c r="H22" s="99"/>
    </row>
    <row r="23" spans="1:8" s="70" customFormat="1" ht="11.25" hidden="1" x14ac:dyDescent="0.2">
      <c r="A23" s="88">
        <v>2.1859999999999999</v>
      </c>
      <c r="B23" s="88"/>
      <c r="C23" s="81">
        <v>75.662000000000006</v>
      </c>
      <c r="D23" s="81"/>
      <c r="E23" s="81">
        <v>133</v>
      </c>
      <c r="F23" s="85">
        <v>210.84800000000001</v>
      </c>
      <c r="G23" s="180" t="s">
        <v>51</v>
      </c>
      <c r="H23" s="99"/>
    </row>
    <row r="24" spans="1:8" s="70" customFormat="1" ht="11.25" hidden="1" x14ac:dyDescent="0.2">
      <c r="A24" s="88"/>
      <c r="B24" s="88"/>
      <c r="C24" s="81"/>
      <c r="D24" s="81"/>
      <c r="E24" s="81"/>
      <c r="F24" s="85"/>
      <c r="G24" s="180"/>
      <c r="H24" s="99"/>
    </row>
    <row r="25" spans="1:8" s="70" customFormat="1" ht="11.25" hidden="1" x14ac:dyDescent="0.2">
      <c r="A25" s="85">
        <v>3</v>
      </c>
      <c r="B25" s="85"/>
      <c r="C25" s="85">
        <v>91</v>
      </c>
      <c r="D25" s="85"/>
      <c r="E25" s="85">
        <v>141</v>
      </c>
      <c r="F25" s="85">
        <v>235</v>
      </c>
      <c r="G25" s="180" t="s">
        <v>48</v>
      </c>
      <c r="H25" s="99">
        <v>2006</v>
      </c>
    </row>
    <row r="26" spans="1:8" s="70" customFormat="1" ht="11.25" hidden="1" x14ac:dyDescent="0.2">
      <c r="A26" s="85">
        <v>3</v>
      </c>
      <c r="B26" s="85"/>
      <c r="C26" s="85">
        <v>90</v>
      </c>
      <c r="D26" s="85"/>
      <c r="E26" s="85">
        <v>141</v>
      </c>
      <c r="F26" s="85">
        <f>SUM(A26:E26)</f>
        <v>234</v>
      </c>
      <c r="G26" s="180" t="s">
        <v>49</v>
      </c>
      <c r="H26" s="99"/>
    </row>
    <row r="27" spans="1:8" s="70" customFormat="1" ht="11.25" hidden="1" x14ac:dyDescent="0.2">
      <c r="A27" s="85">
        <v>2.7</v>
      </c>
      <c r="B27" s="85"/>
      <c r="C27" s="85">
        <v>106</v>
      </c>
      <c r="D27" s="85"/>
      <c r="E27" s="85">
        <v>96</v>
      </c>
      <c r="F27" s="85">
        <v>204.7</v>
      </c>
      <c r="G27" s="180" t="s">
        <v>50</v>
      </c>
      <c r="H27" s="99"/>
    </row>
    <row r="28" spans="1:8" s="70" customFormat="1" ht="11.25" hidden="1" x14ac:dyDescent="0.2">
      <c r="A28" s="85">
        <v>3</v>
      </c>
      <c r="B28" s="85"/>
      <c r="C28" s="85">
        <v>90</v>
      </c>
      <c r="D28" s="85"/>
      <c r="E28" s="85">
        <v>123</v>
      </c>
      <c r="F28" s="85">
        <v>216</v>
      </c>
      <c r="G28" s="180" t="s">
        <v>51</v>
      </c>
      <c r="H28" s="99"/>
    </row>
    <row r="29" spans="1:8" s="70" customFormat="1" ht="11.25" x14ac:dyDescent="0.2">
      <c r="A29" s="94">
        <f t="shared" ref="A29:F29" si="4">A85+A89+A93+A97</f>
        <v>0</v>
      </c>
      <c r="B29" s="85"/>
      <c r="C29" s="85">
        <f t="shared" si="4"/>
        <v>519.66500000000008</v>
      </c>
      <c r="D29" s="85"/>
      <c r="E29" s="85">
        <f t="shared" si="4"/>
        <v>626.7650000000001</v>
      </c>
      <c r="F29" s="85">
        <f t="shared" si="4"/>
        <v>1146.4299999999998</v>
      </c>
      <c r="G29" s="180"/>
      <c r="H29" s="99">
        <v>2010</v>
      </c>
    </row>
    <row r="30" spans="1:8" s="70" customFormat="1" ht="11.25" x14ac:dyDescent="0.2">
      <c r="A30" s="94">
        <f t="shared" ref="A30:F30" si="5">A102+A106+A110+A114</f>
        <v>4.9000000000000002E-2</v>
      </c>
      <c r="B30" s="85"/>
      <c r="C30" s="85">
        <f t="shared" si="5"/>
        <v>587.62599999999998</v>
      </c>
      <c r="D30" s="85"/>
      <c r="E30" s="85">
        <f t="shared" si="5"/>
        <v>615.53099999999995</v>
      </c>
      <c r="F30" s="85">
        <f t="shared" si="5"/>
        <v>1203.2059999999999</v>
      </c>
      <c r="G30" s="180"/>
      <c r="H30" s="99">
        <v>2011</v>
      </c>
    </row>
    <row r="31" spans="1:8" s="70" customFormat="1" ht="11.25" x14ac:dyDescent="0.2">
      <c r="A31" s="94">
        <f t="shared" ref="A31:F31" si="6">A119+A123+A127+A131</f>
        <v>0</v>
      </c>
      <c r="B31" s="85"/>
      <c r="C31" s="85">
        <f t="shared" si="6"/>
        <v>590.19000000000005</v>
      </c>
      <c r="D31" s="85"/>
      <c r="E31" s="85">
        <f t="shared" si="6"/>
        <v>680.28000000000009</v>
      </c>
      <c r="F31" s="85">
        <f t="shared" si="6"/>
        <v>1270.4700000000003</v>
      </c>
      <c r="G31" s="180"/>
      <c r="H31" s="99">
        <v>2012</v>
      </c>
    </row>
    <row r="32" spans="1:8" s="70" customFormat="1" ht="9" hidden="1" customHeight="1" x14ac:dyDescent="0.2">
      <c r="A32" s="94"/>
      <c r="B32" s="85"/>
      <c r="C32" s="85"/>
      <c r="D32" s="85"/>
      <c r="E32" s="85"/>
      <c r="F32" s="85"/>
      <c r="G32" s="180"/>
      <c r="H32" s="99"/>
    </row>
    <row r="33" spans="1:8" s="70" customFormat="1" ht="11.25" hidden="1" x14ac:dyDescent="0.2">
      <c r="A33" s="94">
        <v>1.379</v>
      </c>
      <c r="B33" s="85"/>
      <c r="C33" s="85">
        <v>107.563</v>
      </c>
      <c r="D33" s="85"/>
      <c r="E33" s="85">
        <v>136.32300000000001</v>
      </c>
      <c r="F33" s="85">
        <v>245.26499999999999</v>
      </c>
      <c r="G33" s="180" t="s">
        <v>48</v>
      </c>
      <c r="H33" s="99">
        <v>2007</v>
      </c>
    </row>
    <row r="34" spans="1:8" s="70" customFormat="1" ht="11.25" hidden="1" x14ac:dyDescent="0.2">
      <c r="A34" s="94">
        <v>1.675</v>
      </c>
      <c r="B34" s="85"/>
      <c r="C34" s="85">
        <v>110.986</v>
      </c>
      <c r="D34" s="85"/>
      <c r="E34" s="85">
        <v>137.09700000000001</v>
      </c>
      <c r="F34" s="85">
        <f>SUM(A34:E34)</f>
        <v>249.75800000000001</v>
      </c>
      <c r="G34" s="180" t="s">
        <v>49</v>
      </c>
      <c r="H34" s="99"/>
    </row>
    <row r="35" spans="1:8" s="70" customFormat="1" ht="11.25" hidden="1" x14ac:dyDescent="0.2">
      <c r="A35" s="94">
        <v>0.36799999999999999</v>
      </c>
      <c r="B35" s="85"/>
      <c r="C35" s="85">
        <v>113.621</v>
      </c>
      <c r="D35" s="85"/>
      <c r="E35" s="85">
        <v>135.46600000000001</v>
      </c>
      <c r="F35" s="85">
        <f>SUM(A35:E35)</f>
        <v>249.45499999999998</v>
      </c>
      <c r="G35" s="180" t="s">
        <v>50</v>
      </c>
      <c r="H35" s="99"/>
    </row>
    <row r="36" spans="1:8" s="70" customFormat="1" ht="11.25" hidden="1" x14ac:dyDescent="0.2">
      <c r="A36" s="94">
        <v>6.0000000000000001E-3</v>
      </c>
      <c r="B36" s="85"/>
      <c r="C36" s="85">
        <v>105.78700000000001</v>
      </c>
      <c r="D36" s="85"/>
      <c r="E36" s="85">
        <v>144.654</v>
      </c>
      <c r="F36" s="85">
        <f>SUM(A36:E36)</f>
        <v>250.447</v>
      </c>
      <c r="G36" s="180" t="s">
        <v>51</v>
      </c>
      <c r="H36" s="99"/>
    </row>
    <row r="37" spans="1:8" s="70" customFormat="1" ht="11.25" x14ac:dyDescent="0.2">
      <c r="A37" s="94">
        <f t="shared" ref="A37:F37" si="7">A136+A140+A144+A148</f>
        <v>6.9000000000000006E-2</v>
      </c>
      <c r="B37" s="85"/>
      <c r="C37" s="85">
        <f>C136+C140+C144+C148</f>
        <v>598.10300000000007</v>
      </c>
      <c r="D37" s="85"/>
      <c r="E37" s="85">
        <f t="shared" si="7"/>
        <v>675.02600000000007</v>
      </c>
      <c r="F37" s="85">
        <f t="shared" si="7"/>
        <v>1273.1980000000001</v>
      </c>
      <c r="G37" s="180"/>
      <c r="H37" s="99">
        <v>2013</v>
      </c>
    </row>
    <row r="38" spans="1:8" s="70" customFormat="1" ht="2.25" customHeight="1" x14ac:dyDescent="0.2">
      <c r="A38" s="94"/>
      <c r="B38" s="85"/>
      <c r="C38" s="85"/>
      <c r="D38" s="85"/>
      <c r="E38" s="85"/>
      <c r="F38" s="85"/>
      <c r="G38" s="180"/>
      <c r="H38" s="99"/>
    </row>
    <row r="39" spans="1:8" s="70" customFormat="1" ht="11.25" hidden="1" x14ac:dyDescent="0.2">
      <c r="A39" s="94">
        <v>0</v>
      </c>
      <c r="B39" s="85"/>
      <c r="C39" s="85">
        <v>30.193000000000001</v>
      </c>
      <c r="D39" s="85"/>
      <c r="E39" s="85">
        <v>52.981000000000002</v>
      </c>
      <c r="F39" s="85">
        <f>SUM(A39:E39)</f>
        <v>83.174000000000007</v>
      </c>
      <c r="G39" s="180" t="s">
        <v>75</v>
      </c>
      <c r="H39" s="99">
        <v>2008</v>
      </c>
    </row>
    <row r="40" spans="1:8" s="70" customFormat="1" ht="11.25" hidden="1" x14ac:dyDescent="0.2">
      <c r="A40" s="94">
        <v>0</v>
      </c>
      <c r="B40" s="85"/>
      <c r="C40" s="85">
        <v>38.840000000000003</v>
      </c>
      <c r="D40" s="85"/>
      <c r="E40" s="85">
        <v>51.125999999999998</v>
      </c>
      <c r="F40" s="85">
        <f>SUM(A40:E40)</f>
        <v>89.966000000000008</v>
      </c>
      <c r="G40" s="180" t="s">
        <v>76</v>
      </c>
      <c r="H40" s="99"/>
    </row>
    <row r="41" spans="1:8" s="70" customFormat="1" ht="11.25" hidden="1" x14ac:dyDescent="0.2">
      <c r="A41" s="94">
        <v>0</v>
      </c>
      <c r="B41" s="85"/>
      <c r="C41" s="85">
        <v>38.305</v>
      </c>
      <c r="D41" s="85"/>
      <c r="E41" s="85">
        <v>54.984999999999999</v>
      </c>
      <c r="F41" s="85">
        <f>SUM(A41:E41)</f>
        <v>93.289999999999992</v>
      </c>
      <c r="G41" s="180" t="s">
        <v>77</v>
      </c>
      <c r="H41" s="99"/>
    </row>
    <row r="42" spans="1:8" s="70" customFormat="1" ht="12.75" hidden="1" customHeight="1" x14ac:dyDescent="0.2">
      <c r="A42" s="94">
        <f t="shared" ref="A42:F42" si="8">SUM(A39:A41)</f>
        <v>0</v>
      </c>
      <c r="B42" s="85"/>
      <c r="C42" s="85">
        <f t="shared" si="8"/>
        <v>107.33799999999999</v>
      </c>
      <c r="D42" s="85"/>
      <c r="E42" s="85">
        <f t="shared" si="8"/>
        <v>159.09199999999998</v>
      </c>
      <c r="F42" s="85">
        <f t="shared" si="8"/>
        <v>266.43</v>
      </c>
      <c r="G42" s="180" t="s">
        <v>48</v>
      </c>
      <c r="H42" s="99">
        <v>2008</v>
      </c>
    </row>
    <row r="43" spans="1:8" s="70" customFormat="1" ht="11.25" hidden="1" x14ac:dyDescent="0.2">
      <c r="A43" s="94">
        <v>0</v>
      </c>
      <c r="B43" s="85"/>
      <c r="C43" s="85">
        <v>36.756</v>
      </c>
      <c r="D43" s="85"/>
      <c r="E43" s="85">
        <v>58.337000000000003</v>
      </c>
      <c r="F43" s="85">
        <f>SUM(A43:E43)</f>
        <v>95.093000000000004</v>
      </c>
      <c r="G43" s="180" t="s">
        <v>79</v>
      </c>
      <c r="H43" s="99"/>
    </row>
    <row r="44" spans="1:8" s="70" customFormat="1" ht="11.25" hidden="1" x14ac:dyDescent="0.2">
      <c r="A44" s="94">
        <v>0</v>
      </c>
      <c r="B44" s="85"/>
      <c r="C44" s="85">
        <v>34.073999999999998</v>
      </c>
      <c r="D44" s="85"/>
      <c r="E44" s="85">
        <v>54.506999999999998</v>
      </c>
      <c r="F44" s="85">
        <f>SUM(A44:E44)</f>
        <v>88.580999999999989</v>
      </c>
      <c r="G44" s="180" t="s">
        <v>80</v>
      </c>
      <c r="H44" s="99"/>
    </row>
    <row r="45" spans="1:8" s="70" customFormat="1" ht="11.25" hidden="1" x14ac:dyDescent="0.2">
      <c r="A45" s="94">
        <v>0</v>
      </c>
      <c r="B45" s="85"/>
      <c r="C45" s="85">
        <v>31.797999999999998</v>
      </c>
      <c r="D45" s="85"/>
      <c r="E45" s="85">
        <v>56.552999999999997</v>
      </c>
      <c r="F45" s="85">
        <f>SUM(A45:E45)</f>
        <v>88.350999999999999</v>
      </c>
      <c r="G45" s="180" t="s">
        <v>81</v>
      </c>
      <c r="H45" s="99"/>
    </row>
    <row r="46" spans="1:8" s="70" customFormat="1" ht="11.25" hidden="1" x14ac:dyDescent="0.2">
      <c r="A46" s="94">
        <f t="shared" ref="A46:E46" si="9">SUM(A43:A45)</f>
        <v>0</v>
      </c>
      <c r="B46" s="85"/>
      <c r="C46" s="85">
        <f t="shared" si="9"/>
        <v>102.628</v>
      </c>
      <c r="D46" s="85"/>
      <c r="E46" s="85">
        <f t="shared" si="9"/>
        <v>169.39699999999999</v>
      </c>
      <c r="F46" s="85">
        <f>SUM(F43:F45)</f>
        <v>272.02499999999998</v>
      </c>
      <c r="G46" s="180" t="s">
        <v>49</v>
      </c>
      <c r="H46" s="99"/>
    </row>
    <row r="47" spans="1:8" s="70" customFormat="1" ht="11.25" hidden="1" x14ac:dyDescent="0.2">
      <c r="A47" s="94">
        <v>0</v>
      </c>
      <c r="B47" s="85"/>
      <c r="C47" s="85">
        <v>39.67</v>
      </c>
      <c r="D47" s="85"/>
      <c r="E47" s="85">
        <v>58.295999999999999</v>
      </c>
      <c r="F47" s="85">
        <f>SUM(A47:E47)</f>
        <v>97.966000000000008</v>
      </c>
      <c r="G47" s="180" t="s">
        <v>83</v>
      </c>
      <c r="H47" s="99"/>
    </row>
    <row r="48" spans="1:8" s="70" customFormat="1" ht="11.25" hidden="1" x14ac:dyDescent="0.2">
      <c r="A48" s="94">
        <v>0</v>
      </c>
      <c r="B48" s="85"/>
      <c r="C48" s="85">
        <v>34.746000000000002</v>
      </c>
      <c r="D48" s="85"/>
      <c r="E48" s="85">
        <v>47.052</v>
      </c>
      <c r="F48" s="85">
        <f>SUM(A48:E48)</f>
        <v>81.798000000000002</v>
      </c>
      <c r="G48" s="180" t="s">
        <v>84</v>
      </c>
      <c r="H48" s="99"/>
    </row>
    <row r="49" spans="1:8" s="70" customFormat="1" ht="11.25" hidden="1" x14ac:dyDescent="0.2">
      <c r="A49" s="94">
        <v>1E-3</v>
      </c>
      <c r="B49" s="85"/>
      <c r="C49" s="85">
        <v>33.491</v>
      </c>
      <c r="D49" s="85"/>
      <c r="E49" s="85">
        <v>34.284999999999997</v>
      </c>
      <c r="F49" s="85">
        <f>SUM(A49:E49)</f>
        <v>67.776999999999987</v>
      </c>
      <c r="G49" s="180" t="s">
        <v>85</v>
      </c>
      <c r="H49" s="99"/>
    </row>
    <row r="50" spans="1:8" s="70" customFormat="1" ht="11.25" hidden="1" x14ac:dyDescent="0.2">
      <c r="A50" s="94">
        <f t="shared" ref="A50:F50" si="10">SUM(A47:A49)</f>
        <v>1E-3</v>
      </c>
      <c r="B50" s="85"/>
      <c r="C50" s="85">
        <f t="shared" si="10"/>
        <v>107.907</v>
      </c>
      <c r="D50" s="85"/>
      <c r="E50" s="85">
        <f t="shared" si="10"/>
        <v>139.63299999999998</v>
      </c>
      <c r="F50" s="85">
        <f t="shared" si="10"/>
        <v>247.541</v>
      </c>
      <c r="G50" s="180" t="s">
        <v>50</v>
      </c>
      <c r="H50" s="99"/>
    </row>
    <row r="51" spans="1:8" s="70" customFormat="1" ht="11.25" hidden="1" x14ac:dyDescent="0.2">
      <c r="A51" s="94">
        <v>0</v>
      </c>
      <c r="B51" s="85"/>
      <c r="C51" s="85">
        <v>44.512999999999998</v>
      </c>
      <c r="D51" s="85"/>
      <c r="E51" s="85">
        <v>47.704999999999998</v>
      </c>
      <c r="F51" s="85">
        <f>SUM(A51:E51)</f>
        <v>92.217999999999989</v>
      </c>
      <c r="G51" s="180" t="s">
        <v>87</v>
      </c>
      <c r="H51" s="99"/>
    </row>
    <row r="52" spans="1:8" s="70" customFormat="1" ht="11.25" hidden="1" x14ac:dyDescent="0.2">
      <c r="A52" s="94">
        <v>0.51900000000000002</v>
      </c>
      <c r="B52" s="85"/>
      <c r="C52" s="85">
        <v>38.718000000000004</v>
      </c>
      <c r="D52" s="85"/>
      <c r="E52" s="85">
        <v>48.719000000000001</v>
      </c>
      <c r="F52" s="85">
        <f>SUM(A52:E52)</f>
        <v>87.956000000000003</v>
      </c>
      <c r="G52" s="180" t="s">
        <v>88</v>
      </c>
      <c r="H52" s="99"/>
    </row>
    <row r="53" spans="1:8" s="70" customFormat="1" ht="11.25" hidden="1" x14ac:dyDescent="0.2">
      <c r="A53" s="94">
        <v>0.58599999999999997</v>
      </c>
      <c r="B53" s="85"/>
      <c r="C53" s="85">
        <v>38.177999999999997</v>
      </c>
      <c r="D53" s="85"/>
      <c r="E53" s="85">
        <v>42.284999999999997</v>
      </c>
      <c r="F53" s="85">
        <f>SUM(A53:E53)</f>
        <v>81.048999999999992</v>
      </c>
      <c r="G53" s="180" t="s">
        <v>89</v>
      </c>
      <c r="H53" s="99"/>
    </row>
    <row r="54" spans="1:8" s="70" customFormat="1" ht="11.25" hidden="1" x14ac:dyDescent="0.2">
      <c r="A54" s="94">
        <f t="shared" ref="A54:F54" si="11">SUM(A51:A53)</f>
        <v>1.105</v>
      </c>
      <c r="B54" s="85"/>
      <c r="C54" s="85">
        <f t="shared" si="11"/>
        <v>121.40899999999999</v>
      </c>
      <c r="D54" s="85"/>
      <c r="E54" s="85">
        <f t="shared" si="11"/>
        <v>138.709</v>
      </c>
      <c r="F54" s="85">
        <f t="shared" si="11"/>
        <v>261.22299999999996</v>
      </c>
      <c r="G54" s="180" t="s">
        <v>51</v>
      </c>
      <c r="H54" s="99"/>
    </row>
    <row r="55" spans="1:8" s="70" customFormat="1" ht="6.75" hidden="1" customHeight="1" x14ac:dyDescent="0.2">
      <c r="A55" s="94"/>
      <c r="B55" s="85"/>
      <c r="C55" s="85"/>
      <c r="D55" s="85"/>
      <c r="E55" s="85"/>
      <c r="F55" s="85"/>
      <c r="G55" s="180"/>
      <c r="H55" s="99"/>
    </row>
    <row r="56" spans="1:8" s="70" customFormat="1" ht="11.25" hidden="1" x14ac:dyDescent="0.2">
      <c r="A56" s="94">
        <v>0.57399999999999995</v>
      </c>
      <c r="B56" s="85"/>
      <c r="C56" s="85">
        <v>30.651</v>
      </c>
      <c r="D56" s="85"/>
      <c r="E56" s="85">
        <v>40.137</v>
      </c>
      <c r="F56" s="85">
        <f>SUM(A56:E56)</f>
        <v>71.361999999999995</v>
      </c>
      <c r="G56" s="180" t="s">
        <v>75</v>
      </c>
      <c r="H56" s="99">
        <v>2009</v>
      </c>
    </row>
    <row r="57" spans="1:8" s="70" customFormat="1" ht="11.25" hidden="1" x14ac:dyDescent="0.2">
      <c r="A57" s="94">
        <v>1.0649999999999999</v>
      </c>
      <c r="B57" s="85"/>
      <c r="C57" s="85">
        <v>34.628999999999998</v>
      </c>
      <c r="D57" s="85"/>
      <c r="E57" s="85">
        <v>36.130000000000003</v>
      </c>
      <c r="F57" s="85">
        <f>SUM(A57:E57)</f>
        <v>71.823999999999998</v>
      </c>
      <c r="G57" s="180" t="s">
        <v>76</v>
      </c>
      <c r="H57" s="99"/>
    </row>
    <row r="58" spans="1:8" s="70" customFormat="1" ht="11.25" hidden="1" x14ac:dyDescent="0.2">
      <c r="A58" s="94">
        <v>0.316</v>
      </c>
      <c r="B58" s="85"/>
      <c r="C58" s="85">
        <v>42.962000000000003</v>
      </c>
      <c r="D58" s="85"/>
      <c r="E58" s="85">
        <v>48.887</v>
      </c>
      <c r="F58" s="85">
        <f>SUM(A58:E58)</f>
        <v>92.165000000000006</v>
      </c>
      <c r="G58" s="180" t="s">
        <v>77</v>
      </c>
      <c r="H58" s="99"/>
    </row>
    <row r="59" spans="1:8" s="70" customFormat="1" ht="11.25" hidden="1" x14ac:dyDescent="0.2">
      <c r="A59" s="94">
        <f t="shared" ref="A59:F59" si="12">SUM(A56:A58)</f>
        <v>1.9549999999999998</v>
      </c>
      <c r="B59" s="85"/>
      <c r="C59" s="85">
        <f>SUM(C56:C58)</f>
        <v>108.242</v>
      </c>
      <c r="D59" s="85"/>
      <c r="E59" s="85">
        <f t="shared" si="12"/>
        <v>125.154</v>
      </c>
      <c r="F59" s="85">
        <f t="shared" si="12"/>
        <v>235.351</v>
      </c>
      <c r="G59" s="180" t="s">
        <v>48</v>
      </c>
      <c r="H59" s="99">
        <v>2009</v>
      </c>
    </row>
    <row r="60" spans="1:8" s="70" customFormat="1" ht="11.25" hidden="1" x14ac:dyDescent="0.2">
      <c r="A60" s="94">
        <v>0.621</v>
      </c>
      <c r="B60" s="85"/>
      <c r="C60" s="85">
        <v>39.244999999999997</v>
      </c>
      <c r="D60" s="85"/>
      <c r="E60" s="85">
        <v>45.192999999999998</v>
      </c>
      <c r="F60" s="85">
        <f>SUM(A60:E60)</f>
        <v>85.058999999999997</v>
      </c>
      <c r="G60" s="180" t="s">
        <v>79</v>
      </c>
      <c r="H60" s="99"/>
    </row>
    <row r="61" spans="1:8" s="70" customFormat="1" ht="11.25" hidden="1" x14ac:dyDescent="0.2">
      <c r="A61" s="94">
        <v>0</v>
      </c>
      <c r="B61" s="85"/>
      <c r="C61" s="85">
        <v>33.475999999999999</v>
      </c>
      <c r="D61" s="85"/>
      <c r="E61" s="85">
        <v>48.125</v>
      </c>
      <c r="F61" s="85">
        <f>SUM(A61:E61)</f>
        <v>81.600999999999999</v>
      </c>
      <c r="G61" s="180" t="s">
        <v>80</v>
      </c>
      <c r="H61" s="99"/>
    </row>
    <row r="62" spans="1:8" s="70" customFormat="1" ht="11.25" hidden="1" x14ac:dyDescent="0.2">
      <c r="A62" s="94">
        <v>1.2999999999999999E-2</v>
      </c>
      <c r="B62" s="85"/>
      <c r="C62" s="85">
        <v>36.203000000000003</v>
      </c>
      <c r="D62" s="85"/>
      <c r="E62" s="85">
        <v>51.293999999999997</v>
      </c>
      <c r="F62" s="85">
        <f>SUM(A62:E62)</f>
        <v>87.509999999999991</v>
      </c>
      <c r="G62" s="180" t="s">
        <v>81</v>
      </c>
      <c r="H62" s="99"/>
    </row>
    <row r="63" spans="1:8" s="70" customFormat="1" ht="11.25" hidden="1" x14ac:dyDescent="0.2">
      <c r="A63" s="94">
        <f t="shared" ref="A63:F63" si="13">SUM(A60:A62)</f>
        <v>0.63400000000000001</v>
      </c>
      <c r="B63" s="85"/>
      <c r="C63" s="85">
        <f t="shared" si="13"/>
        <v>108.92400000000001</v>
      </c>
      <c r="D63" s="85"/>
      <c r="E63" s="85">
        <f t="shared" si="13"/>
        <v>144.61199999999999</v>
      </c>
      <c r="F63" s="85">
        <f t="shared" si="13"/>
        <v>254.17</v>
      </c>
      <c r="G63" s="180" t="s">
        <v>49</v>
      </c>
      <c r="H63" s="99"/>
    </row>
    <row r="64" spans="1:8" s="70" customFormat="1" ht="11.25" hidden="1" x14ac:dyDescent="0.2">
      <c r="A64" s="94">
        <v>1E-3</v>
      </c>
      <c r="B64" s="85"/>
      <c r="C64" s="85">
        <v>39.715000000000003</v>
      </c>
      <c r="D64" s="85"/>
      <c r="E64" s="85">
        <v>44.561</v>
      </c>
      <c r="F64" s="85">
        <f>SUM(A64:E64)</f>
        <v>84.277000000000001</v>
      </c>
      <c r="G64" s="180" t="s">
        <v>83</v>
      </c>
      <c r="H64" s="99"/>
    </row>
    <row r="65" spans="1:8" s="70" customFormat="1" ht="11.25" hidden="1" x14ac:dyDescent="0.2">
      <c r="A65" s="94">
        <v>5.6000000000000001E-2</v>
      </c>
      <c r="B65" s="85"/>
      <c r="C65" s="85">
        <v>43.287999999999997</v>
      </c>
      <c r="D65" s="85"/>
      <c r="E65" s="85">
        <v>47.779000000000003</v>
      </c>
      <c r="F65" s="85">
        <f>SUM(A65:E65)</f>
        <v>91.12299999999999</v>
      </c>
      <c r="G65" s="180" t="s">
        <v>84</v>
      </c>
      <c r="H65" s="99"/>
    </row>
    <row r="66" spans="1:8" s="70" customFormat="1" ht="11.25" hidden="1" x14ac:dyDescent="0.2">
      <c r="A66" s="94">
        <v>8.9999999999999993E-3</v>
      </c>
      <c r="B66" s="85"/>
      <c r="C66" s="85">
        <v>38.94</v>
      </c>
      <c r="D66" s="85"/>
      <c r="E66" s="85">
        <v>39.853999999999999</v>
      </c>
      <c r="F66" s="85">
        <f>SUM(A66:E66)</f>
        <v>78.802999999999997</v>
      </c>
      <c r="G66" s="180" t="s">
        <v>85</v>
      </c>
      <c r="H66" s="99"/>
    </row>
    <row r="67" spans="1:8" s="70" customFormat="1" ht="11.25" hidden="1" x14ac:dyDescent="0.2">
      <c r="A67" s="94">
        <f t="shared" ref="A67:F67" si="14">SUM(A64:A66)</f>
        <v>6.6000000000000003E-2</v>
      </c>
      <c r="B67" s="85"/>
      <c r="C67" s="85">
        <f t="shared" si="14"/>
        <v>121.943</v>
      </c>
      <c r="D67" s="85"/>
      <c r="E67" s="85">
        <f t="shared" si="14"/>
        <v>132.19400000000002</v>
      </c>
      <c r="F67" s="85">
        <f t="shared" si="14"/>
        <v>254.20299999999997</v>
      </c>
      <c r="G67" s="180" t="s">
        <v>50</v>
      </c>
      <c r="H67" s="99"/>
    </row>
    <row r="68" spans="1:8" s="70" customFormat="1" ht="11.25" hidden="1" x14ac:dyDescent="0.2">
      <c r="A68" s="94">
        <v>0</v>
      </c>
      <c r="B68" s="85"/>
      <c r="C68" s="85">
        <v>38.5</v>
      </c>
      <c r="D68" s="85"/>
      <c r="E68" s="85">
        <v>42.752000000000002</v>
      </c>
      <c r="F68" s="85">
        <f>SUM(A68:E68)</f>
        <v>81.25200000000001</v>
      </c>
      <c r="G68" s="180" t="s">
        <v>87</v>
      </c>
      <c r="H68" s="99"/>
    </row>
    <row r="69" spans="1:8" s="70" customFormat="1" ht="11.25" hidden="1" x14ac:dyDescent="0.2">
      <c r="A69" s="94">
        <v>0</v>
      </c>
      <c r="B69" s="85"/>
      <c r="C69" s="85">
        <v>39.710999999999999</v>
      </c>
      <c r="D69" s="85"/>
      <c r="E69" s="85">
        <v>46.395000000000003</v>
      </c>
      <c r="F69" s="85">
        <f>SUM(A69:E69)</f>
        <v>86.105999999999995</v>
      </c>
      <c r="G69" s="180" t="s">
        <v>88</v>
      </c>
      <c r="H69" s="99"/>
    </row>
    <row r="70" spans="1:8" s="70" customFormat="1" ht="11.25" hidden="1" x14ac:dyDescent="0.2">
      <c r="A70" s="94">
        <v>0</v>
      </c>
      <c r="B70" s="85"/>
      <c r="C70" s="85">
        <v>44.703000000000003</v>
      </c>
      <c r="D70" s="85"/>
      <c r="E70" s="85">
        <v>50.857999999999997</v>
      </c>
      <c r="F70" s="85">
        <f>SUM(A70:E70)</f>
        <v>95.561000000000007</v>
      </c>
      <c r="G70" s="180" t="s">
        <v>89</v>
      </c>
      <c r="H70" s="99"/>
    </row>
    <row r="71" spans="1:8" s="70" customFormat="1" ht="11.25" hidden="1" x14ac:dyDescent="0.2">
      <c r="A71" s="94">
        <f t="shared" ref="A71:F71" si="15">SUM(A68:A70)</f>
        <v>0</v>
      </c>
      <c r="B71" s="85"/>
      <c r="C71" s="85">
        <f t="shared" si="15"/>
        <v>122.914</v>
      </c>
      <c r="D71" s="85"/>
      <c r="E71" s="85">
        <f t="shared" si="15"/>
        <v>140.005</v>
      </c>
      <c r="F71" s="85">
        <f t="shared" si="15"/>
        <v>262.91899999999998</v>
      </c>
      <c r="G71" s="180" t="s">
        <v>51</v>
      </c>
      <c r="H71" s="99"/>
    </row>
    <row r="72" spans="1:8" s="70" customFormat="1" ht="5.25" hidden="1" customHeight="1" x14ac:dyDescent="0.2">
      <c r="A72" s="94"/>
      <c r="B72" s="85"/>
      <c r="C72" s="85"/>
      <c r="D72" s="85"/>
      <c r="E72" s="85"/>
      <c r="F72" s="85"/>
      <c r="G72" s="180"/>
      <c r="H72" s="99"/>
    </row>
    <row r="73" spans="1:8" s="70" customFormat="1" ht="11.25" hidden="1" x14ac:dyDescent="0.2">
      <c r="A73" s="94">
        <v>0</v>
      </c>
      <c r="B73" s="85"/>
      <c r="C73" s="85">
        <v>42.689</v>
      </c>
      <c r="D73" s="85"/>
      <c r="E73" s="85">
        <v>47.262999999999998</v>
      </c>
      <c r="F73" s="85">
        <f>SUM(A73:E73)</f>
        <v>89.951999999999998</v>
      </c>
      <c r="G73" s="180" t="s">
        <v>75</v>
      </c>
      <c r="H73" s="99">
        <v>2010</v>
      </c>
    </row>
    <row r="74" spans="1:8" s="70" customFormat="1" ht="11.25" hidden="1" x14ac:dyDescent="0.2">
      <c r="A74" s="94">
        <v>0</v>
      </c>
      <c r="B74" s="85"/>
      <c r="C74" s="85">
        <v>44.618000000000002</v>
      </c>
      <c r="D74" s="85"/>
      <c r="E74" s="85">
        <v>42.34</v>
      </c>
      <c r="F74" s="85">
        <f>SUM(A74:E74)</f>
        <v>86.957999999999998</v>
      </c>
      <c r="G74" s="180" t="s">
        <v>76</v>
      </c>
      <c r="H74" s="99"/>
    </row>
    <row r="75" spans="1:8" s="70" customFormat="1" ht="11.25" hidden="1" x14ac:dyDescent="0.2">
      <c r="A75" s="94">
        <v>0</v>
      </c>
      <c r="B75" s="85"/>
      <c r="C75" s="85">
        <v>50.494999999999997</v>
      </c>
      <c r="D75" s="85"/>
      <c r="E75" s="85">
        <v>58.698</v>
      </c>
      <c r="F75" s="85">
        <f>SUM(A75:E75)</f>
        <v>109.193</v>
      </c>
      <c r="G75" s="180" t="s">
        <v>77</v>
      </c>
      <c r="H75" s="99"/>
    </row>
    <row r="76" spans="1:8" s="70" customFormat="1" ht="11.25" x14ac:dyDescent="0.2">
      <c r="A76" s="129">
        <f t="shared" ref="A76:F76" si="16">A153+A157+A161+A165</f>
        <v>5.4999999999999993E-2</v>
      </c>
      <c r="B76" s="130"/>
      <c r="C76" s="130">
        <f t="shared" si="16"/>
        <v>631.94600000000003</v>
      </c>
      <c r="D76" s="130"/>
      <c r="E76" s="130">
        <f t="shared" si="16"/>
        <v>589.14300000000003</v>
      </c>
      <c r="F76" s="130">
        <f t="shared" si="16"/>
        <v>1221.144</v>
      </c>
      <c r="G76" s="181"/>
      <c r="H76" s="136">
        <v>2014</v>
      </c>
    </row>
    <row r="77" spans="1:8" s="70" customFormat="1" ht="11.25" x14ac:dyDescent="0.2">
      <c r="A77" s="129">
        <f t="shared" ref="A77:F77" si="17">A170+A174+A178+A182</f>
        <v>4.8999999999999995E-2</v>
      </c>
      <c r="B77" s="130"/>
      <c r="C77" s="130">
        <f t="shared" si="17"/>
        <v>669.11599999999999</v>
      </c>
      <c r="D77" s="130"/>
      <c r="E77" s="130">
        <f t="shared" si="17"/>
        <v>603.74699999999996</v>
      </c>
      <c r="F77" s="130">
        <f t="shared" si="17"/>
        <v>1272.9119999999998</v>
      </c>
      <c r="G77" s="181"/>
      <c r="H77" s="136">
        <v>2015</v>
      </c>
    </row>
    <row r="78" spans="1:8" s="70" customFormat="1" ht="11.25" x14ac:dyDescent="0.2">
      <c r="A78" s="129">
        <f t="shared" ref="A78:F78" si="18">A187+A191+A195+A199</f>
        <v>5.0999999999999997E-2</v>
      </c>
      <c r="B78" s="130"/>
      <c r="C78" s="130">
        <f t="shared" si="18"/>
        <v>727.63099999999997</v>
      </c>
      <c r="D78" s="130"/>
      <c r="E78" s="130">
        <f t="shared" si="18"/>
        <v>633.43399999999997</v>
      </c>
      <c r="F78" s="130">
        <f t="shared" si="18"/>
        <v>1361.116</v>
      </c>
      <c r="G78" s="181"/>
      <c r="H78" s="136">
        <v>2016</v>
      </c>
    </row>
    <row r="79" spans="1:8" s="70" customFormat="1" ht="11.25" x14ac:dyDescent="0.2">
      <c r="A79" s="129">
        <f t="shared" ref="A79:F79" si="19">A204+A208+A212+A216</f>
        <v>6.3E-2</v>
      </c>
      <c r="B79" s="130"/>
      <c r="C79" s="130">
        <f t="shared" si="19"/>
        <v>786.18</v>
      </c>
      <c r="D79" s="130"/>
      <c r="E79" s="130">
        <f t="shared" si="19"/>
        <v>646.73099999999999</v>
      </c>
      <c r="F79" s="130">
        <f t="shared" si="19"/>
        <v>1432.9739999999999</v>
      </c>
      <c r="G79" s="181"/>
      <c r="H79" s="136">
        <v>2017</v>
      </c>
    </row>
    <row r="80" spans="1:8" s="70" customFormat="1" ht="11.25" x14ac:dyDescent="0.2">
      <c r="A80" s="129">
        <f t="shared" ref="A80:F80" si="20">A221+A225+A229+A233</f>
        <v>5.0000000000000001E-3</v>
      </c>
      <c r="B80" s="130"/>
      <c r="C80" s="130">
        <f t="shared" si="20"/>
        <v>767.75900000000001</v>
      </c>
      <c r="D80" s="130"/>
      <c r="E80" s="130">
        <f t="shared" si="20"/>
        <v>708.49900000000002</v>
      </c>
      <c r="F80" s="130">
        <f t="shared" si="20"/>
        <v>1476.2629999999999</v>
      </c>
      <c r="G80" s="181"/>
      <c r="H80" s="136">
        <v>2018</v>
      </c>
    </row>
    <row r="81" spans="1:8" s="70" customFormat="1" ht="11.25" x14ac:dyDescent="0.2">
      <c r="A81" s="129">
        <f t="shared" ref="A81:E81" si="21">A238+A242+A246+A250</f>
        <v>5.3999999999999992E-2</v>
      </c>
      <c r="B81" s="130"/>
      <c r="C81" s="162">
        <f t="shared" si="21"/>
        <v>805.65700000000004</v>
      </c>
      <c r="D81" s="162"/>
      <c r="E81" s="162">
        <f t="shared" si="21"/>
        <v>660.80600000000004</v>
      </c>
      <c r="F81" s="130">
        <f>F238+F242+F246+F250</f>
        <v>1466.5170000000001</v>
      </c>
      <c r="G81" s="181"/>
      <c r="H81" s="136">
        <v>2019</v>
      </c>
    </row>
    <row r="82" spans="1:8" s="70" customFormat="1" ht="11.25" x14ac:dyDescent="0.2">
      <c r="A82" s="129">
        <f t="shared" ref="A82:F82" si="22">A255+A259+A263+A267</f>
        <v>0.02</v>
      </c>
      <c r="B82" s="130"/>
      <c r="C82" s="162">
        <f t="shared" si="22"/>
        <v>817.34500000000003</v>
      </c>
      <c r="D82" s="162"/>
      <c r="E82" s="162">
        <f t="shared" si="22"/>
        <v>710.30899999999997</v>
      </c>
      <c r="F82" s="130">
        <f t="shared" si="22"/>
        <v>1527.674</v>
      </c>
      <c r="G82" s="181"/>
      <c r="H82" s="136">
        <v>2020</v>
      </c>
    </row>
    <row r="83" spans="1:8" s="70" customFormat="1" ht="11.25" x14ac:dyDescent="0.2">
      <c r="A83" s="118">
        <f t="shared" ref="A83:E83" si="23">A272+A276+A280+A284</f>
        <v>0.10600000000000001</v>
      </c>
      <c r="B83" s="161">
        <f t="shared" si="23"/>
        <v>0</v>
      </c>
      <c r="C83" s="161">
        <f t="shared" si="23"/>
        <v>861.10899999999992</v>
      </c>
      <c r="D83" s="161">
        <f t="shared" si="23"/>
        <v>0.36699999999999999</v>
      </c>
      <c r="E83" s="161">
        <f t="shared" si="23"/>
        <v>726.58299999999997</v>
      </c>
      <c r="F83" s="119">
        <f>F272+F276+F280+F284</f>
        <v>1588.165</v>
      </c>
      <c r="G83" s="182"/>
      <c r="H83" s="123">
        <v>2021</v>
      </c>
    </row>
    <row r="84" spans="1:8" s="70" customFormat="1" ht="8.25" customHeight="1" x14ac:dyDescent="0.2">
      <c r="A84" s="94"/>
      <c r="B84" s="85"/>
      <c r="C84" s="85"/>
      <c r="D84" s="85"/>
      <c r="E84" s="85"/>
      <c r="F84" s="85"/>
      <c r="G84" s="180"/>
      <c r="H84" s="99"/>
    </row>
    <row r="85" spans="1:8" s="70" customFormat="1" ht="11.25" hidden="1" x14ac:dyDescent="0.2">
      <c r="A85" s="94">
        <f t="shared" ref="A85:C85" si="24">SUM(A73:A75)</f>
        <v>0</v>
      </c>
      <c r="B85" s="85"/>
      <c r="C85" s="85">
        <f t="shared" si="24"/>
        <v>137.80199999999999</v>
      </c>
      <c r="D85" s="85"/>
      <c r="E85" s="85">
        <f>SUM(E73:E75)</f>
        <v>148.30100000000002</v>
      </c>
      <c r="F85" s="85">
        <f>SUM(F73:F75)</f>
        <v>286.10300000000001</v>
      </c>
      <c r="G85" s="180" t="s">
        <v>48</v>
      </c>
      <c r="H85" s="99">
        <v>2010</v>
      </c>
    </row>
    <row r="86" spans="1:8" s="70" customFormat="1" ht="11.25" hidden="1" x14ac:dyDescent="0.2">
      <c r="A86" s="94">
        <v>0</v>
      </c>
      <c r="B86" s="85"/>
      <c r="C86" s="85">
        <v>44.228000000000002</v>
      </c>
      <c r="D86" s="85"/>
      <c r="E86" s="85">
        <v>50.755000000000003</v>
      </c>
      <c r="F86" s="85">
        <f>SUM(A86:E86)</f>
        <v>94.983000000000004</v>
      </c>
      <c r="G86" s="180" t="s">
        <v>79</v>
      </c>
      <c r="H86" s="99"/>
    </row>
    <row r="87" spans="1:8" s="70" customFormat="1" ht="11.25" hidden="1" x14ac:dyDescent="0.2">
      <c r="A87" s="94">
        <v>0</v>
      </c>
      <c r="B87" s="85"/>
      <c r="C87" s="85">
        <v>42.951999999999998</v>
      </c>
      <c r="D87" s="85"/>
      <c r="E87" s="85">
        <v>55.722000000000001</v>
      </c>
      <c r="F87" s="85">
        <f>SUM(A87:E87)</f>
        <v>98.674000000000007</v>
      </c>
      <c r="G87" s="180" t="s">
        <v>80</v>
      </c>
      <c r="H87" s="99"/>
    </row>
    <row r="88" spans="1:8" s="70" customFormat="1" ht="11.25" hidden="1" x14ac:dyDescent="0.2">
      <c r="A88" s="94">
        <v>0</v>
      </c>
      <c r="B88" s="85"/>
      <c r="C88" s="85">
        <v>44.218000000000004</v>
      </c>
      <c r="D88" s="85"/>
      <c r="E88" s="85">
        <v>52.954999999999998</v>
      </c>
      <c r="F88" s="85">
        <f>SUM(A88:E88)</f>
        <v>97.173000000000002</v>
      </c>
      <c r="G88" s="180" t="s">
        <v>81</v>
      </c>
      <c r="H88" s="99"/>
    </row>
    <row r="89" spans="1:8" s="70" customFormat="1" ht="11.25" hidden="1" x14ac:dyDescent="0.2">
      <c r="A89" s="94">
        <f t="shared" ref="A89:E89" si="25">SUM(A86:A88)</f>
        <v>0</v>
      </c>
      <c r="B89" s="85"/>
      <c r="C89" s="85">
        <f t="shared" si="25"/>
        <v>131.39800000000002</v>
      </c>
      <c r="D89" s="85"/>
      <c r="E89" s="85">
        <f t="shared" si="25"/>
        <v>159.43200000000002</v>
      </c>
      <c r="F89" s="85">
        <f>SUM(F86:F88)</f>
        <v>290.83000000000004</v>
      </c>
      <c r="G89" s="180" t="s">
        <v>49</v>
      </c>
      <c r="H89" s="99"/>
    </row>
    <row r="90" spans="1:8" s="70" customFormat="1" ht="11.25" hidden="1" x14ac:dyDescent="0.2">
      <c r="A90" s="94">
        <v>0</v>
      </c>
      <c r="B90" s="85"/>
      <c r="C90" s="85">
        <v>44.222999999999999</v>
      </c>
      <c r="D90" s="85"/>
      <c r="E90" s="85">
        <v>54.966000000000001</v>
      </c>
      <c r="F90" s="85">
        <f>SUM(A90:E90)</f>
        <v>99.188999999999993</v>
      </c>
      <c r="G90" s="180" t="s">
        <v>83</v>
      </c>
      <c r="H90" s="99"/>
    </row>
    <row r="91" spans="1:8" s="70" customFormat="1" ht="11.25" hidden="1" x14ac:dyDescent="0.2">
      <c r="A91" s="94">
        <v>0</v>
      </c>
      <c r="B91" s="85"/>
      <c r="C91" s="85">
        <v>43.13</v>
      </c>
      <c r="D91" s="85"/>
      <c r="E91" s="85">
        <v>60.161000000000001</v>
      </c>
      <c r="F91" s="85">
        <f>SUM(A91:E91)</f>
        <v>103.291</v>
      </c>
      <c r="G91" s="180" t="s">
        <v>84</v>
      </c>
      <c r="H91" s="99"/>
    </row>
    <row r="92" spans="1:8" s="70" customFormat="1" ht="11.25" hidden="1" x14ac:dyDescent="0.2">
      <c r="A92" s="94">
        <v>0</v>
      </c>
      <c r="B92" s="85"/>
      <c r="C92" s="85">
        <v>33.569000000000003</v>
      </c>
      <c r="D92" s="85"/>
      <c r="E92" s="85">
        <v>53.774999999999999</v>
      </c>
      <c r="F92" s="85">
        <f>SUM(A92:E92)</f>
        <v>87.343999999999994</v>
      </c>
      <c r="G92" s="180" t="s">
        <v>85</v>
      </c>
      <c r="H92" s="99"/>
    </row>
    <row r="93" spans="1:8" s="70" customFormat="1" ht="11.25" hidden="1" x14ac:dyDescent="0.2">
      <c r="A93" s="94">
        <f t="shared" ref="A93:E93" si="26">SUM(A90:A92)</f>
        <v>0</v>
      </c>
      <c r="B93" s="85"/>
      <c r="C93" s="85">
        <f t="shared" si="26"/>
        <v>120.92200000000001</v>
      </c>
      <c r="D93" s="85"/>
      <c r="E93" s="85">
        <f t="shared" si="26"/>
        <v>168.90200000000002</v>
      </c>
      <c r="F93" s="85">
        <f>SUM(F90:F92)</f>
        <v>289.82399999999996</v>
      </c>
      <c r="G93" s="180" t="s">
        <v>50</v>
      </c>
      <c r="H93" s="99"/>
    </row>
    <row r="94" spans="1:8" s="70" customFormat="1" ht="11.25" hidden="1" x14ac:dyDescent="0.2">
      <c r="A94" s="94">
        <v>0</v>
      </c>
      <c r="B94" s="85"/>
      <c r="C94" s="85">
        <v>39.853999999999999</v>
      </c>
      <c r="D94" s="85"/>
      <c r="E94" s="85">
        <v>49.392000000000003</v>
      </c>
      <c r="F94" s="85">
        <f>SUM(A94:E94)</f>
        <v>89.246000000000009</v>
      </c>
      <c r="G94" s="180" t="s">
        <v>87</v>
      </c>
      <c r="H94" s="99"/>
    </row>
    <row r="95" spans="1:8" s="70" customFormat="1" ht="11.25" hidden="1" x14ac:dyDescent="0.2">
      <c r="A95" s="94">
        <v>0</v>
      </c>
      <c r="B95" s="85"/>
      <c r="C95" s="85">
        <v>44.34</v>
      </c>
      <c r="D95" s="85"/>
      <c r="E95" s="85">
        <v>50.822000000000003</v>
      </c>
      <c r="F95" s="85">
        <f>SUM(A95:E95)</f>
        <v>95.162000000000006</v>
      </c>
      <c r="G95" s="180" t="s">
        <v>88</v>
      </c>
      <c r="H95" s="99"/>
    </row>
    <row r="96" spans="1:8" s="70" customFormat="1" ht="11.25" hidden="1" x14ac:dyDescent="0.2">
      <c r="A96" s="94">
        <v>0</v>
      </c>
      <c r="B96" s="85"/>
      <c r="C96" s="85">
        <v>45.348999999999997</v>
      </c>
      <c r="D96" s="85"/>
      <c r="E96" s="85">
        <v>49.915999999999997</v>
      </c>
      <c r="F96" s="85">
        <f>SUM(A96:E96)</f>
        <v>95.264999999999986</v>
      </c>
      <c r="G96" s="180" t="s">
        <v>89</v>
      </c>
      <c r="H96" s="99"/>
    </row>
    <row r="97" spans="1:8" s="70" customFormat="1" ht="11.25" hidden="1" x14ac:dyDescent="0.2">
      <c r="A97" s="94">
        <f t="shared" ref="A97:E97" si="27">SUM(A94:A96)</f>
        <v>0</v>
      </c>
      <c r="B97" s="85"/>
      <c r="C97" s="85">
        <f t="shared" si="27"/>
        <v>129.54300000000001</v>
      </c>
      <c r="D97" s="85"/>
      <c r="E97" s="85">
        <f t="shared" si="27"/>
        <v>150.13</v>
      </c>
      <c r="F97" s="85">
        <f>SUM(F94:F96)</f>
        <v>279.673</v>
      </c>
      <c r="G97" s="180" t="s">
        <v>51</v>
      </c>
      <c r="H97" s="99"/>
    </row>
    <row r="98" spans="1:8" s="70" customFormat="1" ht="8.25" hidden="1" customHeight="1" x14ac:dyDescent="0.2">
      <c r="A98" s="94"/>
      <c r="B98" s="85"/>
      <c r="C98" s="85"/>
      <c r="D98" s="85"/>
      <c r="E98" s="85"/>
      <c r="F98" s="85"/>
      <c r="G98" s="180"/>
      <c r="H98" s="99"/>
    </row>
    <row r="99" spans="1:8" s="70" customFormat="1" ht="12.75" hidden="1" customHeight="1" x14ac:dyDescent="0.2">
      <c r="A99" s="94">
        <v>0</v>
      </c>
      <c r="B99" s="85"/>
      <c r="C99" s="85">
        <v>45.741</v>
      </c>
      <c r="D99" s="85"/>
      <c r="E99" s="85">
        <v>43.594999999999999</v>
      </c>
      <c r="F99" s="85">
        <f>SUM(A99:E99)</f>
        <v>89.335999999999999</v>
      </c>
      <c r="G99" s="180" t="s">
        <v>75</v>
      </c>
      <c r="H99" s="99">
        <v>2011</v>
      </c>
    </row>
    <row r="100" spans="1:8" s="70" customFormat="1" ht="11.25" hidden="1" x14ac:dyDescent="0.2">
      <c r="A100" s="94">
        <v>0</v>
      </c>
      <c r="B100" s="85"/>
      <c r="C100" s="85">
        <v>49.847999999999999</v>
      </c>
      <c r="D100" s="85"/>
      <c r="E100" s="85">
        <v>49.804000000000002</v>
      </c>
      <c r="F100" s="85">
        <f>SUM(A100:E100)</f>
        <v>99.652000000000001</v>
      </c>
      <c r="G100" s="180" t="s">
        <v>76</v>
      </c>
      <c r="H100" s="99"/>
    </row>
    <row r="101" spans="1:8" s="70" customFormat="1" ht="11.25" hidden="1" x14ac:dyDescent="0.2">
      <c r="A101" s="94">
        <v>0</v>
      </c>
      <c r="B101" s="85"/>
      <c r="C101" s="85">
        <v>59.094999999999999</v>
      </c>
      <c r="D101" s="85"/>
      <c r="E101" s="85">
        <v>57.095999999999997</v>
      </c>
      <c r="F101" s="85">
        <f>SUM(A101:E101)</f>
        <v>116.191</v>
      </c>
      <c r="G101" s="180" t="s">
        <v>77</v>
      </c>
      <c r="H101" s="99"/>
    </row>
    <row r="102" spans="1:8" s="70" customFormat="1" ht="11.25" hidden="1" x14ac:dyDescent="0.2">
      <c r="A102" s="94">
        <f t="shared" ref="A102:F102" si="28">SUM(A99:A101)</f>
        <v>0</v>
      </c>
      <c r="B102" s="85"/>
      <c r="C102" s="85">
        <f t="shared" si="28"/>
        <v>154.684</v>
      </c>
      <c r="D102" s="85"/>
      <c r="E102" s="85">
        <f t="shared" si="28"/>
        <v>150.495</v>
      </c>
      <c r="F102" s="85">
        <f t="shared" si="28"/>
        <v>305.17899999999997</v>
      </c>
      <c r="G102" s="180" t="s">
        <v>48</v>
      </c>
      <c r="H102" s="99">
        <v>2011</v>
      </c>
    </row>
    <row r="103" spans="1:8" s="70" customFormat="1" ht="11.25" hidden="1" x14ac:dyDescent="0.2">
      <c r="A103" s="94">
        <v>4.9000000000000002E-2</v>
      </c>
      <c r="B103" s="85"/>
      <c r="C103" s="85">
        <v>53.055999999999997</v>
      </c>
      <c r="D103" s="85"/>
      <c r="E103" s="85">
        <v>53.503</v>
      </c>
      <c r="F103" s="85">
        <f>SUM(A103:E103)</f>
        <v>106.608</v>
      </c>
      <c r="G103" s="180" t="s">
        <v>79</v>
      </c>
      <c r="H103" s="99"/>
    </row>
    <row r="104" spans="1:8" s="70" customFormat="1" ht="11.25" hidden="1" x14ac:dyDescent="0.2">
      <c r="A104" s="94">
        <v>0</v>
      </c>
      <c r="B104" s="85"/>
      <c r="C104" s="85">
        <v>45.162999999999997</v>
      </c>
      <c r="D104" s="85"/>
      <c r="E104" s="85">
        <v>63.039000000000001</v>
      </c>
      <c r="F104" s="85">
        <f>SUM(A104:E104)</f>
        <v>108.202</v>
      </c>
      <c r="G104" s="180" t="s">
        <v>80</v>
      </c>
      <c r="H104" s="99"/>
    </row>
    <row r="105" spans="1:8" s="70" customFormat="1" ht="11.25" hidden="1" x14ac:dyDescent="0.2">
      <c r="A105" s="94">
        <v>0</v>
      </c>
      <c r="B105" s="85"/>
      <c r="C105" s="85">
        <v>50.66</v>
      </c>
      <c r="D105" s="85"/>
      <c r="E105" s="85">
        <v>53.509</v>
      </c>
      <c r="F105" s="85">
        <f>SUM(A105:E105)</f>
        <v>104.169</v>
      </c>
      <c r="G105" s="180" t="s">
        <v>81</v>
      </c>
      <c r="H105" s="99"/>
    </row>
    <row r="106" spans="1:8" s="70" customFormat="1" ht="11.25" hidden="1" x14ac:dyDescent="0.2">
      <c r="A106" s="94">
        <f t="shared" ref="A106:F106" si="29">SUM(A103:A105)</f>
        <v>4.9000000000000002E-2</v>
      </c>
      <c r="B106" s="85"/>
      <c r="C106" s="85">
        <f t="shared" si="29"/>
        <v>148.87899999999999</v>
      </c>
      <c r="D106" s="85"/>
      <c r="E106" s="85">
        <f>SUM(E103:E105)</f>
        <v>170.05099999999999</v>
      </c>
      <c r="F106" s="85">
        <f t="shared" si="29"/>
        <v>318.97899999999998</v>
      </c>
      <c r="G106" s="180" t="s">
        <v>49</v>
      </c>
      <c r="H106" s="99"/>
    </row>
    <row r="107" spans="1:8" s="70" customFormat="1" ht="11.25" hidden="1" x14ac:dyDescent="0.2">
      <c r="A107" s="94">
        <v>0</v>
      </c>
      <c r="B107" s="85"/>
      <c r="C107" s="85">
        <v>46.966999999999999</v>
      </c>
      <c r="D107" s="85"/>
      <c r="E107" s="85">
        <v>50.262999999999998</v>
      </c>
      <c r="F107" s="85">
        <f>SUM(A107:E107)</f>
        <v>97.22999999999999</v>
      </c>
      <c r="G107" s="180" t="s">
        <v>83</v>
      </c>
      <c r="H107" s="99"/>
    </row>
    <row r="108" spans="1:8" s="70" customFormat="1" ht="11.25" hidden="1" x14ac:dyDescent="0.2">
      <c r="A108" s="94">
        <v>0</v>
      </c>
      <c r="B108" s="85"/>
      <c r="C108" s="85">
        <v>54.17</v>
      </c>
      <c r="D108" s="85"/>
      <c r="E108" s="85">
        <v>53.124000000000002</v>
      </c>
      <c r="F108" s="85">
        <f>SUM(A108:E108)</f>
        <v>107.29400000000001</v>
      </c>
      <c r="G108" s="180" t="s">
        <v>84</v>
      </c>
      <c r="H108" s="99"/>
    </row>
    <row r="109" spans="1:8" s="70" customFormat="1" ht="11.25" hidden="1" x14ac:dyDescent="0.2">
      <c r="A109" s="94">
        <v>0</v>
      </c>
      <c r="B109" s="85"/>
      <c r="C109" s="85">
        <v>42.901000000000003</v>
      </c>
      <c r="D109" s="85"/>
      <c r="E109" s="85">
        <v>43.365000000000002</v>
      </c>
      <c r="F109" s="85">
        <f>SUM(A109:E109)</f>
        <v>86.266000000000005</v>
      </c>
      <c r="G109" s="180" t="s">
        <v>85</v>
      </c>
      <c r="H109" s="99"/>
    </row>
    <row r="110" spans="1:8" s="70" customFormat="1" ht="11.25" hidden="1" x14ac:dyDescent="0.2">
      <c r="A110" s="94">
        <f t="shared" ref="A110:F110" si="30">SUM(A107:A109)</f>
        <v>0</v>
      </c>
      <c r="B110" s="85"/>
      <c r="C110" s="85">
        <f t="shared" si="30"/>
        <v>144.03800000000001</v>
      </c>
      <c r="D110" s="85"/>
      <c r="E110" s="85">
        <f>SUM(E107:E109)</f>
        <v>146.75200000000001</v>
      </c>
      <c r="F110" s="85">
        <f t="shared" si="30"/>
        <v>290.79000000000002</v>
      </c>
      <c r="G110" s="180" t="s">
        <v>50</v>
      </c>
      <c r="H110" s="99"/>
    </row>
    <row r="111" spans="1:8" s="70" customFormat="1" ht="11.25" hidden="1" x14ac:dyDescent="0.2">
      <c r="A111" s="94">
        <v>0</v>
      </c>
      <c r="B111" s="85"/>
      <c r="C111" s="85">
        <v>50.723999999999997</v>
      </c>
      <c r="D111" s="85"/>
      <c r="E111" s="85">
        <v>50.3</v>
      </c>
      <c r="F111" s="85">
        <f>SUM(A111:E111)</f>
        <v>101.024</v>
      </c>
      <c r="G111" s="180" t="s">
        <v>87</v>
      </c>
      <c r="H111" s="99"/>
    </row>
    <row r="112" spans="1:8" s="70" customFormat="1" ht="11.25" hidden="1" x14ac:dyDescent="0.2">
      <c r="A112" s="94">
        <v>0</v>
      </c>
      <c r="B112" s="85"/>
      <c r="C112" s="85">
        <v>42.02</v>
      </c>
      <c r="D112" s="85"/>
      <c r="E112" s="85">
        <v>49.994</v>
      </c>
      <c r="F112" s="85">
        <f>SUM(A112:E112)</f>
        <v>92.01400000000001</v>
      </c>
      <c r="G112" s="180" t="s">
        <v>88</v>
      </c>
      <c r="H112" s="99"/>
    </row>
    <row r="113" spans="1:8" s="70" customFormat="1" ht="11.25" hidden="1" x14ac:dyDescent="0.2">
      <c r="A113" s="94">
        <v>0</v>
      </c>
      <c r="B113" s="85"/>
      <c r="C113" s="85">
        <v>47.280999999999999</v>
      </c>
      <c r="D113" s="85"/>
      <c r="E113" s="85">
        <v>47.939</v>
      </c>
      <c r="F113" s="85">
        <f>SUM(A113:E113)</f>
        <v>95.22</v>
      </c>
      <c r="G113" s="180" t="s">
        <v>89</v>
      </c>
      <c r="H113" s="99"/>
    </row>
    <row r="114" spans="1:8" s="70" customFormat="1" ht="11.25" hidden="1" x14ac:dyDescent="0.2">
      <c r="A114" s="94">
        <f t="shared" ref="A114:F114" si="31">SUM(A111:A113)</f>
        <v>0</v>
      </c>
      <c r="B114" s="85"/>
      <c r="C114" s="85">
        <f>SUM(C111:C113)</f>
        <v>140.02500000000001</v>
      </c>
      <c r="D114" s="85"/>
      <c r="E114" s="85">
        <f t="shared" si="31"/>
        <v>148.233</v>
      </c>
      <c r="F114" s="85">
        <f t="shared" si="31"/>
        <v>288.25800000000004</v>
      </c>
      <c r="G114" s="180" t="s">
        <v>51</v>
      </c>
      <c r="H114" s="99"/>
    </row>
    <row r="115" spans="1:8" s="70" customFormat="1" ht="9" hidden="1" customHeight="1" x14ac:dyDescent="0.2">
      <c r="A115" s="94"/>
      <c r="B115" s="85"/>
      <c r="C115" s="85"/>
      <c r="D115" s="85"/>
      <c r="E115" s="85"/>
      <c r="F115" s="85"/>
      <c r="G115" s="180"/>
      <c r="H115" s="99"/>
    </row>
    <row r="116" spans="1:8" s="70" customFormat="1" ht="11.25" hidden="1" x14ac:dyDescent="0.2">
      <c r="A116" s="94">
        <v>0</v>
      </c>
      <c r="B116" s="85"/>
      <c r="C116" s="85">
        <v>51.46</v>
      </c>
      <c r="D116" s="85"/>
      <c r="E116" s="85">
        <v>60.256</v>
      </c>
      <c r="F116" s="85">
        <f>SUM(A116:E116)</f>
        <v>111.71600000000001</v>
      </c>
      <c r="G116" s="180" t="s">
        <v>75</v>
      </c>
      <c r="H116" s="99">
        <v>2012</v>
      </c>
    </row>
    <row r="117" spans="1:8" s="70" customFormat="1" ht="11.25" hidden="1" x14ac:dyDescent="0.2">
      <c r="A117" s="94">
        <v>0</v>
      </c>
      <c r="B117" s="85"/>
      <c r="C117" s="85">
        <v>44.026000000000003</v>
      </c>
      <c r="D117" s="85"/>
      <c r="E117" s="85">
        <v>53.76</v>
      </c>
      <c r="F117" s="85">
        <f>SUM(A117:E117)</f>
        <v>97.786000000000001</v>
      </c>
      <c r="G117" s="180" t="s">
        <v>76</v>
      </c>
      <c r="H117" s="99"/>
    </row>
    <row r="118" spans="1:8" s="70" customFormat="1" ht="11.25" hidden="1" x14ac:dyDescent="0.2">
      <c r="A118" s="94">
        <v>0</v>
      </c>
      <c r="B118" s="85"/>
      <c r="C118" s="85">
        <v>51.844999999999999</v>
      </c>
      <c r="D118" s="85"/>
      <c r="E118" s="85">
        <v>67.043999999999997</v>
      </c>
      <c r="F118" s="85">
        <f>SUM(A118:E118)</f>
        <v>118.889</v>
      </c>
      <c r="G118" s="180" t="s">
        <v>77</v>
      </c>
      <c r="H118" s="99"/>
    </row>
    <row r="119" spans="1:8" s="70" customFormat="1" ht="11.25" hidden="1" x14ac:dyDescent="0.2">
      <c r="A119" s="94">
        <f t="shared" ref="A119:E119" si="32">SUM(A116:A118)</f>
        <v>0</v>
      </c>
      <c r="B119" s="85"/>
      <c r="C119" s="85">
        <f t="shared" si="32"/>
        <v>147.33100000000002</v>
      </c>
      <c r="D119" s="85"/>
      <c r="E119" s="85">
        <f t="shared" si="32"/>
        <v>181.06</v>
      </c>
      <c r="F119" s="85">
        <f>SUM(F116:F118)</f>
        <v>328.39100000000002</v>
      </c>
      <c r="G119" s="180" t="s">
        <v>48</v>
      </c>
      <c r="H119" s="99">
        <v>2012</v>
      </c>
    </row>
    <row r="120" spans="1:8" s="70" customFormat="1" ht="11.25" hidden="1" x14ac:dyDescent="0.2">
      <c r="A120" s="94">
        <v>0</v>
      </c>
      <c r="B120" s="85"/>
      <c r="C120" s="85">
        <v>51.087000000000003</v>
      </c>
      <c r="D120" s="85"/>
      <c r="E120" s="85">
        <v>64.203999999999994</v>
      </c>
      <c r="F120" s="85">
        <f>SUM(A120:E120)</f>
        <v>115.291</v>
      </c>
      <c r="G120" s="180" t="s">
        <v>79</v>
      </c>
      <c r="H120" s="99"/>
    </row>
    <row r="121" spans="1:8" s="70" customFormat="1" ht="11.25" hidden="1" x14ac:dyDescent="0.2">
      <c r="A121" s="94">
        <v>0</v>
      </c>
      <c r="B121" s="85"/>
      <c r="C121" s="85">
        <v>53.795000000000002</v>
      </c>
      <c r="D121" s="85"/>
      <c r="E121" s="85">
        <v>61.343000000000004</v>
      </c>
      <c r="F121" s="85">
        <f>SUM(A121:E121)</f>
        <v>115.13800000000001</v>
      </c>
      <c r="G121" s="180" t="s">
        <v>80</v>
      </c>
      <c r="H121" s="99"/>
    </row>
    <row r="122" spans="1:8" s="70" customFormat="1" ht="11.25" hidden="1" x14ac:dyDescent="0.2">
      <c r="A122" s="94">
        <v>0</v>
      </c>
      <c r="B122" s="85"/>
      <c r="C122" s="85">
        <v>50.012999999999998</v>
      </c>
      <c r="D122" s="85"/>
      <c r="E122" s="85">
        <v>50.566000000000003</v>
      </c>
      <c r="F122" s="85">
        <f>SUM(A122:E122)</f>
        <v>100.57900000000001</v>
      </c>
      <c r="G122" s="180" t="s">
        <v>81</v>
      </c>
      <c r="H122" s="99"/>
    </row>
    <row r="123" spans="1:8" s="70" customFormat="1" ht="11.25" hidden="1" x14ac:dyDescent="0.2">
      <c r="A123" s="94">
        <f t="shared" ref="A123:F123" si="33">SUM(A120:A122)</f>
        <v>0</v>
      </c>
      <c r="B123" s="85"/>
      <c r="C123" s="85">
        <f t="shared" si="33"/>
        <v>154.89500000000001</v>
      </c>
      <c r="D123" s="85"/>
      <c r="E123" s="85">
        <f t="shared" si="33"/>
        <v>176.113</v>
      </c>
      <c r="F123" s="85">
        <f t="shared" si="33"/>
        <v>331.00800000000004</v>
      </c>
      <c r="G123" s="180" t="s">
        <v>49</v>
      </c>
      <c r="H123" s="99"/>
    </row>
    <row r="124" spans="1:8" s="70" customFormat="1" ht="11.25" hidden="1" x14ac:dyDescent="0.2">
      <c r="A124" s="94">
        <v>0</v>
      </c>
      <c r="B124" s="85"/>
      <c r="C124" s="85">
        <v>58.286999999999999</v>
      </c>
      <c r="D124" s="85"/>
      <c r="E124" s="85">
        <v>56.305</v>
      </c>
      <c r="F124" s="85">
        <f>SUM(A124:E124)</f>
        <v>114.592</v>
      </c>
      <c r="G124" s="180" t="s">
        <v>83</v>
      </c>
      <c r="H124" s="99"/>
    </row>
    <row r="125" spans="1:8" s="70" customFormat="1" ht="11.25" hidden="1" x14ac:dyDescent="0.2">
      <c r="A125" s="94">
        <v>0</v>
      </c>
      <c r="B125" s="85"/>
      <c r="C125" s="85">
        <v>48.753</v>
      </c>
      <c r="D125" s="85"/>
      <c r="E125" s="85">
        <v>52.533999999999999</v>
      </c>
      <c r="F125" s="85">
        <f>SUM(A125:E125)</f>
        <v>101.28700000000001</v>
      </c>
      <c r="G125" s="180" t="s">
        <v>84</v>
      </c>
      <c r="H125" s="99"/>
    </row>
    <row r="126" spans="1:8" s="70" customFormat="1" ht="11.25" hidden="1" x14ac:dyDescent="0.2">
      <c r="A126" s="94">
        <v>0</v>
      </c>
      <c r="B126" s="85"/>
      <c r="C126" s="85">
        <v>43.320999999999998</v>
      </c>
      <c r="D126" s="85"/>
      <c r="E126" s="85">
        <v>48.542999999999999</v>
      </c>
      <c r="F126" s="85">
        <f>SUM(A126:E126)</f>
        <v>91.864000000000004</v>
      </c>
      <c r="G126" s="180" t="s">
        <v>85</v>
      </c>
      <c r="H126" s="99"/>
    </row>
    <row r="127" spans="1:8" s="70" customFormat="1" ht="11.25" hidden="1" x14ac:dyDescent="0.2">
      <c r="A127" s="94">
        <f t="shared" ref="A127:F127" si="34">SUM(A124:A126)</f>
        <v>0</v>
      </c>
      <c r="B127" s="85"/>
      <c r="C127" s="85">
        <f t="shared" si="34"/>
        <v>150.36099999999999</v>
      </c>
      <c r="D127" s="85"/>
      <c r="E127" s="85">
        <f t="shared" si="34"/>
        <v>157.38200000000001</v>
      </c>
      <c r="F127" s="85">
        <f t="shared" si="34"/>
        <v>307.74300000000005</v>
      </c>
      <c r="G127" s="180" t="s">
        <v>50</v>
      </c>
      <c r="H127" s="99"/>
    </row>
    <row r="128" spans="1:8" s="70" customFormat="1" ht="11.25" hidden="1" x14ac:dyDescent="0.2">
      <c r="A128" s="94">
        <v>0</v>
      </c>
      <c r="B128" s="85"/>
      <c r="C128" s="85">
        <v>48.347999999999999</v>
      </c>
      <c r="D128" s="85"/>
      <c r="E128" s="85">
        <v>53.481000000000002</v>
      </c>
      <c r="F128" s="85">
        <f>SUM(A128:E128)</f>
        <v>101.82900000000001</v>
      </c>
      <c r="G128" s="180" t="s">
        <v>87</v>
      </c>
      <c r="H128" s="99"/>
    </row>
    <row r="129" spans="1:8" s="70" customFormat="1" ht="11.25" hidden="1" x14ac:dyDescent="0.2">
      <c r="A129" s="94">
        <v>0</v>
      </c>
      <c r="B129" s="85"/>
      <c r="C129" s="85">
        <v>42.584000000000003</v>
      </c>
      <c r="D129" s="85"/>
      <c r="E129" s="85">
        <v>53.253999999999998</v>
      </c>
      <c r="F129" s="85">
        <f>SUM(A129:E129)</f>
        <v>95.837999999999994</v>
      </c>
      <c r="G129" s="180" t="s">
        <v>88</v>
      </c>
      <c r="H129" s="99"/>
    </row>
    <row r="130" spans="1:8" s="70" customFormat="1" ht="11.25" hidden="1" x14ac:dyDescent="0.2">
      <c r="A130" s="94">
        <v>0</v>
      </c>
      <c r="B130" s="85"/>
      <c r="C130" s="85">
        <v>46.670999999999999</v>
      </c>
      <c r="D130" s="85"/>
      <c r="E130" s="85">
        <v>58.99</v>
      </c>
      <c r="F130" s="85">
        <f>SUM(A130:E130)</f>
        <v>105.661</v>
      </c>
      <c r="G130" s="180" t="s">
        <v>89</v>
      </c>
      <c r="H130" s="99"/>
    </row>
    <row r="131" spans="1:8" s="70" customFormat="1" ht="11.25" hidden="1" x14ac:dyDescent="0.2">
      <c r="A131" s="94">
        <f t="shared" ref="A131:F131" si="35">SUM(A128:A130)</f>
        <v>0</v>
      </c>
      <c r="B131" s="85"/>
      <c r="C131" s="85">
        <f t="shared" si="35"/>
        <v>137.60300000000001</v>
      </c>
      <c r="D131" s="85"/>
      <c r="E131" s="85">
        <f t="shared" si="35"/>
        <v>165.72499999999999</v>
      </c>
      <c r="F131" s="85">
        <f t="shared" si="35"/>
        <v>303.32799999999997</v>
      </c>
      <c r="G131" s="180" t="s">
        <v>51</v>
      </c>
      <c r="H131" s="99"/>
    </row>
    <row r="132" spans="1:8" s="70" customFormat="1" ht="8.25" hidden="1" customHeight="1" x14ac:dyDescent="0.2">
      <c r="A132" s="94"/>
      <c r="B132" s="85"/>
      <c r="C132" s="85"/>
      <c r="D132" s="85"/>
      <c r="E132" s="85"/>
      <c r="F132" s="85"/>
      <c r="G132" s="180"/>
      <c r="H132" s="99"/>
    </row>
    <row r="133" spans="1:8" s="70" customFormat="1" ht="11.25" hidden="1" x14ac:dyDescent="0.2">
      <c r="A133" s="94">
        <v>0</v>
      </c>
      <c r="B133" s="85"/>
      <c r="C133" s="85">
        <v>46.320999999999998</v>
      </c>
      <c r="D133" s="85"/>
      <c r="E133" s="85">
        <v>66.965000000000003</v>
      </c>
      <c r="F133" s="85">
        <f>SUM(A133:E133)</f>
        <v>113.286</v>
      </c>
      <c r="G133" s="180" t="s">
        <v>75</v>
      </c>
      <c r="H133" s="99">
        <v>2013</v>
      </c>
    </row>
    <row r="134" spans="1:8" s="70" customFormat="1" ht="11.25" hidden="1" x14ac:dyDescent="0.2">
      <c r="A134" s="94">
        <v>0</v>
      </c>
      <c r="B134" s="85"/>
      <c r="C134" s="85">
        <v>49.755000000000003</v>
      </c>
      <c r="D134" s="85"/>
      <c r="E134" s="85">
        <v>61.805999999999997</v>
      </c>
      <c r="F134" s="85">
        <f>SUM(A134:E134)</f>
        <v>111.56100000000001</v>
      </c>
      <c r="G134" s="180" t="s">
        <v>76</v>
      </c>
      <c r="H134" s="99"/>
    </row>
    <row r="135" spans="1:8" s="70" customFormat="1" ht="11.25" hidden="1" x14ac:dyDescent="0.2">
      <c r="A135" s="94">
        <v>5.3999999999999999E-2</v>
      </c>
      <c r="B135" s="85"/>
      <c r="C135" s="85">
        <v>45.945999999999998</v>
      </c>
      <c r="D135" s="85"/>
      <c r="E135" s="85">
        <v>61.768000000000001</v>
      </c>
      <c r="F135" s="85">
        <f>SUM(A135:E135)</f>
        <v>107.768</v>
      </c>
      <c r="G135" s="180" t="s">
        <v>77</v>
      </c>
      <c r="H135" s="99"/>
    </row>
    <row r="136" spans="1:8" s="70" customFormat="1" ht="11.25" hidden="1" x14ac:dyDescent="0.2">
      <c r="A136" s="129">
        <f>SUM(A133:A135)</f>
        <v>5.3999999999999999E-2</v>
      </c>
      <c r="B136" s="130"/>
      <c r="C136" s="130">
        <f t="shared" ref="C136:F136" si="36">SUM(C133:C135)</f>
        <v>142.02199999999999</v>
      </c>
      <c r="D136" s="130"/>
      <c r="E136" s="130">
        <f t="shared" si="36"/>
        <v>190.53900000000002</v>
      </c>
      <c r="F136" s="130">
        <f t="shared" si="36"/>
        <v>332.61500000000001</v>
      </c>
      <c r="G136" s="181" t="s">
        <v>48</v>
      </c>
      <c r="H136" s="136">
        <v>2013</v>
      </c>
    </row>
    <row r="137" spans="1:8" s="70" customFormat="1" ht="11.25" hidden="1" x14ac:dyDescent="0.2">
      <c r="A137" s="129">
        <v>0</v>
      </c>
      <c r="B137" s="130"/>
      <c r="C137" s="130">
        <v>49.075000000000003</v>
      </c>
      <c r="D137" s="130"/>
      <c r="E137" s="130">
        <v>68.275000000000006</v>
      </c>
      <c r="F137" s="130">
        <f>SUM(A137:E137)</f>
        <v>117.35000000000001</v>
      </c>
      <c r="G137" s="181" t="s">
        <v>79</v>
      </c>
      <c r="H137" s="136"/>
    </row>
    <row r="138" spans="1:8" s="70" customFormat="1" ht="11.25" hidden="1" x14ac:dyDescent="0.2">
      <c r="A138" s="129">
        <v>0</v>
      </c>
      <c r="B138" s="130"/>
      <c r="C138" s="130">
        <v>55.197000000000003</v>
      </c>
      <c r="D138" s="130"/>
      <c r="E138" s="130">
        <v>65.260999999999996</v>
      </c>
      <c r="F138" s="130">
        <f>SUM(A138:E138)</f>
        <v>120.458</v>
      </c>
      <c r="G138" s="181" t="s">
        <v>80</v>
      </c>
      <c r="H138" s="136"/>
    </row>
    <row r="139" spans="1:8" s="70" customFormat="1" ht="11.25" hidden="1" x14ac:dyDescent="0.2">
      <c r="A139" s="129">
        <v>1E-3</v>
      </c>
      <c r="B139" s="130"/>
      <c r="C139" s="130">
        <v>53.744</v>
      </c>
      <c r="D139" s="130"/>
      <c r="E139" s="130">
        <v>59.850999999999999</v>
      </c>
      <c r="F139" s="130">
        <f>SUM(A139:E139)</f>
        <v>113.596</v>
      </c>
      <c r="G139" s="181" t="s">
        <v>81</v>
      </c>
      <c r="H139" s="136"/>
    </row>
    <row r="140" spans="1:8" s="70" customFormat="1" ht="11.25" hidden="1" x14ac:dyDescent="0.2">
      <c r="A140" s="129">
        <f>SUM(A137:A139)</f>
        <v>1E-3</v>
      </c>
      <c r="B140" s="130"/>
      <c r="C140" s="130">
        <f t="shared" ref="C140:E140" si="37">SUM(C137:C139)</f>
        <v>158.01600000000002</v>
      </c>
      <c r="D140" s="130"/>
      <c r="E140" s="130">
        <f t="shared" si="37"/>
        <v>193.387</v>
      </c>
      <c r="F140" s="130">
        <f>SUM(F137:F139)</f>
        <v>351.404</v>
      </c>
      <c r="G140" s="181" t="s">
        <v>49</v>
      </c>
      <c r="H140" s="136"/>
    </row>
    <row r="141" spans="1:8" s="70" customFormat="1" ht="11.25" hidden="1" x14ac:dyDescent="0.2">
      <c r="A141" s="129">
        <v>5.0000000000000001E-3</v>
      </c>
      <c r="B141" s="130"/>
      <c r="C141" s="130">
        <v>57.375999999999998</v>
      </c>
      <c r="D141" s="130"/>
      <c r="E141" s="130">
        <v>59.551000000000002</v>
      </c>
      <c r="F141" s="130">
        <f>SUM(A141:E141)</f>
        <v>116.932</v>
      </c>
      <c r="G141" s="181" t="s">
        <v>83</v>
      </c>
      <c r="H141" s="136"/>
    </row>
    <row r="142" spans="1:8" s="70" customFormat="1" ht="11.25" hidden="1" x14ac:dyDescent="0.2">
      <c r="A142" s="129">
        <v>0</v>
      </c>
      <c r="B142" s="130"/>
      <c r="C142" s="130">
        <v>52.912999999999997</v>
      </c>
      <c r="D142" s="130"/>
      <c r="E142" s="130">
        <v>53.529000000000003</v>
      </c>
      <c r="F142" s="130">
        <f>SUM(A142:E142)</f>
        <v>106.44200000000001</v>
      </c>
      <c r="G142" s="181" t="s">
        <v>84</v>
      </c>
      <c r="H142" s="136"/>
    </row>
    <row r="143" spans="1:8" s="70" customFormat="1" ht="11.25" hidden="1" x14ac:dyDescent="0.2">
      <c r="A143" s="129">
        <v>6.0000000000000001E-3</v>
      </c>
      <c r="B143" s="130"/>
      <c r="C143" s="130">
        <v>45.372</v>
      </c>
      <c r="D143" s="130"/>
      <c r="E143" s="130">
        <v>41.765000000000001</v>
      </c>
      <c r="F143" s="130">
        <f>SUM(A143:E143)</f>
        <v>87.143000000000001</v>
      </c>
      <c r="G143" s="181" t="s">
        <v>85</v>
      </c>
      <c r="H143" s="136"/>
    </row>
    <row r="144" spans="1:8" s="70" customFormat="1" ht="11.25" hidden="1" x14ac:dyDescent="0.2">
      <c r="A144" s="129">
        <f t="shared" ref="A144:F144" si="38">SUM(A141:A143)</f>
        <v>1.0999999999999999E-2</v>
      </c>
      <c r="B144" s="130"/>
      <c r="C144" s="130">
        <f t="shared" si="38"/>
        <v>155.661</v>
      </c>
      <c r="D144" s="130"/>
      <c r="E144" s="130">
        <f t="shared" si="38"/>
        <v>154.84500000000003</v>
      </c>
      <c r="F144" s="130">
        <f t="shared" si="38"/>
        <v>310.51700000000005</v>
      </c>
      <c r="G144" s="181" t="s">
        <v>50</v>
      </c>
      <c r="H144" s="136"/>
    </row>
    <row r="145" spans="1:8" s="70" customFormat="1" ht="11.25" hidden="1" x14ac:dyDescent="0.2">
      <c r="A145" s="129">
        <v>3.0000000000000001E-3</v>
      </c>
      <c r="B145" s="130"/>
      <c r="C145" s="130">
        <v>49.695</v>
      </c>
      <c r="D145" s="130"/>
      <c r="E145" s="130">
        <v>41.613</v>
      </c>
      <c r="F145" s="130">
        <f>SUM(A145:E145)</f>
        <v>91.311000000000007</v>
      </c>
      <c r="G145" s="181" t="s">
        <v>87</v>
      </c>
      <c r="H145" s="136"/>
    </row>
    <row r="146" spans="1:8" s="70" customFormat="1" ht="11.25" hidden="1" x14ac:dyDescent="0.2">
      <c r="A146" s="129">
        <v>0</v>
      </c>
      <c r="B146" s="130"/>
      <c r="C146" s="130">
        <v>45.334000000000003</v>
      </c>
      <c r="D146" s="130"/>
      <c r="E146" s="130">
        <v>41.832000000000001</v>
      </c>
      <c r="F146" s="130">
        <f>SUM(A146:E146)</f>
        <v>87.165999999999997</v>
      </c>
      <c r="G146" s="181" t="s">
        <v>88</v>
      </c>
      <c r="H146" s="136"/>
    </row>
    <row r="147" spans="1:8" s="70" customFormat="1" ht="11.25" hidden="1" x14ac:dyDescent="0.2">
      <c r="A147" s="129">
        <v>0</v>
      </c>
      <c r="B147" s="130"/>
      <c r="C147" s="130">
        <v>47.375</v>
      </c>
      <c r="D147" s="130"/>
      <c r="E147" s="130">
        <v>52.81</v>
      </c>
      <c r="F147" s="130">
        <f>SUM(A147:E147)</f>
        <v>100.185</v>
      </c>
      <c r="G147" s="181" t="s">
        <v>89</v>
      </c>
      <c r="H147" s="136"/>
    </row>
    <row r="148" spans="1:8" s="70" customFormat="1" ht="11.25" hidden="1" x14ac:dyDescent="0.2">
      <c r="A148" s="129">
        <f>SUM(A145:A147)</f>
        <v>3.0000000000000001E-3</v>
      </c>
      <c r="B148" s="130"/>
      <c r="C148" s="130">
        <f t="shared" ref="C148:F148" si="39">SUM(C145:C147)</f>
        <v>142.404</v>
      </c>
      <c r="D148" s="130"/>
      <c r="E148" s="130">
        <f t="shared" si="39"/>
        <v>136.255</v>
      </c>
      <c r="F148" s="130">
        <f t="shared" si="39"/>
        <v>278.66200000000003</v>
      </c>
      <c r="G148" s="181" t="s">
        <v>51</v>
      </c>
      <c r="H148" s="136"/>
    </row>
    <row r="149" spans="1:8" s="70" customFormat="1" ht="6.75" hidden="1" customHeight="1" x14ac:dyDescent="0.2">
      <c r="A149" s="118"/>
      <c r="B149" s="119"/>
      <c r="C149" s="119"/>
      <c r="D149" s="119"/>
      <c r="E149" s="119"/>
      <c r="F149" s="119"/>
      <c r="G149" s="182"/>
      <c r="H149" s="99"/>
    </row>
    <row r="150" spans="1:8" s="70" customFormat="1" ht="15.75" hidden="1" customHeight="1" x14ac:dyDescent="0.2">
      <c r="A150" s="129">
        <v>0</v>
      </c>
      <c r="B150" s="130"/>
      <c r="C150" s="130">
        <v>53.259</v>
      </c>
      <c r="D150" s="130"/>
      <c r="E150" s="130">
        <v>46.158999999999999</v>
      </c>
      <c r="F150" s="130">
        <f>SUM(A150:E150)</f>
        <v>99.418000000000006</v>
      </c>
      <c r="G150" s="181" t="s">
        <v>75</v>
      </c>
      <c r="H150" s="136">
        <v>2014</v>
      </c>
    </row>
    <row r="151" spans="1:8" s="70" customFormat="1" ht="11.25" hidden="1" x14ac:dyDescent="0.2">
      <c r="A151" s="129">
        <v>0</v>
      </c>
      <c r="B151" s="130"/>
      <c r="C151" s="130">
        <v>56.686999999999998</v>
      </c>
      <c r="D151" s="130"/>
      <c r="E151" s="130">
        <v>40.350999999999999</v>
      </c>
      <c r="F151" s="130">
        <f>SUM(A151:E151)</f>
        <v>97.037999999999997</v>
      </c>
      <c r="G151" s="181" t="s">
        <v>76</v>
      </c>
      <c r="H151" s="123"/>
    </row>
    <row r="152" spans="1:8" s="70" customFormat="1" ht="11.25" hidden="1" x14ac:dyDescent="0.2">
      <c r="A152" s="118">
        <v>0</v>
      </c>
      <c r="B152" s="119"/>
      <c r="C152" s="119">
        <v>57.667000000000002</v>
      </c>
      <c r="D152" s="119"/>
      <c r="E152" s="119">
        <v>50.411999999999999</v>
      </c>
      <c r="F152" s="130">
        <f>SUM(A152:E152)</f>
        <v>108.07900000000001</v>
      </c>
      <c r="G152" s="182" t="s">
        <v>77</v>
      </c>
      <c r="H152" s="123"/>
    </row>
    <row r="153" spans="1:8" s="70" customFormat="1" ht="11.25" hidden="1" x14ac:dyDescent="0.2">
      <c r="A153" s="129">
        <f t="shared" ref="A153:F153" si="40">SUM(A150:A152)</f>
        <v>0</v>
      </c>
      <c r="B153" s="130"/>
      <c r="C153" s="130">
        <f t="shared" si="40"/>
        <v>167.613</v>
      </c>
      <c r="D153" s="130"/>
      <c r="E153" s="130">
        <f t="shared" si="40"/>
        <v>136.922</v>
      </c>
      <c r="F153" s="130">
        <f t="shared" si="40"/>
        <v>304.53500000000003</v>
      </c>
      <c r="G153" s="181" t="s">
        <v>48</v>
      </c>
      <c r="H153" s="136">
        <v>2014</v>
      </c>
    </row>
    <row r="154" spans="1:8" s="70" customFormat="1" ht="11.25" hidden="1" x14ac:dyDescent="0.2">
      <c r="A154" s="129">
        <v>0</v>
      </c>
      <c r="B154" s="130"/>
      <c r="C154" s="130">
        <v>49.162999999999997</v>
      </c>
      <c r="D154" s="130"/>
      <c r="E154" s="130">
        <v>55.383000000000003</v>
      </c>
      <c r="F154" s="130">
        <f>SUM(A154:E154)</f>
        <v>104.54599999999999</v>
      </c>
      <c r="G154" s="181" t="s">
        <v>79</v>
      </c>
      <c r="H154" s="123"/>
    </row>
    <row r="155" spans="1:8" s="70" customFormat="1" ht="11.25" hidden="1" x14ac:dyDescent="0.2">
      <c r="A155" s="129">
        <v>2E-3</v>
      </c>
      <c r="B155" s="130"/>
      <c r="C155" s="130">
        <v>52.72</v>
      </c>
      <c r="D155" s="130"/>
      <c r="E155" s="130">
        <v>46.776000000000003</v>
      </c>
      <c r="F155" s="130">
        <f>SUM(A155:E155)</f>
        <v>99.498000000000005</v>
      </c>
      <c r="G155" s="181" t="s">
        <v>80</v>
      </c>
      <c r="H155" s="123"/>
    </row>
    <row r="156" spans="1:8" s="70" customFormat="1" ht="11.25" hidden="1" x14ac:dyDescent="0.2">
      <c r="A156" s="129">
        <v>3.0000000000000001E-3</v>
      </c>
      <c r="B156" s="130"/>
      <c r="C156" s="130">
        <v>57.953000000000003</v>
      </c>
      <c r="D156" s="130"/>
      <c r="E156" s="130">
        <v>49.566000000000003</v>
      </c>
      <c r="F156" s="130">
        <f>SUM(A156:E156)</f>
        <v>107.52200000000001</v>
      </c>
      <c r="G156" s="181" t="s">
        <v>81</v>
      </c>
      <c r="H156" s="123"/>
    </row>
    <row r="157" spans="1:8" s="70" customFormat="1" ht="11.25" hidden="1" x14ac:dyDescent="0.2">
      <c r="A157" s="129">
        <f t="shared" ref="A157:F157" si="41">SUM(A154:A156)</f>
        <v>5.0000000000000001E-3</v>
      </c>
      <c r="B157" s="130"/>
      <c r="C157" s="130">
        <f t="shared" si="41"/>
        <v>159.83600000000001</v>
      </c>
      <c r="D157" s="130"/>
      <c r="E157" s="130">
        <f t="shared" si="41"/>
        <v>151.72500000000002</v>
      </c>
      <c r="F157" s="130">
        <f t="shared" si="41"/>
        <v>311.56599999999997</v>
      </c>
      <c r="G157" s="181" t="s">
        <v>49</v>
      </c>
      <c r="H157" s="123"/>
    </row>
    <row r="158" spans="1:8" s="70" customFormat="1" ht="11.25" hidden="1" x14ac:dyDescent="0.2">
      <c r="A158" s="129">
        <v>2E-3</v>
      </c>
      <c r="B158" s="130"/>
      <c r="C158" s="130">
        <v>49.868000000000002</v>
      </c>
      <c r="D158" s="130"/>
      <c r="E158" s="130">
        <v>61.182000000000002</v>
      </c>
      <c r="F158" s="130">
        <f>SUM(A158:E158)</f>
        <v>111.05200000000001</v>
      </c>
      <c r="G158" s="181" t="s">
        <v>83</v>
      </c>
      <c r="H158" s="123"/>
    </row>
    <row r="159" spans="1:8" s="70" customFormat="1" ht="11.25" hidden="1" x14ac:dyDescent="0.2">
      <c r="A159" s="129">
        <v>2.5999999999999999E-2</v>
      </c>
      <c r="B159" s="130"/>
      <c r="C159" s="130">
        <v>50.05</v>
      </c>
      <c r="D159" s="130"/>
      <c r="E159" s="130">
        <v>49.43</v>
      </c>
      <c r="F159" s="130">
        <f>SUM(A159:E159)</f>
        <v>99.506</v>
      </c>
      <c r="G159" s="181" t="s">
        <v>84</v>
      </c>
      <c r="H159" s="123"/>
    </row>
    <row r="160" spans="1:8" s="70" customFormat="1" ht="11.25" hidden="1" x14ac:dyDescent="0.2">
      <c r="A160" s="129">
        <v>0</v>
      </c>
      <c r="B160" s="130"/>
      <c r="C160" s="130">
        <v>48.92</v>
      </c>
      <c r="D160" s="130"/>
      <c r="E160" s="130">
        <v>46.085000000000001</v>
      </c>
      <c r="F160" s="130">
        <f>SUM(A160:E160)</f>
        <v>95.004999999999995</v>
      </c>
      <c r="G160" s="181" t="s">
        <v>85</v>
      </c>
      <c r="H160" s="123"/>
    </row>
    <row r="161" spans="1:8" s="70" customFormat="1" ht="11.25" hidden="1" x14ac:dyDescent="0.2">
      <c r="A161" s="129">
        <f t="shared" ref="A161:F161" si="42">SUM(A158:A160)</f>
        <v>2.7999999999999997E-2</v>
      </c>
      <c r="B161" s="130"/>
      <c r="C161" s="130">
        <f t="shared" si="42"/>
        <v>148.83800000000002</v>
      </c>
      <c r="D161" s="130"/>
      <c r="E161" s="130">
        <f t="shared" si="42"/>
        <v>156.697</v>
      </c>
      <c r="F161" s="130">
        <f t="shared" si="42"/>
        <v>305.56299999999999</v>
      </c>
      <c r="G161" s="181" t="s">
        <v>50</v>
      </c>
      <c r="H161" s="123"/>
    </row>
    <row r="162" spans="1:8" s="70" customFormat="1" ht="11.25" hidden="1" x14ac:dyDescent="0.2">
      <c r="A162" s="129">
        <v>0</v>
      </c>
      <c r="B162" s="130"/>
      <c r="C162" s="130">
        <v>50.241999999999997</v>
      </c>
      <c r="D162" s="130"/>
      <c r="E162" s="130">
        <v>49.588000000000001</v>
      </c>
      <c r="F162" s="130">
        <f>SUM(A162:E162)</f>
        <v>99.83</v>
      </c>
      <c r="G162" s="181" t="s">
        <v>87</v>
      </c>
      <c r="H162" s="123"/>
    </row>
    <row r="163" spans="1:8" s="70" customFormat="1" ht="11.25" hidden="1" x14ac:dyDescent="0.2">
      <c r="A163" s="129">
        <v>2E-3</v>
      </c>
      <c r="B163" s="130"/>
      <c r="C163" s="130">
        <v>48.573999999999998</v>
      </c>
      <c r="D163" s="130"/>
      <c r="E163" s="130">
        <v>41.930999999999997</v>
      </c>
      <c r="F163" s="130">
        <f>SUM(A163:E163)</f>
        <v>90.507000000000005</v>
      </c>
      <c r="G163" s="181" t="s">
        <v>88</v>
      </c>
      <c r="H163" s="123"/>
    </row>
    <row r="164" spans="1:8" s="70" customFormat="1" ht="11.25" hidden="1" x14ac:dyDescent="0.2">
      <c r="A164" s="129">
        <v>0.02</v>
      </c>
      <c r="B164" s="130"/>
      <c r="C164" s="130">
        <v>56.843000000000004</v>
      </c>
      <c r="D164" s="130"/>
      <c r="E164" s="130">
        <v>52.28</v>
      </c>
      <c r="F164" s="130">
        <f>SUM(A164:E164)</f>
        <v>109.143</v>
      </c>
      <c r="G164" s="181" t="s">
        <v>89</v>
      </c>
      <c r="H164" s="123"/>
    </row>
    <row r="165" spans="1:8" s="70" customFormat="1" ht="11.25" hidden="1" x14ac:dyDescent="0.2">
      <c r="A165" s="129">
        <f t="shared" ref="A165:F165" si="43">SUM(A162:A164)</f>
        <v>2.1999999999999999E-2</v>
      </c>
      <c r="B165" s="130"/>
      <c r="C165" s="130">
        <f t="shared" si="43"/>
        <v>155.65899999999999</v>
      </c>
      <c r="D165" s="130"/>
      <c r="E165" s="130">
        <f t="shared" si="43"/>
        <v>143.79900000000001</v>
      </c>
      <c r="F165" s="130">
        <f t="shared" si="43"/>
        <v>299.48</v>
      </c>
      <c r="G165" s="181" t="s">
        <v>51</v>
      </c>
      <c r="H165" s="123"/>
    </row>
    <row r="166" spans="1:8" s="70" customFormat="1" ht="9" hidden="1" customHeight="1" x14ac:dyDescent="0.2">
      <c r="A166" s="118"/>
      <c r="B166" s="119"/>
      <c r="F166" s="119"/>
      <c r="G166" s="182"/>
      <c r="H166" s="123"/>
    </row>
    <row r="167" spans="1:8" s="70" customFormat="1" ht="11.25" hidden="1" x14ac:dyDescent="0.2">
      <c r="A167" s="129">
        <v>0</v>
      </c>
      <c r="B167" s="130"/>
      <c r="C167" s="130">
        <v>47.945</v>
      </c>
      <c r="D167" s="130"/>
      <c r="E167" s="130">
        <v>51.695</v>
      </c>
      <c r="F167" s="130">
        <f>SUM(A167:E167)</f>
        <v>99.64</v>
      </c>
      <c r="G167" s="181" t="s">
        <v>75</v>
      </c>
      <c r="H167" s="136">
        <v>2015</v>
      </c>
    </row>
    <row r="168" spans="1:8" s="70" customFormat="1" ht="11.25" hidden="1" x14ac:dyDescent="0.2">
      <c r="A168" s="129">
        <v>0</v>
      </c>
      <c r="B168" s="130"/>
      <c r="C168" s="130">
        <v>46.933</v>
      </c>
      <c r="D168" s="130"/>
      <c r="E168" s="130">
        <v>49.238</v>
      </c>
      <c r="F168" s="130">
        <f>SUM(A168:E168)</f>
        <v>96.170999999999992</v>
      </c>
      <c r="G168" s="181" t="s">
        <v>76</v>
      </c>
      <c r="H168" s="136"/>
    </row>
    <row r="169" spans="1:8" s="70" customFormat="1" ht="11.25" hidden="1" x14ac:dyDescent="0.2">
      <c r="A169" s="129">
        <v>0</v>
      </c>
      <c r="B169" s="130"/>
      <c r="C169" s="130">
        <v>63.534999999999997</v>
      </c>
      <c r="D169" s="130"/>
      <c r="E169" s="130">
        <v>62.884999999999998</v>
      </c>
      <c r="F169" s="130">
        <f>SUM(A169:E169)</f>
        <v>126.41999999999999</v>
      </c>
      <c r="G169" s="181" t="s">
        <v>77</v>
      </c>
      <c r="H169" s="136"/>
    </row>
    <row r="170" spans="1:8" s="70" customFormat="1" ht="11.25" hidden="1" x14ac:dyDescent="0.2">
      <c r="A170" s="129">
        <f t="shared" ref="A170:F170" si="44">SUM(A167:A169)</f>
        <v>0</v>
      </c>
      <c r="B170" s="130"/>
      <c r="C170" s="130">
        <f t="shared" si="44"/>
        <v>158.41300000000001</v>
      </c>
      <c r="D170" s="130"/>
      <c r="E170" s="130">
        <f t="shared" si="44"/>
        <v>163.81799999999998</v>
      </c>
      <c r="F170" s="130">
        <f t="shared" si="44"/>
        <v>322.23099999999999</v>
      </c>
      <c r="G170" s="181" t="s">
        <v>48</v>
      </c>
      <c r="H170" s="136">
        <v>2015</v>
      </c>
    </row>
    <row r="171" spans="1:8" s="70" customFormat="1" ht="11.25" hidden="1" x14ac:dyDescent="0.2">
      <c r="A171" s="129">
        <v>0</v>
      </c>
      <c r="B171" s="130"/>
      <c r="C171" s="130">
        <v>53.372</v>
      </c>
      <c r="D171" s="130"/>
      <c r="E171" s="130">
        <v>52.33</v>
      </c>
      <c r="F171" s="130">
        <f>SUM(A171:E171)</f>
        <v>105.702</v>
      </c>
      <c r="G171" s="181" t="s">
        <v>79</v>
      </c>
      <c r="H171" s="136"/>
    </row>
    <row r="172" spans="1:8" s="70" customFormat="1" ht="11.25" hidden="1" x14ac:dyDescent="0.2">
      <c r="A172" s="129">
        <v>0</v>
      </c>
      <c r="B172" s="130"/>
      <c r="C172" s="130">
        <v>55.317</v>
      </c>
      <c r="D172" s="130"/>
      <c r="E172" s="130">
        <v>44.741999999999997</v>
      </c>
      <c r="F172" s="130">
        <f>SUM(A172:E172)</f>
        <v>100.059</v>
      </c>
      <c r="G172" s="181" t="s">
        <v>80</v>
      </c>
      <c r="H172" s="136"/>
    </row>
    <row r="173" spans="1:8" s="70" customFormat="1" ht="11.25" hidden="1" x14ac:dyDescent="0.2">
      <c r="A173" s="129">
        <v>0</v>
      </c>
      <c r="B173" s="130"/>
      <c r="C173" s="130">
        <v>61.241</v>
      </c>
      <c r="D173" s="130"/>
      <c r="E173" s="130">
        <v>54.328000000000003</v>
      </c>
      <c r="F173" s="130">
        <f>SUM(A173:E173)</f>
        <v>115.569</v>
      </c>
      <c r="G173" s="181" t="s">
        <v>81</v>
      </c>
      <c r="H173" s="136"/>
    </row>
    <row r="174" spans="1:8" s="70" customFormat="1" ht="11.25" hidden="1" x14ac:dyDescent="0.2">
      <c r="A174" s="129">
        <f t="shared" ref="A174:F174" si="45">SUM(A171:A173)</f>
        <v>0</v>
      </c>
      <c r="B174" s="130"/>
      <c r="C174" s="130">
        <f t="shared" si="45"/>
        <v>169.93</v>
      </c>
      <c r="D174" s="130"/>
      <c r="E174" s="130">
        <f t="shared" si="45"/>
        <v>151.4</v>
      </c>
      <c r="F174" s="130">
        <f t="shared" si="45"/>
        <v>321.33</v>
      </c>
      <c r="G174" s="181" t="s">
        <v>49</v>
      </c>
      <c r="H174" s="136"/>
    </row>
    <row r="175" spans="1:8" s="70" customFormat="1" ht="11.25" hidden="1" x14ac:dyDescent="0.2">
      <c r="A175" s="129">
        <v>7.0000000000000001E-3</v>
      </c>
      <c r="B175" s="130"/>
      <c r="C175" s="130">
        <v>59.926000000000002</v>
      </c>
      <c r="D175" s="130"/>
      <c r="E175" s="130">
        <v>48.268999999999998</v>
      </c>
      <c r="F175" s="130">
        <f>SUM(A175:E175)</f>
        <v>108.202</v>
      </c>
      <c r="G175" s="181" t="s">
        <v>83</v>
      </c>
      <c r="H175" s="136"/>
    </row>
    <row r="176" spans="1:8" s="70" customFormat="1" ht="11.25" hidden="1" x14ac:dyDescent="0.2">
      <c r="A176" s="129">
        <v>0</v>
      </c>
      <c r="B176" s="130"/>
      <c r="C176" s="130">
        <v>62.378999999999998</v>
      </c>
      <c r="D176" s="130"/>
      <c r="E176" s="130">
        <v>43.386000000000003</v>
      </c>
      <c r="F176" s="130">
        <f>SUM(A176:E176)</f>
        <v>105.765</v>
      </c>
      <c r="G176" s="181" t="s">
        <v>84</v>
      </c>
      <c r="H176" s="136"/>
    </row>
    <row r="177" spans="1:8" s="70" customFormat="1" ht="11.25" hidden="1" x14ac:dyDescent="0.2">
      <c r="A177" s="129">
        <v>0</v>
      </c>
      <c r="B177" s="130"/>
      <c r="C177" s="130">
        <v>49.529000000000003</v>
      </c>
      <c r="D177" s="130"/>
      <c r="E177" s="130">
        <v>47.999000000000002</v>
      </c>
      <c r="F177" s="130">
        <f>SUM(A177:E177)</f>
        <v>97.528000000000006</v>
      </c>
      <c r="G177" s="181" t="s">
        <v>85</v>
      </c>
      <c r="H177" s="136"/>
    </row>
    <row r="178" spans="1:8" s="70" customFormat="1" ht="11.25" hidden="1" x14ac:dyDescent="0.2">
      <c r="A178" s="129">
        <f t="shared" ref="A178:F178" si="46">SUM(A175:A177)</f>
        <v>7.0000000000000001E-3</v>
      </c>
      <c r="B178" s="130"/>
      <c r="C178" s="130">
        <f t="shared" si="46"/>
        <v>171.834</v>
      </c>
      <c r="D178" s="130"/>
      <c r="E178" s="130">
        <f t="shared" si="46"/>
        <v>139.654</v>
      </c>
      <c r="F178" s="130">
        <f t="shared" si="46"/>
        <v>311.495</v>
      </c>
      <c r="G178" s="181" t="s">
        <v>50</v>
      </c>
      <c r="H178" s="136"/>
    </row>
    <row r="179" spans="1:8" s="70" customFormat="1" ht="11.25" hidden="1" x14ac:dyDescent="0.2">
      <c r="A179" s="129">
        <v>2.5999999999999999E-2</v>
      </c>
      <c r="B179" s="130"/>
      <c r="C179" s="130">
        <v>57.290999999999997</v>
      </c>
      <c r="D179" s="130"/>
      <c r="E179" s="130">
        <v>49.523000000000003</v>
      </c>
      <c r="F179" s="130">
        <f>SUM(A179:E179)</f>
        <v>106.84</v>
      </c>
      <c r="G179" s="181" t="s">
        <v>87</v>
      </c>
      <c r="H179" s="136"/>
    </row>
    <row r="180" spans="1:8" s="70" customFormat="1" ht="11.25" hidden="1" x14ac:dyDescent="0.2">
      <c r="A180" s="129">
        <v>0</v>
      </c>
      <c r="B180" s="130"/>
      <c r="C180" s="130">
        <v>52.960999999999999</v>
      </c>
      <c r="D180" s="130"/>
      <c r="E180" s="130">
        <v>49.103999999999999</v>
      </c>
      <c r="F180" s="130">
        <f>SUM(A180:E180)</f>
        <v>102.065</v>
      </c>
      <c r="G180" s="181" t="s">
        <v>88</v>
      </c>
      <c r="H180" s="136"/>
    </row>
    <row r="181" spans="1:8" s="70" customFormat="1" ht="11.25" hidden="1" x14ac:dyDescent="0.2">
      <c r="A181" s="129">
        <v>1.6E-2</v>
      </c>
      <c r="B181" s="130"/>
      <c r="C181" s="130">
        <v>58.686999999999998</v>
      </c>
      <c r="D181" s="130"/>
      <c r="E181" s="130">
        <v>50.247999999999998</v>
      </c>
      <c r="F181" s="130">
        <f>SUM(A181:E181)</f>
        <v>108.95099999999999</v>
      </c>
      <c r="G181" s="181" t="s">
        <v>89</v>
      </c>
      <c r="H181" s="136"/>
    </row>
    <row r="182" spans="1:8" s="70" customFormat="1" ht="11.25" hidden="1" x14ac:dyDescent="0.2">
      <c r="A182" s="129">
        <f t="shared" ref="A182:F182" si="47">SUM(A179:A181)</f>
        <v>4.1999999999999996E-2</v>
      </c>
      <c r="B182" s="130"/>
      <c r="C182" s="130">
        <f t="shared" si="47"/>
        <v>168.93899999999999</v>
      </c>
      <c r="D182" s="130"/>
      <c r="E182" s="130">
        <f t="shared" si="47"/>
        <v>148.875</v>
      </c>
      <c r="F182" s="130">
        <f t="shared" si="47"/>
        <v>317.85599999999999</v>
      </c>
      <c r="G182" s="181" t="s">
        <v>51</v>
      </c>
      <c r="H182" s="136"/>
    </row>
    <row r="183" spans="1:8" s="70" customFormat="1" ht="7.5" hidden="1" customHeight="1" x14ac:dyDescent="0.2">
      <c r="A183" s="118"/>
      <c r="B183" s="119"/>
      <c r="C183" s="119"/>
      <c r="D183" s="119"/>
      <c r="E183" s="119"/>
      <c r="F183" s="119"/>
      <c r="G183" s="182"/>
      <c r="H183" s="123"/>
    </row>
    <row r="184" spans="1:8" s="70" customFormat="1" ht="13.5" hidden="1" customHeight="1" x14ac:dyDescent="0.2">
      <c r="A184" s="129">
        <v>0</v>
      </c>
      <c r="B184" s="130"/>
      <c r="C184" s="130">
        <v>55.04</v>
      </c>
      <c r="D184" s="130"/>
      <c r="E184" s="130">
        <v>53.128999999999998</v>
      </c>
      <c r="F184" s="130">
        <f>SUM(A184:E184)</f>
        <v>108.169</v>
      </c>
      <c r="G184" s="181" t="s">
        <v>75</v>
      </c>
      <c r="H184" s="136">
        <v>2016</v>
      </c>
    </row>
    <row r="185" spans="1:8" s="70" customFormat="1" ht="13.5" hidden="1" customHeight="1" x14ac:dyDescent="0.2">
      <c r="A185" s="129">
        <v>0</v>
      </c>
      <c r="B185" s="130"/>
      <c r="C185" s="130">
        <v>61.472999999999999</v>
      </c>
      <c r="D185" s="130"/>
      <c r="E185" s="130">
        <v>53.707999999999998</v>
      </c>
      <c r="F185" s="130">
        <f>SUM(A185:E185)</f>
        <v>115.181</v>
      </c>
      <c r="G185" s="181" t="s">
        <v>76</v>
      </c>
      <c r="H185" s="136"/>
    </row>
    <row r="186" spans="1:8" s="70" customFormat="1" ht="13.5" hidden="1" customHeight="1" x14ac:dyDescent="0.2">
      <c r="A186" s="129">
        <v>2.4E-2</v>
      </c>
      <c r="B186" s="130"/>
      <c r="C186" s="130">
        <v>63.192999999999998</v>
      </c>
      <c r="D186" s="130"/>
      <c r="E186" s="130">
        <v>62.697000000000003</v>
      </c>
      <c r="F186" s="130">
        <f>SUM(A186:E186)</f>
        <v>125.914</v>
      </c>
      <c r="G186" s="181" t="s">
        <v>77</v>
      </c>
      <c r="H186" s="136"/>
    </row>
    <row r="187" spans="1:8" s="70" customFormat="1" ht="13.5" hidden="1" customHeight="1" x14ac:dyDescent="0.2">
      <c r="A187" s="129">
        <f t="shared" ref="A187:F187" si="48">SUM(A184:A186)</f>
        <v>2.4E-2</v>
      </c>
      <c r="B187" s="130"/>
      <c r="C187" s="130">
        <f t="shared" si="48"/>
        <v>179.70600000000002</v>
      </c>
      <c r="D187" s="130"/>
      <c r="E187" s="130">
        <f>SUM(E184:E186)</f>
        <v>169.53399999999999</v>
      </c>
      <c r="F187" s="130">
        <f t="shared" si="48"/>
        <v>349.26400000000001</v>
      </c>
      <c r="G187" s="181" t="s">
        <v>48</v>
      </c>
      <c r="H187" s="136">
        <v>2016</v>
      </c>
    </row>
    <row r="188" spans="1:8" s="70" customFormat="1" ht="13.5" hidden="1" customHeight="1" x14ac:dyDescent="0.2">
      <c r="A188" s="129">
        <v>0</v>
      </c>
      <c r="B188" s="130"/>
      <c r="C188" s="130">
        <v>58.564</v>
      </c>
      <c r="D188" s="130"/>
      <c r="E188" s="130">
        <v>49.43</v>
      </c>
      <c r="F188" s="130">
        <f>SUM(A188:E188)</f>
        <v>107.994</v>
      </c>
      <c r="G188" s="181" t="s">
        <v>79</v>
      </c>
      <c r="H188" s="136"/>
    </row>
    <row r="189" spans="1:8" s="70" customFormat="1" ht="13.5" hidden="1" customHeight="1" x14ac:dyDescent="0.2">
      <c r="A189" s="129">
        <v>0</v>
      </c>
      <c r="B189" s="130"/>
      <c r="C189" s="130">
        <v>69.927999999999997</v>
      </c>
      <c r="D189" s="130"/>
      <c r="E189" s="130">
        <v>54.021000000000001</v>
      </c>
      <c r="F189" s="130">
        <f>SUM(A189:E189)</f>
        <v>123.949</v>
      </c>
      <c r="G189" s="181" t="s">
        <v>80</v>
      </c>
      <c r="H189" s="136"/>
    </row>
    <row r="190" spans="1:8" s="70" customFormat="1" ht="13.5" hidden="1" customHeight="1" x14ac:dyDescent="0.2">
      <c r="A190" s="129">
        <v>0</v>
      </c>
      <c r="B190" s="130"/>
      <c r="C190" s="130">
        <v>64.063000000000002</v>
      </c>
      <c r="D190" s="130"/>
      <c r="E190" s="130">
        <v>52.36</v>
      </c>
      <c r="F190" s="130">
        <f>SUM(A190:E190)</f>
        <v>116.423</v>
      </c>
      <c r="G190" s="181" t="s">
        <v>81</v>
      </c>
      <c r="H190" s="136"/>
    </row>
    <row r="191" spans="1:8" s="70" customFormat="1" ht="13.5" hidden="1" customHeight="1" x14ac:dyDescent="0.2">
      <c r="A191" s="129">
        <f t="shared" ref="A191:F191" si="49">SUM(A188:A190)</f>
        <v>0</v>
      </c>
      <c r="B191" s="130"/>
      <c r="C191" s="130">
        <f t="shared" si="49"/>
        <v>192.55500000000001</v>
      </c>
      <c r="D191" s="130"/>
      <c r="E191" s="130">
        <f t="shared" si="49"/>
        <v>155.81099999999998</v>
      </c>
      <c r="F191" s="130">
        <f t="shared" si="49"/>
        <v>348.36599999999999</v>
      </c>
      <c r="G191" s="181" t="s">
        <v>49</v>
      </c>
      <c r="H191" s="136"/>
    </row>
    <row r="192" spans="1:8" s="70" customFormat="1" ht="13.5" hidden="1" customHeight="1" x14ac:dyDescent="0.2">
      <c r="A192" s="129">
        <v>8.0000000000000002E-3</v>
      </c>
      <c r="B192" s="130"/>
      <c r="C192" s="130">
        <v>58.881999999999998</v>
      </c>
      <c r="D192" s="130"/>
      <c r="E192" s="130">
        <v>52.386000000000003</v>
      </c>
      <c r="F192" s="130">
        <f>SUM(A192:E192)</f>
        <v>111.27600000000001</v>
      </c>
      <c r="G192" s="181" t="s">
        <v>83</v>
      </c>
      <c r="H192" s="136"/>
    </row>
    <row r="193" spans="1:8" s="70" customFormat="1" ht="13.5" hidden="1" customHeight="1" x14ac:dyDescent="0.2">
      <c r="A193" s="129">
        <v>0</v>
      </c>
      <c r="B193" s="130"/>
      <c r="C193" s="130">
        <v>70.491</v>
      </c>
      <c r="D193" s="130"/>
      <c r="E193" s="130">
        <v>53.527000000000001</v>
      </c>
      <c r="F193" s="130">
        <f>SUM(A193:E193)</f>
        <v>124.018</v>
      </c>
      <c r="G193" s="181" t="s">
        <v>84</v>
      </c>
      <c r="H193" s="136"/>
    </row>
    <row r="194" spans="1:8" s="70" customFormat="1" ht="13.5" hidden="1" customHeight="1" x14ac:dyDescent="0.2">
      <c r="A194" s="129">
        <v>1.2999999999999999E-2</v>
      </c>
      <c r="B194" s="130"/>
      <c r="C194" s="130">
        <v>56.386000000000003</v>
      </c>
      <c r="D194" s="130"/>
      <c r="E194" s="130">
        <v>51.274999999999999</v>
      </c>
      <c r="F194" s="130">
        <f>SUM(A194:E194)</f>
        <v>107.67400000000001</v>
      </c>
      <c r="G194" s="181" t="s">
        <v>85</v>
      </c>
      <c r="H194" s="136"/>
    </row>
    <row r="195" spans="1:8" s="70" customFormat="1" ht="13.5" hidden="1" customHeight="1" x14ac:dyDescent="0.2">
      <c r="A195" s="129">
        <f>SUM(A192:A194)</f>
        <v>2.0999999999999998E-2</v>
      </c>
      <c r="B195" s="130"/>
      <c r="C195" s="130">
        <f t="shared" ref="C195:F195" si="50">SUM(C192:C194)</f>
        <v>185.75899999999999</v>
      </c>
      <c r="D195" s="130"/>
      <c r="E195" s="130">
        <f t="shared" si="50"/>
        <v>157.18800000000002</v>
      </c>
      <c r="F195" s="130">
        <f t="shared" si="50"/>
        <v>342.96800000000002</v>
      </c>
      <c r="G195" s="181" t="s">
        <v>50</v>
      </c>
      <c r="H195" s="136"/>
    </row>
    <row r="196" spans="1:8" s="70" customFormat="1" ht="13.5" hidden="1" customHeight="1" x14ac:dyDescent="0.2">
      <c r="A196" s="129">
        <v>0</v>
      </c>
      <c r="B196" s="130"/>
      <c r="C196" s="130">
        <v>54.807000000000002</v>
      </c>
      <c r="D196" s="130"/>
      <c r="E196" s="130">
        <v>52.012</v>
      </c>
      <c r="F196" s="130">
        <f>SUM(A196:E196)</f>
        <v>106.819</v>
      </c>
      <c r="G196" s="181" t="s">
        <v>87</v>
      </c>
      <c r="H196" s="136"/>
    </row>
    <row r="197" spans="1:8" s="70" customFormat="1" ht="13.5" hidden="1" customHeight="1" x14ac:dyDescent="0.2">
      <c r="A197" s="129">
        <v>0</v>
      </c>
      <c r="B197" s="130"/>
      <c r="C197" s="130">
        <v>55.536999999999999</v>
      </c>
      <c r="D197" s="130"/>
      <c r="E197" s="130">
        <v>48.082999999999998</v>
      </c>
      <c r="F197" s="130">
        <f>SUM(A197:E197)</f>
        <v>103.62</v>
      </c>
      <c r="G197" s="181" t="s">
        <v>88</v>
      </c>
      <c r="H197" s="136"/>
    </row>
    <row r="198" spans="1:8" s="70" customFormat="1" ht="13.5" hidden="1" customHeight="1" x14ac:dyDescent="0.2">
      <c r="A198" s="129">
        <v>6.0000000000000001E-3</v>
      </c>
      <c r="B198" s="130"/>
      <c r="C198" s="130">
        <v>59.267000000000003</v>
      </c>
      <c r="D198" s="130"/>
      <c r="E198" s="130">
        <v>50.805999999999997</v>
      </c>
      <c r="F198" s="130">
        <f>SUM(A198:E198)</f>
        <v>110.07900000000001</v>
      </c>
      <c r="G198" s="181" t="s">
        <v>89</v>
      </c>
      <c r="H198" s="136"/>
    </row>
    <row r="199" spans="1:8" s="70" customFormat="1" ht="13.5" hidden="1" customHeight="1" x14ac:dyDescent="0.2">
      <c r="A199" s="129">
        <f t="shared" ref="A199:C199" si="51">SUM(A196:A198)</f>
        <v>6.0000000000000001E-3</v>
      </c>
      <c r="B199" s="130"/>
      <c r="C199" s="130">
        <f t="shared" si="51"/>
        <v>169.61099999999999</v>
      </c>
      <c r="D199" s="130"/>
      <c r="E199" s="130">
        <f>SUM(E196:E198)</f>
        <v>150.90100000000001</v>
      </c>
      <c r="F199" s="130">
        <f>SUM(F196:F198)</f>
        <v>320.51800000000003</v>
      </c>
      <c r="G199" s="181" t="s">
        <v>51</v>
      </c>
      <c r="H199" s="136"/>
    </row>
    <row r="200" spans="1:8" s="70" customFormat="1" ht="13.5" hidden="1" customHeight="1" x14ac:dyDescent="0.2">
      <c r="A200" s="118"/>
      <c r="B200" s="119"/>
      <c r="C200" s="119"/>
      <c r="D200" s="119"/>
      <c r="E200" s="119"/>
      <c r="F200" s="119"/>
      <c r="G200" s="182"/>
      <c r="H200" s="123"/>
    </row>
    <row r="201" spans="1:8" s="70" customFormat="1" ht="13.5" hidden="1" customHeight="1" x14ac:dyDescent="0.2">
      <c r="A201" s="129">
        <v>3.6999999999999998E-2</v>
      </c>
      <c r="B201" s="130"/>
      <c r="C201" s="130">
        <v>65.197999999999993</v>
      </c>
      <c r="D201" s="130"/>
      <c r="E201" s="130">
        <v>57.512999999999998</v>
      </c>
      <c r="F201" s="130">
        <f>SUM(A201:E201)</f>
        <v>122.74799999999999</v>
      </c>
      <c r="G201" s="181" t="s">
        <v>75</v>
      </c>
      <c r="H201" s="136">
        <v>2017</v>
      </c>
    </row>
    <row r="202" spans="1:8" s="70" customFormat="1" ht="13.5" hidden="1" customHeight="1" x14ac:dyDescent="0.2">
      <c r="A202" s="129">
        <v>4.0000000000000001E-3</v>
      </c>
      <c r="B202" s="130"/>
      <c r="C202" s="130">
        <v>60.905000000000001</v>
      </c>
      <c r="D202" s="130"/>
      <c r="E202" s="130">
        <v>51.923000000000002</v>
      </c>
      <c r="F202" s="130">
        <f>SUM(A202:E202)</f>
        <v>112.83199999999999</v>
      </c>
      <c r="G202" s="181" t="s">
        <v>76</v>
      </c>
      <c r="H202" s="136"/>
    </row>
    <row r="203" spans="1:8" s="70" customFormat="1" ht="13.5" hidden="1" customHeight="1" x14ac:dyDescent="0.2">
      <c r="A203" s="129">
        <v>0</v>
      </c>
      <c r="B203" s="130"/>
      <c r="C203" s="130">
        <v>63.817</v>
      </c>
      <c r="D203" s="130"/>
      <c r="E203" s="130">
        <v>63.478000000000002</v>
      </c>
      <c r="F203" s="130">
        <f>SUM(A203:E203)</f>
        <v>127.295</v>
      </c>
      <c r="G203" s="181" t="s">
        <v>77</v>
      </c>
      <c r="H203" s="136"/>
    </row>
    <row r="204" spans="1:8" s="70" customFormat="1" ht="13.5" hidden="1" customHeight="1" x14ac:dyDescent="0.2">
      <c r="A204" s="129">
        <f t="shared" ref="A204:E204" si="52">SUM(A201:A203)</f>
        <v>4.0999999999999995E-2</v>
      </c>
      <c r="B204" s="130"/>
      <c r="C204" s="130">
        <f t="shared" si="52"/>
        <v>189.92</v>
      </c>
      <c r="D204" s="130"/>
      <c r="E204" s="130">
        <f t="shared" si="52"/>
        <v>172.91400000000002</v>
      </c>
      <c r="F204" s="130">
        <f>SUM(F201:F203)</f>
        <v>362.875</v>
      </c>
      <c r="G204" s="181" t="s">
        <v>48</v>
      </c>
      <c r="H204" s="136">
        <v>2017</v>
      </c>
    </row>
    <row r="205" spans="1:8" s="70" customFormat="1" ht="13.5" hidden="1" customHeight="1" x14ac:dyDescent="0.2">
      <c r="A205" s="129">
        <v>0</v>
      </c>
      <c r="B205" s="130"/>
      <c r="C205" s="130">
        <v>67.003</v>
      </c>
      <c r="D205" s="130"/>
      <c r="E205" s="130">
        <v>58.084000000000003</v>
      </c>
      <c r="F205" s="130">
        <f>SUM(A205:E205)</f>
        <v>125.087</v>
      </c>
      <c r="G205" s="181" t="s">
        <v>79</v>
      </c>
      <c r="H205" s="136"/>
    </row>
    <row r="206" spans="1:8" s="70" customFormat="1" ht="13.5" hidden="1" customHeight="1" x14ac:dyDescent="0.2">
      <c r="A206" s="129">
        <v>0</v>
      </c>
      <c r="B206" s="130"/>
      <c r="C206" s="130">
        <v>73.349999999999994</v>
      </c>
      <c r="D206" s="130"/>
      <c r="E206" s="130">
        <v>57.993000000000002</v>
      </c>
      <c r="F206" s="130">
        <f>SUM(A206:E206)</f>
        <v>131.34299999999999</v>
      </c>
      <c r="G206" s="181" t="s">
        <v>80</v>
      </c>
      <c r="H206" s="136"/>
    </row>
    <row r="207" spans="1:8" s="70" customFormat="1" ht="13.5" hidden="1" customHeight="1" x14ac:dyDescent="0.2">
      <c r="A207" s="129">
        <v>0</v>
      </c>
      <c r="B207" s="130"/>
      <c r="C207" s="130">
        <v>68.724999999999994</v>
      </c>
      <c r="D207" s="130"/>
      <c r="E207" s="130">
        <v>56.006999999999998</v>
      </c>
      <c r="F207" s="130">
        <f>SUM(A207:E207)</f>
        <v>124.732</v>
      </c>
      <c r="G207" s="181" t="s">
        <v>81</v>
      </c>
      <c r="H207" s="136"/>
    </row>
    <row r="208" spans="1:8" s="70" customFormat="1" ht="13.5" hidden="1" customHeight="1" x14ac:dyDescent="0.2">
      <c r="A208" s="129">
        <f t="shared" ref="A208:E208" si="53">SUM(A205:A207)</f>
        <v>0</v>
      </c>
      <c r="B208" s="130"/>
      <c r="C208" s="130">
        <f t="shared" si="53"/>
        <v>209.078</v>
      </c>
      <c r="D208" s="130"/>
      <c r="E208" s="130">
        <f t="shared" si="53"/>
        <v>172.084</v>
      </c>
      <c r="F208" s="130">
        <f>SUM(F205:F207)</f>
        <v>381.16200000000003</v>
      </c>
      <c r="G208" s="181" t="s">
        <v>49</v>
      </c>
      <c r="H208" s="136"/>
    </row>
    <row r="209" spans="1:8" s="70" customFormat="1" ht="13.5" hidden="1" customHeight="1" x14ac:dyDescent="0.2">
      <c r="A209" s="129">
        <v>0</v>
      </c>
      <c r="B209" s="130"/>
      <c r="C209" s="130">
        <v>65.44</v>
      </c>
      <c r="D209" s="130"/>
      <c r="E209" s="130">
        <v>52.38</v>
      </c>
      <c r="F209" s="130">
        <f>SUM(A209:E209)</f>
        <v>117.82</v>
      </c>
      <c r="G209" s="181" t="s">
        <v>83</v>
      </c>
      <c r="H209" s="136"/>
    </row>
    <row r="210" spans="1:8" s="70" customFormat="1" ht="13.5" hidden="1" customHeight="1" x14ac:dyDescent="0.2">
      <c r="A210" s="129">
        <v>0</v>
      </c>
      <c r="B210" s="130"/>
      <c r="C210" s="130">
        <v>70.191999999999993</v>
      </c>
      <c r="D210" s="130"/>
      <c r="E210" s="130">
        <v>52.201000000000001</v>
      </c>
      <c r="F210" s="130">
        <f>SUM(A210:E210)</f>
        <v>122.393</v>
      </c>
      <c r="G210" s="181" t="s">
        <v>84</v>
      </c>
      <c r="H210" s="136"/>
    </row>
    <row r="211" spans="1:8" s="70" customFormat="1" ht="13.5" hidden="1" customHeight="1" x14ac:dyDescent="0.2">
      <c r="A211" s="129">
        <v>0</v>
      </c>
      <c r="B211" s="130"/>
      <c r="C211" s="130">
        <v>58.491</v>
      </c>
      <c r="D211" s="130"/>
      <c r="E211" s="130">
        <v>46.936999999999998</v>
      </c>
      <c r="F211" s="130">
        <f>SUM(A211:E211)</f>
        <v>105.428</v>
      </c>
      <c r="G211" s="181" t="s">
        <v>85</v>
      </c>
      <c r="H211" s="136"/>
    </row>
    <row r="212" spans="1:8" s="70" customFormat="1" ht="13.5" hidden="1" customHeight="1" x14ac:dyDescent="0.2">
      <c r="A212" s="129">
        <f t="shared" ref="A212:F212" si="54">SUM(A209:A211)</f>
        <v>0</v>
      </c>
      <c r="B212" s="130"/>
      <c r="C212" s="130">
        <f t="shared" si="54"/>
        <v>194.12299999999999</v>
      </c>
      <c r="D212" s="130"/>
      <c r="E212" s="130">
        <f t="shared" si="54"/>
        <v>151.518</v>
      </c>
      <c r="F212" s="130">
        <f t="shared" si="54"/>
        <v>345.64099999999996</v>
      </c>
      <c r="G212" s="181" t="s">
        <v>50</v>
      </c>
      <c r="H212" s="136"/>
    </row>
    <row r="213" spans="1:8" s="70" customFormat="1" ht="13.5" hidden="1" customHeight="1" x14ac:dyDescent="0.2">
      <c r="A213" s="129">
        <v>0</v>
      </c>
      <c r="B213" s="130"/>
      <c r="C213" s="130">
        <v>64.447000000000003</v>
      </c>
      <c r="D213" s="130"/>
      <c r="E213" s="130">
        <v>49.052999999999997</v>
      </c>
      <c r="F213" s="130">
        <f>SUM(A213:E213)</f>
        <v>113.5</v>
      </c>
      <c r="G213" s="181" t="s">
        <v>87</v>
      </c>
      <c r="H213" s="136"/>
    </row>
    <row r="214" spans="1:8" s="70" customFormat="1" ht="13.5" hidden="1" customHeight="1" x14ac:dyDescent="0.2">
      <c r="A214" s="129">
        <v>1.2999999999999999E-2</v>
      </c>
      <c r="B214" s="130"/>
      <c r="C214" s="130">
        <v>60.756</v>
      </c>
      <c r="D214" s="130"/>
      <c r="E214" s="130">
        <v>50.558</v>
      </c>
      <c r="F214" s="130">
        <f>SUM(A214:E214)</f>
        <v>111.327</v>
      </c>
      <c r="G214" s="181" t="s">
        <v>88</v>
      </c>
      <c r="H214" s="136"/>
    </row>
    <row r="215" spans="1:8" s="70" customFormat="1" ht="13.5" hidden="1" customHeight="1" x14ac:dyDescent="0.2">
      <c r="A215" s="129">
        <v>8.9999999999999993E-3</v>
      </c>
      <c r="B215" s="130"/>
      <c r="C215" s="130">
        <v>67.855999999999995</v>
      </c>
      <c r="D215" s="130"/>
      <c r="E215" s="130">
        <v>50.603999999999999</v>
      </c>
      <c r="F215" s="130">
        <f>SUM(A215:E215)</f>
        <v>118.46899999999999</v>
      </c>
      <c r="G215" s="181" t="s">
        <v>89</v>
      </c>
      <c r="H215" s="136"/>
    </row>
    <row r="216" spans="1:8" s="70" customFormat="1" ht="13.5" hidden="1" customHeight="1" x14ac:dyDescent="0.2">
      <c r="A216" s="129">
        <f t="shared" ref="A216:F216" si="55">SUM(A213:A215)</f>
        <v>2.1999999999999999E-2</v>
      </c>
      <c r="B216" s="130"/>
      <c r="C216" s="130">
        <f t="shared" si="55"/>
        <v>193.059</v>
      </c>
      <c r="D216" s="130"/>
      <c r="E216" s="130">
        <f t="shared" si="55"/>
        <v>150.21499999999997</v>
      </c>
      <c r="F216" s="130">
        <f t="shared" si="55"/>
        <v>343.29599999999999</v>
      </c>
      <c r="G216" s="181" t="s">
        <v>51</v>
      </c>
      <c r="H216" s="136"/>
    </row>
    <row r="217" spans="1:8" s="70" customFormat="1" ht="9" hidden="1" customHeight="1" x14ac:dyDescent="0.2">
      <c r="A217" s="118"/>
      <c r="B217" s="119"/>
      <c r="C217" s="119"/>
      <c r="D217" s="119"/>
      <c r="E217" s="119"/>
      <c r="F217" s="119"/>
      <c r="G217" s="182"/>
      <c r="H217" s="123"/>
    </row>
    <row r="218" spans="1:8" s="70" customFormat="1" ht="13.5" hidden="1" customHeight="1" x14ac:dyDescent="0.2">
      <c r="A218" s="129">
        <v>0</v>
      </c>
      <c r="B218" s="130"/>
      <c r="C218" s="130">
        <v>66.84</v>
      </c>
      <c r="D218" s="130"/>
      <c r="E218" s="130">
        <v>53.991</v>
      </c>
      <c r="F218" s="130">
        <f>SUM(A218:E218)</f>
        <v>120.831</v>
      </c>
      <c r="G218" s="181" t="s">
        <v>75</v>
      </c>
      <c r="H218" s="136">
        <v>2018</v>
      </c>
    </row>
    <row r="219" spans="1:8" s="70" customFormat="1" ht="13.5" hidden="1" customHeight="1" x14ac:dyDescent="0.2">
      <c r="A219" s="129">
        <v>0</v>
      </c>
      <c r="B219" s="130"/>
      <c r="C219" s="160">
        <v>60.944000000000003</v>
      </c>
      <c r="D219" s="160"/>
      <c r="E219" s="130">
        <v>54.445999999999998</v>
      </c>
      <c r="F219" s="130">
        <f>SUM(A219:E219)</f>
        <v>115.39</v>
      </c>
      <c r="G219" s="181" t="s">
        <v>76</v>
      </c>
      <c r="H219" s="136"/>
    </row>
    <row r="220" spans="1:8" s="70" customFormat="1" ht="13.5" hidden="1" customHeight="1" x14ac:dyDescent="0.2">
      <c r="A220" s="129">
        <v>0</v>
      </c>
      <c r="B220" s="130"/>
      <c r="C220" s="130">
        <v>65.052000000000007</v>
      </c>
      <c r="D220" s="130"/>
      <c r="E220" s="130">
        <v>62.404000000000003</v>
      </c>
      <c r="F220" s="130">
        <f>SUM(A220:E220)</f>
        <v>127.45600000000002</v>
      </c>
      <c r="G220" s="181" t="s">
        <v>77</v>
      </c>
      <c r="H220" s="136"/>
    </row>
    <row r="221" spans="1:8" s="70" customFormat="1" ht="13.5" customHeight="1" x14ac:dyDescent="0.2">
      <c r="A221" s="129">
        <f t="shared" ref="A221" si="56">SUM(A218:A220)</f>
        <v>0</v>
      </c>
      <c r="B221" s="130"/>
      <c r="C221" s="147">
        <f>SUM(C218:C220)</f>
        <v>192.83600000000001</v>
      </c>
      <c r="D221" s="147"/>
      <c r="E221" s="147">
        <f>SUM(E218:E220)</f>
        <v>170.84100000000001</v>
      </c>
      <c r="F221" s="130">
        <f>SUM(F218:F220)</f>
        <v>363.67700000000002</v>
      </c>
      <c r="G221" s="181" t="s">
        <v>48</v>
      </c>
      <c r="H221" s="136">
        <v>2018</v>
      </c>
    </row>
    <row r="222" spans="1:8" s="70" customFormat="1" ht="13.5" hidden="1" customHeight="1" x14ac:dyDescent="0.2">
      <c r="A222" s="129">
        <v>2E-3</v>
      </c>
      <c r="B222" s="130"/>
      <c r="C222" s="147">
        <v>61.534999999999997</v>
      </c>
      <c r="D222" s="147"/>
      <c r="E222" s="147">
        <v>65.278999999999996</v>
      </c>
      <c r="F222" s="130">
        <f>SUM(A222:E222)</f>
        <v>126.816</v>
      </c>
      <c r="G222" s="181" t="s">
        <v>79</v>
      </c>
      <c r="H222" s="136"/>
    </row>
    <row r="223" spans="1:8" s="70" customFormat="1" ht="13.5" hidden="1" customHeight="1" x14ac:dyDescent="0.2">
      <c r="A223" s="129">
        <v>0</v>
      </c>
      <c r="B223" s="130"/>
      <c r="C223" s="147">
        <v>62.689</v>
      </c>
      <c r="D223" s="147"/>
      <c r="E223" s="147">
        <v>62.484999999999999</v>
      </c>
      <c r="F223" s="130">
        <f>SUM(A223:E223)</f>
        <v>125.17400000000001</v>
      </c>
      <c r="G223" s="181" t="s">
        <v>80</v>
      </c>
      <c r="H223" s="136"/>
    </row>
    <row r="224" spans="1:8" s="70" customFormat="1" ht="13.5" hidden="1" customHeight="1" x14ac:dyDescent="0.2">
      <c r="A224" s="129">
        <v>0</v>
      </c>
      <c r="B224" s="130"/>
      <c r="C224" s="147">
        <v>66.153999999999996</v>
      </c>
      <c r="D224" s="147"/>
      <c r="E224" s="147">
        <v>63.048000000000002</v>
      </c>
      <c r="F224" s="130">
        <f>SUM(A224:E224)</f>
        <v>129.202</v>
      </c>
      <c r="G224" s="181" t="s">
        <v>81</v>
      </c>
      <c r="H224" s="136"/>
    </row>
    <row r="225" spans="1:8" s="70" customFormat="1" ht="13.5" customHeight="1" x14ac:dyDescent="0.2">
      <c r="A225" s="129">
        <f t="shared" ref="A225:F225" si="57">SUM(A222:A224)</f>
        <v>2E-3</v>
      </c>
      <c r="B225" s="130"/>
      <c r="C225" s="147">
        <f>SUM(C222:C224)</f>
        <v>190.37799999999999</v>
      </c>
      <c r="D225" s="147"/>
      <c r="E225" s="147">
        <f t="shared" si="57"/>
        <v>190.81200000000001</v>
      </c>
      <c r="F225" s="130">
        <f t="shared" si="57"/>
        <v>381.19200000000001</v>
      </c>
      <c r="G225" s="181" t="s">
        <v>49</v>
      </c>
      <c r="H225" s="136"/>
    </row>
    <row r="226" spans="1:8" s="70" customFormat="1" ht="13.5" hidden="1" customHeight="1" x14ac:dyDescent="0.2">
      <c r="A226" s="129">
        <v>0</v>
      </c>
      <c r="B226" s="130"/>
      <c r="C226" s="147">
        <v>68.915000000000006</v>
      </c>
      <c r="D226" s="147"/>
      <c r="E226" s="147">
        <v>62.956000000000003</v>
      </c>
      <c r="F226" s="130">
        <f>SUM(A226:E226)</f>
        <v>131.87100000000001</v>
      </c>
      <c r="G226" s="181" t="s">
        <v>83</v>
      </c>
      <c r="H226" s="136"/>
    </row>
    <row r="227" spans="1:8" s="70" customFormat="1" ht="13.5" hidden="1" customHeight="1" x14ac:dyDescent="0.2">
      <c r="A227" s="129">
        <v>1E-3</v>
      </c>
      <c r="B227" s="130"/>
      <c r="C227" s="147">
        <v>66.494</v>
      </c>
      <c r="D227" s="147"/>
      <c r="E227" s="147">
        <v>62.857999999999997</v>
      </c>
      <c r="F227" s="130">
        <f>SUM(A227:E227)</f>
        <v>129.35300000000001</v>
      </c>
      <c r="G227" s="181" t="s">
        <v>84</v>
      </c>
      <c r="H227" s="136"/>
    </row>
    <row r="228" spans="1:8" s="70" customFormat="1" ht="13.5" hidden="1" customHeight="1" x14ac:dyDescent="0.2">
      <c r="A228" s="129">
        <v>0</v>
      </c>
      <c r="B228" s="130"/>
      <c r="C228" s="147">
        <v>51.719000000000001</v>
      </c>
      <c r="D228" s="147"/>
      <c r="E228" s="147">
        <v>55.524999999999999</v>
      </c>
      <c r="F228" s="130">
        <f>SUM(A228:E228)</f>
        <v>107.244</v>
      </c>
      <c r="G228" s="181" t="s">
        <v>85</v>
      </c>
      <c r="H228" s="136"/>
    </row>
    <row r="229" spans="1:8" s="70" customFormat="1" ht="13.5" customHeight="1" x14ac:dyDescent="0.2">
      <c r="A229" s="129">
        <f t="shared" ref="A229:F229" si="58">SUM(A226:A228)</f>
        <v>1E-3</v>
      </c>
      <c r="B229" s="130"/>
      <c r="C229" s="147">
        <f t="shared" si="58"/>
        <v>187.12799999999999</v>
      </c>
      <c r="D229" s="147"/>
      <c r="E229" s="147">
        <f t="shared" si="58"/>
        <v>181.339</v>
      </c>
      <c r="F229" s="130">
        <f t="shared" si="58"/>
        <v>368.46800000000007</v>
      </c>
      <c r="G229" s="181" t="s">
        <v>50</v>
      </c>
      <c r="H229" s="136"/>
    </row>
    <row r="230" spans="1:8" s="70" customFormat="1" ht="13.5" hidden="1" customHeight="1" x14ac:dyDescent="0.2">
      <c r="A230" s="129">
        <v>2E-3</v>
      </c>
      <c r="B230" s="130"/>
      <c r="C230" s="147">
        <v>69.793999999999997</v>
      </c>
      <c r="D230" s="147"/>
      <c r="E230" s="147">
        <v>57</v>
      </c>
      <c r="F230" s="130">
        <f>SUM(A230:E230)</f>
        <v>126.79599999999999</v>
      </c>
      <c r="G230" s="181" t="s">
        <v>87</v>
      </c>
      <c r="H230" s="136"/>
    </row>
    <row r="231" spans="1:8" s="70" customFormat="1" ht="13.5" hidden="1" customHeight="1" x14ac:dyDescent="0.2">
      <c r="A231" s="129">
        <v>0</v>
      </c>
      <c r="B231" s="130"/>
      <c r="C231" s="147">
        <v>61.945999999999998</v>
      </c>
      <c r="D231" s="147"/>
      <c r="E231" s="147">
        <v>55.542000000000002</v>
      </c>
      <c r="F231" s="130">
        <f>SUM(A231:E231)</f>
        <v>117.488</v>
      </c>
      <c r="G231" s="181" t="s">
        <v>88</v>
      </c>
      <c r="H231" s="136"/>
    </row>
    <row r="232" spans="1:8" s="70" customFormat="1" ht="13.5" hidden="1" customHeight="1" x14ac:dyDescent="0.2">
      <c r="A232" s="129">
        <v>0</v>
      </c>
      <c r="B232" s="130"/>
      <c r="C232" s="147">
        <v>65.677000000000007</v>
      </c>
      <c r="D232" s="147"/>
      <c r="E232" s="147">
        <v>52.965000000000003</v>
      </c>
      <c r="F232" s="130">
        <f>SUM(A232:E232)</f>
        <v>118.64200000000001</v>
      </c>
      <c r="G232" s="181" t="s">
        <v>89</v>
      </c>
      <c r="H232" s="136"/>
    </row>
    <row r="233" spans="1:8" s="70" customFormat="1" ht="13.5" customHeight="1" x14ac:dyDescent="0.2">
      <c r="A233" s="129">
        <f t="shared" ref="A233:F233" si="59">SUM(A230:A232)</f>
        <v>2E-3</v>
      </c>
      <c r="B233" s="130"/>
      <c r="C233" s="147">
        <f t="shared" si="59"/>
        <v>197.41700000000003</v>
      </c>
      <c r="D233" s="147"/>
      <c r="E233" s="147">
        <f t="shared" si="59"/>
        <v>165.50700000000001</v>
      </c>
      <c r="F233" s="130">
        <f t="shared" si="59"/>
        <v>362.92599999999999</v>
      </c>
      <c r="G233" s="181" t="s">
        <v>51</v>
      </c>
      <c r="H233" s="136"/>
    </row>
    <row r="234" spans="1:8" s="70" customFormat="1" ht="13.5" customHeight="1" x14ac:dyDescent="0.2">
      <c r="A234" s="118"/>
      <c r="B234" s="119"/>
      <c r="C234" s="144"/>
      <c r="D234" s="144"/>
      <c r="E234" s="144"/>
      <c r="F234" s="119"/>
      <c r="G234" s="182"/>
      <c r="H234" s="123"/>
    </row>
    <row r="235" spans="1:8" s="70" customFormat="1" ht="13.5" hidden="1" customHeight="1" x14ac:dyDescent="0.2">
      <c r="A235" s="129">
        <v>0</v>
      </c>
      <c r="B235" s="130"/>
      <c r="C235" s="147">
        <v>65.695999999999998</v>
      </c>
      <c r="D235" s="147"/>
      <c r="E235" s="147">
        <v>59.521000000000001</v>
      </c>
      <c r="F235" s="130">
        <f>SUM(A235:E235)</f>
        <v>125.217</v>
      </c>
      <c r="G235" s="181" t="s">
        <v>75</v>
      </c>
      <c r="H235" s="136">
        <v>2019</v>
      </c>
    </row>
    <row r="236" spans="1:8" s="70" customFormat="1" ht="13.5" hidden="1" customHeight="1" x14ac:dyDescent="0.2">
      <c r="A236" s="129">
        <v>0</v>
      </c>
      <c r="B236" s="130"/>
      <c r="C236" s="147">
        <v>69.715000000000003</v>
      </c>
      <c r="D236" s="147"/>
      <c r="E236" s="147">
        <v>47.933999999999997</v>
      </c>
      <c r="F236" s="130">
        <f>SUM(A236:E236)</f>
        <v>117.649</v>
      </c>
      <c r="G236" s="181" t="s">
        <v>76</v>
      </c>
      <c r="H236" s="136"/>
    </row>
    <row r="237" spans="1:8" s="70" customFormat="1" ht="13.5" hidden="1" customHeight="1" x14ac:dyDescent="0.2">
      <c r="A237" s="129">
        <v>0.01</v>
      </c>
      <c r="B237" s="130"/>
      <c r="C237" s="147">
        <v>63.19</v>
      </c>
      <c r="D237" s="147"/>
      <c r="E237" s="147">
        <v>63.231000000000002</v>
      </c>
      <c r="F237" s="130">
        <f>SUM(A237:E237)</f>
        <v>126.431</v>
      </c>
      <c r="G237" s="181" t="s">
        <v>77</v>
      </c>
      <c r="H237" s="136"/>
    </row>
    <row r="238" spans="1:8" s="70" customFormat="1" ht="13.5" customHeight="1" x14ac:dyDescent="0.2">
      <c r="A238" s="129">
        <f t="shared" ref="A238:F238" si="60">SUM(A235:A237)</f>
        <v>0.01</v>
      </c>
      <c r="B238" s="130"/>
      <c r="C238" s="147">
        <f t="shared" si="60"/>
        <v>198.601</v>
      </c>
      <c r="D238" s="147"/>
      <c r="E238" s="147">
        <f t="shared" si="60"/>
        <v>170.68600000000001</v>
      </c>
      <c r="F238" s="130">
        <f t="shared" si="60"/>
        <v>369.29699999999997</v>
      </c>
      <c r="G238" s="181" t="s">
        <v>48</v>
      </c>
      <c r="H238" s="136">
        <v>2019</v>
      </c>
    </row>
    <row r="239" spans="1:8" s="70" customFormat="1" ht="13.5" hidden="1" customHeight="1" x14ac:dyDescent="0.2">
      <c r="A239" s="129">
        <v>0</v>
      </c>
      <c r="B239" s="130"/>
      <c r="C239" s="147">
        <v>70.162000000000006</v>
      </c>
      <c r="D239" s="147"/>
      <c r="E239" s="147">
        <v>63.744</v>
      </c>
      <c r="F239" s="130">
        <f>SUM(A239:E239)</f>
        <v>133.90600000000001</v>
      </c>
      <c r="G239" s="181" t="s">
        <v>79</v>
      </c>
      <c r="H239" s="136"/>
    </row>
    <row r="240" spans="1:8" s="70" customFormat="1" ht="13.5" hidden="1" customHeight="1" x14ac:dyDescent="0.2">
      <c r="A240" s="129">
        <v>0</v>
      </c>
      <c r="B240" s="130"/>
      <c r="C240" s="147">
        <v>63.801000000000002</v>
      </c>
      <c r="D240" s="147"/>
      <c r="E240" s="147">
        <v>55.323999999999998</v>
      </c>
      <c r="F240" s="130">
        <f>SUM(A240:E240)</f>
        <v>119.125</v>
      </c>
      <c r="G240" s="181" t="s">
        <v>80</v>
      </c>
      <c r="H240" s="136"/>
    </row>
    <row r="241" spans="1:8" s="70" customFormat="1" ht="13.5" hidden="1" customHeight="1" x14ac:dyDescent="0.2">
      <c r="A241" s="129">
        <v>1E-3</v>
      </c>
      <c r="B241" s="130"/>
      <c r="C241" s="147">
        <v>67.667000000000002</v>
      </c>
      <c r="D241" s="147"/>
      <c r="E241" s="147">
        <v>53.146999999999998</v>
      </c>
      <c r="F241" s="130">
        <f>SUM(A241:E241)</f>
        <v>120.815</v>
      </c>
      <c r="G241" s="181" t="s">
        <v>81</v>
      </c>
      <c r="H241" s="136"/>
    </row>
    <row r="242" spans="1:8" s="70" customFormat="1" ht="13.5" customHeight="1" x14ac:dyDescent="0.2">
      <c r="A242" s="129">
        <f t="shared" ref="A242:F242" si="61">SUM(A239:A241)</f>
        <v>1E-3</v>
      </c>
      <c r="B242" s="130"/>
      <c r="C242" s="147">
        <f t="shared" si="61"/>
        <v>201.63000000000002</v>
      </c>
      <c r="D242" s="147"/>
      <c r="E242" s="147">
        <f t="shared" si="61"/>
        <v>172.215</v>
      </c>
      <c r="F242" s="130">
        <f t="shared" si="61"/>
        <v>373.846</v>
      </c>
      <c r="G242" s="181" t="s">
        <v>49</v>
      </c>
      <c r="H242" s="136"/>
    </row>
    <row r="243" spans="1:8" s="70" customFormat="1" ht="13.5" hidden="1" customHeight="1" x14ac:dyDescent="0.2">
      <c r="A243" s="129">
        <v>0</v>
      </c>
      <c r="B243" s="130"/>
      <c r="C243" s="147">
        <v>75.906999999999996</v>
      </c>
      <c r="D243" s="147"/>
      <c r="E243" s="147">
        <v>54.548999999999999</v>
      </c>
      <c r="F243" s="130">
        <f>SUM(A243:E243)</f>
        <v>130.45599999999999</v>
      </c>
      <c r="G243" s="181" t="s">
        <v>83</v>
      </c>
      <c r="H243" s="136"/>
    </row>
    <row r="244" spans="1:8" s="70" customFormat="1" ht="13.5" hidden="1" customHeight="1" x14ac:dyDescent="0.2">
      <c r="A244" s="129">
        <v>0</v>
      </c>
      <c r="B244" s="130"/>
      <c r="C244" s="147">
        <v>69.165000000000006</v>
      </c>
      <c r="D244" s="147"/>
      <c r="E244" s="147">
        <v>48.481000000000002</v>
      </c>
      <c r="F244" s="130">
        <f>SUM(A244:E244)</f>
        <v>117.64600000000002</v>
      </c>
      <c r="G244" s="181" t="s">
        <v>84</v>
      </c>
      <c r="H244" s="136"/>
    </row>
    <row r="245" spans="1:8" s="70" customFormat="1" ht="13.5" hidden="1" customHeight="1" x14ac:dyDescent="0.2">
      <c r="A245" s="129">
        <v>0</v>
      </c>
      <c r="B245" s="130"/>
      <c r="C245" s="147">
        <v>66.394000000000005</v>
      </c>
      <c r="D245" s="147"/>
      <c r="E245" s="147">
        <v>48.811999999999998</v>
      </c>
      <c r="F245" s="130">
        <f>SUM(A245:E245)</f>
        <v>115.206</v>
      </c>
      <c r="G245" s="181" t="s">
        <v>85</v>
      </c>
      <c r="H245" s="136"/>
    </row>
    <row r="246" spans="1:8" s="70" customFormat="1" ht="13.5" customHeight="1" x14ac:dyDescent="0.2">
      <c r="A246" s="129">
        <f t="shared" ref="A246:F246" si="62">SUM(A243:A245)</f>
        <v>0</v>
      </c>
      <c r="B246" s="130"/>
      <c r="C246" s="147">
        <f t="shared" si="62"/>
        <v>211.46600000000001</v>
      </c>
      <c r="D246" s="147"/>
      <c r="E246" s="147">
        <f t="shared" si="62"/>
        <v>151.84199999999998</v>
      </c>
      <c r="F246" s="130">
        <f t="shared" si="62"/>
        <v>363.30799999999999</v>
      </c>
      <c r="G246" s="181" t="s">
        <v>50</v>
      </c>
      <c r="H246" s="136"/>
    </row>
    <row r="247" spans="1:8" s="70" customFormat="1" ht="13.5" hidden="1" customHeight="1" x14ac:dyDescent="0.2">
      <c r="A247" s="129">
        <v>4.2999999999999997E-2</v>
      </c>
      <c r="B247" s="130"/>
      <c r="C247" s="147">
        <v>66.853999999999999</v>
      </c>
      <c r="D247" s="147"/>
      <c r="E247" s="147">
        <v>57.908000000000001</v>
      </c>
      <c r="F247" s="130">
        <f>SUM(A247:E247)</f>
        <v>124.80500000000001</v>
      </c>
      <c r="G247" s="181" t="s">
        <v>87</v>
      </c>
      <c r="H247" s="136"/>
    </row>
    <row r="248" spans="1:8" s="70" customFormat="1" ht="13.5" hidden="1" customHeight="1" x14ac:dyDescent="0.2">
      <c r="A248" s="129">
        <v>0</v>
      </c>
      <c r="B248" s="130"/>
      <c r="C248" s="147">
        <v>58.95</v>
      </c>
      <c r="D248" s="147"/>
      <c r="E248" s="147">
        <v>51.55</v>
      </c>
      <c r="F248" s="130">
        <f>SUM(A248:E248)</f>
        <v>110.5</v>
      </c>
      <c r="G248" s="181" t="s">
        <v>88</v>
      </c>
      <c r="H248" s="136"/>
    </row>
    <row r="249" spans="1:8" s="70" customFormat="1" ht="13.5" hidden="1" customHeight="1" x14ac:dyDescent="0.2">
      <c r="A249" s="129">
        <v>0</v>
      </c>
      <c r="B249" s="130"/>
      <c r="C249" s="147">
        <v>68.156000000000006</v>
      </c>
      <c r="D249" s="147"/>
      <c r="E249" s="147">
        <v>56.604999999999997</v>
      </c>
      <c r="F249" s="130">
        <f>SUM(A249:E249)</f>
        <v>124.761</v>
      </c>
      <c r="G249" s="181" t="s">
        <v>89</v>
      </c>
      <c r="H249" s="136"/>
    </row>
    <row r="250" spans="1:8" s="70" customFormat="1" ht="13.5" customHeight="1" x14ac:dyDescent="0.2">
      <c r="A250" s="129">
        <f t="shared" ref="A250:F250" si="63">SUM(A247:A249)</f>
        <v>4.2999999999999997E-2</v>
      </c>
      <c r="B250" s="130"/>
      <c r="C250" s="147">
        <f t="shared" si="63"/>
        <v>193.96</v>
      </c>
      <c r="D250" s="147"/>
      <c r="E250" s="147">
        <f t="shared" si="63"/>
        <v>166.06299999999999</v>
      </c>
      <c r="F250" s="130">
        <f t="shared" si="63"/>
        <v>360.06600000000003</v>
      </c>
      <c r="G250" s="181" t="s">
        <v>51</v>
      </c>
      <c r="H250" s="136"/>
    </row>
    <row r="251" spans="1:8" s="70" customFormat="1" ht="9" customHeight="1" x14ac:dyDescent="0.2">
      <c r="A251" s="129"/>
      <c r="B251" s="130"/>
      <c r="C251" s="147"/>
      <c r="D251" s="147"/>
      <c r="E251" s="147"/>
      <c r="F251" s="130"/>
      <c r="G251" s="181"/>
      <c r="H251" s="136"/>
    </row>
    <row r="252" spans="1:8" s="70" customFormat="1" ht="13.5" hidden="1" customHeight="1" x14ac:dyDescent="0.2">
      <c r="A252" s="129">
        <v>0</v>
      </c>
      <c r="B252" s="130"/>
      <c r="C252" s="147">
        <v>65.933999999999997</v>
      </c>
      <c r="D252" s="147"/>
      <c r="E252" s="147">
        <v>58.588999999999999</v>
      </c>
      <c r="F252" s="130">
        <f>SUM(A252:E252)</f>
        <v>124.523</v>
      </c>
      <c r="G252" s="181" t="s">
        <v>75</v>
      </c>
      <c r="H252" s="136">
        <v>2020</v>
      </c>
    </row>
    <row r="253" spans="1:8" s="70" customFormat="1" ht="13.5" hidden="1" customHeight="1" x14ac:dyDescent="0.2">
      <c r="A253" s="129">
        <v>3.0000000000000001E-3</v>
      </c>
      <c r="B253" s="130"/>
      <c r="C253" s="147">
        <v>64.768000000000001</v>
      </c>
      <c r="D253" s="147"/>
      <c r="E253" s="147">
        <v>58.822000000000003</v>
      </c>
      <c r="F253" s="130">
        <f t="shared" ref="F253:F258" si="64">SUM(A253:E253)</f>
        <v>123.593</v>
      </c>
      <c r="G253" s="181" t="s">
        <v>76</v>
      </c>
      <c r="H253" s="136"/>
    </row>
    <row r="254" spans="1:8" s="70" customFormat="1" ht="13.5" hidden="1" customHeight="1" x14ac:dyDescent="0.2">
      <c r="A254" s="129">
        <v>0</v>
      </c>
      <c r="B254" s="130"/>
      <c r="C254" s="147">
        <v>63.726999999999997</v>
      </c>
      <c r="D254" s="147"/>
      <c r="E254" s="147">
        <v>65.213999999999999</v>
      </c>
      <c r="F254" s="130">
        <f t="shared" si="64"/>
        <v>128.941</v>
      </c>
      <c r="G254" s="181" t="s">
        <v>77</v>
      </c>
      <c r="H254" s="136"/>
    </row>
    <row r="255" spans="1:8" s="70" customFormat="1" ht="13.5" customHeight="1" x14ac:dyDescent="0.2">
      <c r="A255" s="129">
        <f t="shared" ref="A255:F255" si="65">SUM(A252:A254)</f>
        <v>3.0000000000000001E-3</v>
      </c>
      <c r="B255" s="130"/>
      <c r="C255" s="147">
        <f t="shared" si="65"/>
        <v>194.429</v>
      </c>
      <c r="D255" s="147"/>
      <c r="E255" s="147">
        <f>SUM(E252:E254)</f>
        <v>182.625</v>
      </c>
      <c r="F255" s="130">
        <f t="shared" si="65"/>
        <v>377.05700000000002</v>
      </c>
      <c r="G255" s="181" t="s">
        <v>48</v>
      </c>
      <c r="H255" s="136">
        <v>2020</v>
      </c>
    </row>
    <row r="256" spans="1:8" s="70" customFormat="1" ht="13.5" hidden="1" customHeight="1" x14ac:dyDescent="0.2">
      <c r="A256" s="129">
        <v>0</v>
      </c>
      <c r="B256" s="130"/>
      <c r="C256" s="147">
        <v>61.720999999999997</v>
      </c>
      <c r="D256" s="147"/>
      <c r="E256" s="147">
        <v>63.12</v>
      </c>
      <c r="F256" s="130">
        <f t="shared" si="64"/>
        <v>124.84099999999999</v>
      </c>
      <c r="G256" s="181" t="s">
        <v>79</v>
      </c>
      <c r="H256" s="136"/>
    </row>
    <row r="257" spans="1:8" s="70" customFormat="1" ht="13.5" hidden="1" customHeight="1" x14ac:dyDescent="0.2">
      <c r="A257" s="129">
        <v>0</v>
      </c>
      <c r="B257" s="130"/>
      <c r="C257" s="147">
        <v>57.936</v>
      </c>
      <c r="D257" s="147"/>
      <c r="E257" s="147">
        <v>53.183999999999997</v>
      </c>
      <c r="F257" s="130">
        <f t="shared" si="64"/>
        <v>111.12</v>
      </c>
      <c r="G257" s="181" t="s">
        <v>80</v>
      </c>
      <c r="H257" s="136"/>
    </row>
    <row r="258" spans="1:8" s="70" customFormat="1" ht="13.5" hidden="1" customHeight="1" x14ac:dyDescent="0.2">
      <c r="A258" s="129">
        <v>0</v>
      </c>
      <c r="B258" s="130"/>
      <c r="C258" s="147">
        <v>65.817999999999998</v>
      </c>
      <c r="D258" s="147"/>
      <c r="E258" s="147">
        <v>54.712000000000003</v>
      </c>
      <c r="F258" s="130">
        <f t="shared" si="64"/>
        <v>120.53</v>
      </c>
      <c r="G258" s="181" t="s">
        <v>81</v>
      </c>
      <c r="H258" s="136"/>
    </row>
    <row r="259" spans="1:8" s="70" customFormat="1" ht="13.5" customHeight="1" x14ac:dyDescent="0.2">
      <c r="A259" s="129">
        <f t="shared" ref="A259:F259" si="66">SUM(A256:A258)</f>
        <v>0</v>
      </c>
      <c r="B259" s="130"/>
      <c r="C259" s="147">
        <f t="shared" si="66"/>
        <v>185.47499999999999</v>
      </c>
      <c r="D259" s="147"/>
      <c r="E259" s="147">
        <f t="shared" si="66"/>
        <v>171.01600000000002</v>
      </c>
      <c r="F259" s="130">
        <f t="shared" si="66"/>
        <v>356.49099999999999</v>
      </c>
      <c r="G259" s="181" t="s">
        <v>49</v>
      </c>
      <c r="H259" s="136"/>
    </row>
    <row r="260" spans="1:8" s="70" customFormat="1" ht="13.5" hidden="1" customHeight="1" x14ac:dyDescent="0.2">
      <c r="A260" s="129">
        <v>3.0000000000000001E-3</v>
      </c>
      <c r="B260" s="130"/>
      <c r="C260" s="147">
        <v>73.370999999999995</v>
      </c>
      <c r="D260" s="147"/>
      <c r="E260" s="147">
        <v>61.960999999999999</v>
      </c>
      <c r="F260" s="130">
        <f>SUM(A260:E260)</f>
        <v>135.33499999999998</v>
      </c>
      <c r="G260" s="181" t="s">
        <v>83</v>
      </c>
      <c r="H260" s="136"/>
    </row>
    <row r="261" spans="1:8" s="70" customFormat="1" ht="13.5" hidden="1" customHeight="1" x14ac:dyDescent="0.2">
      <c r="A261" s="129">
        <v>4.0000000000000001E-3</v>
      </c>
      <c r="B261" s="130"/>
      <c r="C261" s="147">
        <v>72.641999999999996</v>
      </c>
      <c r="D261" s="147"/>
      <c r="E261" s="147">
        <v>53.850999999999999</v>
      </c>
      <c r="F261" s="130">
        <f>SUM(A261:E261)</f>
        <v>126.497</v>
      </c>
      <c r="G261" s="181" t="s">
        <v>84</v>
      </c>
      <c r="H261" s="136"/>
    </row>
    <row r="262" spans="1:8" s="70" customFormat="1" ht="13.5" hidden="1" customHeight="1" x14ac:dyDescent="0.2">
      <c r="A262" s="129">
        <v>3.0000000000000001E-3</v>
      </c>
      <c r="B262" s="130"/>
      <c r="C262" s="147">
        <v>69.234999999999999</v>
      </c>
      <c r="D262" s="147"/>
      <c r="E262" s="147">
        <v>55.540999999999997</v>
      </c>
      <c r="F262" s="130">
        <f>SUM(A262:E262)</f>
        <v>124.779</v>
      </c>
      <c r="G262" s="181" t="s">
        <v>85</v>
      </c>
      <c r="H262" s="136"/>
    </row>
    <row r="263" spans="1:8" s="70" customFormat="1" ht="13.5" customHeight="1" x14ac:dyDescent="0.2">
      <c r="A263" s="129">
        <f>SUM(A260:A262)</f>
        <v>0.01</v>
      </c>
      <c r="B263" s="130"/>
      <c r="C263" s="147">
        <f t="shared" ref="C263:F263" si="67">SUM(C260:C262)</f>
        <v>215.24799999999999</v>
      </c>
      <c r="D263" s="147"/>
      <c r="E263" s="147">
        <f t="shared" si="67"/>
        <v>171.35300000000001</v>
      </c>
      <c r="F263" s="130">
        <f t="shared" si="67"/>
        <v>386.61099999999999</v>
      </c>
      <c r="G263" s="181" t="s">
        <v>50</v>
      </c>
      <c r="H263" s="136"/>
    </row>
    <row r="264" spans="1:8" s="70" customFormat="1" ht="13.5" hidden="1" customHeight="1" x14ac:dyDescent="0.2">
      <c r="A264" s="129">
        <v>1E-3</v>
      </c>
      <c r="B264" s="130"/>
      <c r="C264" s="147">
        <v>79.977000000000004</v>
      </c>
      <c r="D264" s="147"/>
      <c r="E264" s="147">
        <v>62.360999999999997</v>
      </c>
      <c r="F264" s="130">
        <f>SUM(A264:E264)</f>
        <v>142.339</v>
      </c>
      <c r="G264" s="181" t="s">
        <v>87</v>
      </c>
      <c r="H264" s="136"/>
    </row>
    <row r="265" spans="1:8" s="70" customFormat="1" ht="13.5" hidden="1" customHeight="1" x14ac:dyDescent="0.2">
      <c r="A265" s="129">
        <v>0</v>
      </c>
      <c r="B265" s="130"/>
      <c r="C265" s="147">
        <v>69.22</v>
      </c>
      <c r="D265" s="147"/>
      <c r="E265" s="147">
        <v>59.932000000000002</v>
      </c>
      <c r="F265" s="130">
        <f>SUM(A265:E265)</f>
        <v>129.15199999999999</v>
      </c>
      <c r="G265" s="181" t="s">
        <v>88</v>
      </c>
      <c r="H265" s="136"/>
    </row>
    <row r="266" spans="1:8" s="70" customFormat="1" ht="13.5" hidden="1" customHeight="1" x14ac:dyDescent="0.2">
      <c r="A266" s="129">
        <v>6.0000000000000001E-3</v>
      </c>
      <c r="B266" s="130"/>
      <c r="C266" s="147">
        <v>72.995999999999995</v>
      </c>
      <c r="D266" s="147"/>
      <c r="E266" s="147">
        <v>63.021999999999998</v>
      </c>
      <c r="F266" s="130">
        <f>SUM(A266:E266)</f>
        <v>136.024</v>
      </c>
      <c r="G266" s="181" t="s">
        <v>89</v>
      </c>
      <c r="H266" s="136"/>
    </row>
    <row r="267" spans="1:8" s="70" customFormat="1" ht="13.5" customHeight="1" x14ac:dyDescent="0.2">
      <c r="A267" s="129">
        <f t="shared" ref="A267:F267" si="68">SUM(A264:A266)</f>
        <v>7.0000000000000001E-3</v>
      </c>
      <c r="B267" s="130"/>
      <c r="C267" s="147">
        <f t="shared" si="68"/>
        <v>222.19299999999998</v>
      </c>
      <c r="D267" s="147"/>
      <c r="E267" s="147">
        <f t="shared" si="68"/>
        <v>185.315</v>
      </c>
      <c r="F267" s="130">
        <f t="shared" si="68"/>
        <v>407.51499999999999</v>
      </c>
      <c r="G267" s="181" t="s">
        <v>51</v>
      </c>
      <c r="H267" s="136"/>
    </row>
    <row r="268" spans="1:8" s="70" customFormat="1" ht="9.75" customHeight="1" x14ac:dyDescent="0.2">
      <c r="A268" s="129"/>
      <c r="B268" s="130"/>
      <c r="C268" s="147"/>
      <c r="D268" s="147"/>
      <c r="E268" s="147"/>
      <c r="F268" s="130"/>
      <c r="G268" s="181"/>
      <c r="H268" s="136"/>
    </row>
    <row r="269" spans="1:8" s="70" customFormat="1" ht="13.5" hidden="1" customHeight="1" x14ac:dyDescent="0.2">
      <c r="A269" s="129">
        <v>0</v>
      </c>
      <c r="B269" s="130"/>
      <c r="C269" s="147">
        <v>72.602000000000004</v>
      </c>
      <c r="D269" s="147"/>
      <c r="E269" s="147">
        <v>59.768999999999998</v>
      </c>
      <c r="F269" s="130">
        <f>SUM(A269:E269)</f>
        <v>132.37100000000001</v>
      </c>
      <c r="G269" s="181" t="s">
        <v>75</v>
      </c>
      <c r="H269" s="136">
        <v>2021</v>
      </c>
    </row>
    <row r="270" spans="1:8" s="70" customFormat="1" ht="13.5" hidden="1" customHeight="1" x14ac:dyDescent="0.2">
      <c r="A270" s="129">
        <v>0</v>
      </c>
      <c r="B270" s="130"/>
      <c r="C270" s="147">
        <v>69.712000000000003</v>
      </c>
      <c r="D270" s="147"/>
      <c r="E270" s="147">
        <v>59.026000000000003</v>
      </c>
      <c r="F270" s="130">
        <f>SUM(A270:E270)</f>
        <v>128.738</v>
      </c>
      <c r="G270" s="181" t="s">
        <v>76</v>
      </c>
      <c r="H270" s="136"/>
    </row>
    <row r="271" spans="1:8" s="70" customFormat="1" ht="13.5" hidden="1" customHeight="1" x14ac:dyDescent="0.2">
      <c r="A271" s="129">
        <v>0</v>
      </c>
      <c r="B271" s="130"/>
      <c r="C271" s="147">
        <v>78.849999999999994</v>
      </c>
      <c r="D271" s="147"/>
      <c r="E271" s="147">
        <v>64.481999999999999</v>
      </c>
      <c r="F271" s="130">
        <f>SUM(A271:E271)</f>
        <v>143.33199999999999</v>
      </c>
      <c r="G271" s="181" t="s">
        <v>77</v>
      </c>
      <c r="H271" s="136"/>
    </row>
    <row r="272" spans="1:8" s="70" customFormat="1" ht="13.5" customHeight="1" x14ac:dyDescent="0.2">
      <c r="A272" s="129">
        <f>SUM(A269:A271)</f>
        <v>0</v>
      </c>
      <c r="B272" s="130"/>
      <c r="C272" s="147">
        <f t="shared" ref="C272:F272" si="69">SUM(C269:C271)</f>
        <v>221.16400000000002</v>
      </c>
      <c r="D272" s="147"/>
      <c r="E272" s="147">
        <f t="shared" si="69"/>
        <v>183.27699999999999</v>
      </c>
      <c r="F272" s="130">
        <f t="shared" si="69"/>
        <v>404.44100000000003</v>
      </c>
      <c r="G272" s="181" t="s">
        <v>48</v>
      </c>
      <c r="H272" s="136">
        <v>2021</v>
      </c>
    </row>
    <row r="273" spans="1:8" s="70" customFormat="1" ht="13.5" hidden="1" customHeight="1" x14ac:dyDescent="0.2">
      <c r="A273" s="129">
        <v>3.0000000000000001E-3</v>
      </c>
      <c r="B273" s="130"/>
      <c r="C273" s="147">
        <v>71.775999999999996</v>
      </c>
      <c r="D273" s="147"/>
      <c r="E273" s="147">
        <v>69.326999999999998</v>
      </c>
      <c r="F273" s="130">
        <f>SUM(A273:E273)</f>
        <v>141.10599999999999</v>
      </c>
      <c r="G273" s="181" t="s">
        <v>79</v>
      </c>
      <c r="H273" s="136"/>
    </row>
    <row r="274" spans="1:8" s="70" customFormat="1" ht="13.5" hidden="1" customHeight="1" x14ac:dyDescent="0.2">
      <c r="A274" s="129">
        <v>0</v>
      </c>
      <c r="B274" s="130"/>
      <c r="C274" s="147">
        <v>71.138999999999996</v>
      </c>
      <c r="D274" s="147"/>
      <c r="E274" s="147">
        <v>61.366</v>
      </c>
      <c r="F274" s="130">
        <f>SUM(A274:E274)</f>
        <v>132.505</v>
      </c>
      <c r="G274" s="181" t="s">
        <v>80</v>
      </c>
      <c r="H274" s="136"/>
    </row>
    <row r="275" spans="1:8" s="70" customFormat="1" ht="13.5" hidden="1" customHeight="1" x14ac:dyDescent="0.2">
      <c r="A275" s="129">
        <v>0</v>
      </c>
      <c r="B275" s="130"/>
      <c r="C275" s="147">
        <v>74.677999999999997</v>
      </c>
      <c r="D275" s="147"/>
      <c r="E275" s="147">
        <v>65.123999999999995</v>
      </c>
      <c r="F275" s="130">
        <f>SUM(A275:E275)</f>
        <v>139.80199999999999</v>
      </c>
      <c r="G275" s="181" t="s">
        <v>81</v>
      </c>
      <c r="H275" s="136"/>
    </row>
    <row r="276" spans="1:8" s="70" customFormat="1" ht="13.5" customHeight="1" x14ac:dyDescent="0.2">
      <c r="A276" s="129">
        <f t="shared" ref="A276:F276" si="70">SUM(A273:A275)</f>
        <v>3.0000000000000001E-3</v>
      </c>
      <c r="B276" s="130"/>
      <c r="C276" s="147">
        <f t="shared" si="70"/>
        <v>217.59299999999999</v>
      </c>
      <c r="D276" s="147"/>
      <c r="E276" s="147">
        <f t="shared" si="70"/>
        <v>195.81699999999998</v>
      </c>
      <c r="F276" s="130">
        <f t="shared" si="70"/>
        <v>413.41300000000001</v>
      </c>
      <c r="G276" s="181" t="s">
        <v>49</v>
      </c>
      <c r="H276" s="136"/>
    </row>
    <row r="277" spans="1:8" s="70" customFormat="1" ht="13.5" hidden="1" customHeight="1" x14ac:dyDescent="0.2">
      <c r="A277" s="129">
        <v>0</v>
      </c>
      <c r="B277" s="130"/>
      <c r="C277" s="147">
        <v>75.787999999999997</v>
      </c>
      <c r="D277" s="147"/>
      <c r="E277" s="147">
        <v>61.640999999999998</v>
      </c>
      <c r="F277" s="130">
        <f>SUM(A277:E277)</f>
        <v>137.429</v>
      </c>
      <c r="G277" s="181" t="s">
        <v>83</v>
      </c>
      <c r="H277" s="136"/>
    </row>
    <row r="278" spans="1:8" s="70" customFormat="1" ht="13.5" hidden="1" customHeight="1" x14ac:dyDescent="0.2">
      <c r="A278" s="129">
        <v>0</v>
      </c>
      <c r="B278" s="130"/>
      <c r="C278" s="147">
        <v>74.84</v>
      </c>
      <c r="D278" s="147"/>
      <c r="E278" s="147">
        <v>58.603000000000002</v>
      </c>
      <c r="F278" s="130">
        <f>SUM(A278:E278)</f>
        <v>133.44300000000001</v>
      </c>
      <c r="G278" s="181" t="s">
        <v>84</v>
      </c>
      <c r="H278" s="136"/>
    </row>
    <row r="279" spans="1:8" s="70" customFormat="1" ht="13.5" hidden="1" customHeight="1" x14ac:dyDescent="0.2">
      <c r="A279" s="129">
        <v>1E-3</v>
      </c>
      <c r="B279" s="130"/>
      <c r="C279" s="147">
        <v>63.203000000000003</v>
      </c>
      <c r="D279" s="147"/>
      <c r="E279" s="147">
        <v>52.701000000000001</v>
      </c>
      <c r="F279" s="130">
        <f>SUM(A279:E279)</f>
        <v>115.905</v>
      </c>
      <c r="G279" s="181" t="s">
        <v>85</v>
      </c>
      <c r="H279" s="136"/>
    </row>
    <row r="280" spans="1:8" s="70" customFormat="1" ht="13.5" customHeight="1" x14ac:dyDescent="0.2">
      <c r="A280" s="129">
        <f t="shared" ref="A280:F280" si="71">SUM(A277:A279)</f>
        <v>1E-3</v>
      </c>
      <c r="B280" s="130"/>
      <c r="C280" s="147">
        <f t="shared" si="71"/>
        <v>213.83099999999999</v>
      </c>
      <c r="D280" s="147"/>
      <c r="E280" s="147">
        <f t="shared" si="71"/>
        <v>172.94499999999999</v>
      </c>
      <c r="F280" s="130">
        <f t="shared" si="71"/>
        <v>386.77700000000004</v>
      </c>
      <c r="G280" s="181" t="s">
        <v>50</v>
      </c>
      <c r="H280" s="136"/>
    </row>
    <row r="281" spans="1:8" s="70" customFormat="1" ht="13.5" hidden="1" customHeight="1" x14ac:dyDescent="0.2">
      <c r="A281" s="129">
        <v>5.0000000000000001E-3</v>
      </c>
      <c r="B281" s="130"/>
      <c r="C281" s="147">
        <v>69.144999999999996</v>
      </c>
      <c r="D281" s="147"/>
      <c r="E281" s="147">
        <v>60.24</v>
      </c>
      <c r="F281" s="130">
        <f>SUM(A281:E281)</f>
        <v>129.38999999999999</v>
      </c>
      <c r="G281" s="181" t="s">
        <v>87</v>
      </c>
      <c r="H281" s="136"/>
    </row>
    <row r="282" spans="1:8" s="70" customFormat="1" ht="13.5" hidden="1" customHeight="1" x14ac:dyDescent="0.2">
      <c r="A282" s="129">
        <v>9.7000000000000003E-2</v>
      </c>
      <c r="B282" s="130"/>
      <c r="C282" s="147">
        <v>68.998999999999995</v>
      </c>
      <c r="D282" s="147"/>
      <c r="E282" s="147">
        <v>53.052</v>
      </c>
      <c r="F282" s="130">
        <f>SUM(A282:E282)</f>
        <v>122.148</v>
      </c>
      <c r="G282" s="181" t="s">
        <v>88</v>
      </c>
      <c r="H282" s="136"/>
    </row>
    <row r="283" spans="1:8" s="70" customFormat="1" ht="13.5" hidden="1" customHeight="1" x14ac:dyDescent="0.2">
      <c r="A283" s="129">
        <v>0</v>
      </c>
      <c r="B283" s="130"/>
      <c r="C283" s="147">
        <v>70.376999999999995</v>
      </c>
      <c r="D283" s="147">
        <v>0.36699999999999999</v>
      </c>
      <c r="E283" s="147">
        <v>61.252000000000002</v>
      </c>
      <c r="F283" s="130">
        <f>SUM(A283:E283)</f>
        <v>131.99600000000001</v>
      </c>
      <c r="G283" s="181" t="s">
        <v>89</v>
      </c>
      <c r="H283" s="136"/>
    </row>
    <row r="284" spans="1:8" s="70" customFormat="1" ht="13.5" customHeight="1" x14ac:dyDescent="0.2">
      <c r="A284" s="129">
        <f t="shared" ref="A284:E284" si="72">SUM(A281:A283)</f>
        <v>0.10200000000000001</v>
      </c>
      <c r="B284" s="130"/>
      <c r="C284" s="147">
        <f t="shared" si="72"/>
        <v>208.52100000000002</v>
      </c>
      <c r="D284" s="147">
        <f t="shared" si="72"/>
        <v>0.36699999999999999</v>
      </c>
      <c r="E284" s="147">
        <f t="shared" si="72"/>
        <v>174.54400000000001</v>
      </c>
      <c r="F284" s="130">
        <f>SUM(F281:F283)</f>
        <v>383.53399999999999</v>
      </c>
      <c r="G284" s="181" t="s">
        <v>51</v>
      </c>
      <c r="H284" s="136"/>
    </row>
    <row r="285" spans="1:8" s="70" customFormat="1" ht="13.5" customHeight="1" x14ac:dyDescent="0.2">
      <c r="A285" s="118"/>
      <c r="B285" s="119"/>
      <c r="C285" s="144"/>
      <c r="D285" s="144"/>
      <c r="E285" s="144"/>
      <c r="F285" s="119"/>
      <c r="G285" s="182"/>
      <c r="H285" s="123"/>
    </row>
    <row r="286" spans="1:8" s="70" customFormat="1" ht="13.5" hidden="1" customHeight="1" x14ac:dyDescent="0.2">
      <c r="A286" s="118">
        <v>0</v>
      </c>
      <c r="B286" s="119">
        <v>0</v>
      </c>
      <c r="C286" s="144">
        <v>67.742000000000004</v>
      </c>
      <c r="D286" s="144">
        <v>3.7269999999999999</v>
      </c>
      <c r="E286" s="144">
        <v>61.715000000000003</v>
      </c>
      <c r="F286" s="119">
        <f>SUM(A286:E286)</f>
        <v>133.18400000000003</v>
      </c>
      <c r="G286" s="182" t="s">
        <v>75</v>
      </c>
      <c r="H286" s="123">
        <v>2022</v>
      </c>
    </row>
    <row r="287" spans="1:8" s="70" customFormat="1" ht="13.5" hidden="1" customHeight="1" x14ac:dyDescent="0.2">
      <c r="A287" s="118">
        <v>0</v>
      </c>
      <c r="B287" s="119">
        <v>0</v>
      </c>
      <c r="C287" s="144">
        <v>64.840999999999994</v>
      </c>
      <c r="D287" s="144">
        <v>2.2010000000000001</v>
      </c>
      <c r="E287" s="144">
        <v>62.393000000000001</v>
      </c>
      <c r="F287" s="119">
        <f>SUM(A287:E287)</f>
        <v>129.435</v>
      </c>
      <c r="G287" s="182" t="s">
        <v>76</v>
      </c>
      <c r="H287" s="123"/>
    </row>
    <row r="288" spans="1:8" s="70" customFormat="1" ht="13.5" hidden="1" customHeight="1" x14ac:dyDescent="0.2">
      <c r="A288" s="118">
        <v>0</v>
      </c>
      <c r="B288" s="119">
        <v>0.1</v>
      </c>
      <c r="C288" s="144">
        <v>68.69</v>
      </c>
      <c r="D288" s="144">
        <v>3.9489999999999998</v>
      </c>
      <c r="E288" s="144">
        <v>70.447000000000003</v>
      </c>
      <c r="F288" s="119">
        <f>SUM(A288:E288)</f>
        <v>143.18599999999998</v>
      </c>
      <c r="G288" s="182" t="s">
        <v>77</v>
      </c>
      <c r="H288" s="123"/>
    </row>
    <row r="289" spans="1:8" s="70" customFormat="1" ht="13.5" customHeight="1" x14ac:dyDescent="0.2">
      <c r="A289" s="118">
        <f t="shared" ref="A289:F289" si="73">SUM(A286:A288)</f>
        <v>0</v>
      </c>
      <c r="B289" s="119">
        <f t="shared" si="73"/>
        <v>0.1</v>
      </c>
      <c r="C289" s="144">
        <f t="shared" si="73"/>
        <v>201.273</v>
      </c>
      <c r="D289" s="144">
        <f t="shared" si="73"/>
        <v>9.8769999999999989</v>
      </c>
      <c r="E289" s="144">
        <f t="shared" si="73"/>
        <v>194.55500000000001</v>
      </c>
      <c r="F289" s="119">
        <f t="shared" si="73"/>
        <v>405.80500000000001</v>
      </c>
      <c r="G289" s="182" t="s">
        <v>48</v>
      </c>
      <c r="H289" s="123">
        <v>2022</v>
      </c>
    </row>
    <row r="290" spans="1:8" s="70" customFormat="1" ht="13.5" customHeight="1" x14ac:dyDescent="0.2">
      <c r="A290" s="118">
        <v>0</v>
      </c>
      <c r="B290" s="119">
        <v>0.751</v>
      </c>
      <c r="C290" s="144">
        <v>62.308999999999997</v>
      </c>
      <c r="D290" s="144">
        <v>9.548</v>
      </c>
      <c r="E290" s="144">
        <v>57.000999999999998</v>
      </c>
      <c r="F290" s="119">
        <f>SUM(A290:E290)</f>
        <v>129.60899999999998</v>
      </c>
      <c r="G290" s="182" t="s">
        <v>79</v>
      </c>
      <c r="H290" s="123"/>
    </row>
    <row r="291" spans="1:8" s="70" customFormat="1" ht="13.5" customHeight="1" x14ac:dyDescent="0.2">
      <c r="A291" s="118">
        <v>0</v>
      </c>
      <c r="B291" s="119">
        <v>2.8290000000000002</v>
      </c>
      <c r="C291" s="144">
        <v>71.668000000000006</v>
      </c>
      <c r="D291" s="144">
        <v>14.057</v>
      </c>
      <c r="E291" s="144">
        <v>49.718000000000004</v>
      </c>
      <c r="F291" s="119">
        <f>SUM(A291:E291)</f>
        <v>138.27199999999999</v>
      </c>
      <c r="G291" s="182" t="s">
        <v>80</v>
      </c>
      <c r="H291" s="123"/>
    </row>
    <row r="292" spans="1:8" s="70" customFormat="1" ht="14.25" customHeight="1" x14ac:dyDescent="0.2">
      <c r="A292" s="137"/>
      <c r="B292" s="138"/>
      <c r="C292" s="138"/>
      <c r="D292" s="138"/>
      <c r="E292" s="138"/>
      <c r="F292" s="138"/>
      <c r="G292" s="183"/>
      <c r="H292" s="135"/>
    </row>
    <row r="293" spans="1:8" s="70" customFormat="1" ht="12.75" x14ac:dyDescent="0.2">
      <c r="A293" s="151"/>
      <c r="B293" s="151"/>
      <c r="C293" s="119"/>
      <c r="D293" s="119"/>
      <c r="E293" s="119"/>
      <c r="F293" s="115"/>
      <c r="H293" s="77" t="s">
        <v>39</v>
      </c>
    </row>
    <row r="294" spans="1:8" x14ac:dyDescent="0.2">
      <c r="A294" s="124"/>
      <c r="B294" s="124"/>
      <c r="C294" s="124"/>
      <c r="D294" s="124"/>
      <c r="E294" s="124"/>
      <c r="F294" s="124"/>
    </row>
    <row r="295" spans="1:8" x14ac:dyDescent="0.2">
      <c r="H295" s="77"/>
    </row>
    <row r="297" spans="1:8" x14ac:dyDescent="0.2">
      <c r="E297" s="116"/>
    </row>
  </sheetData>
  <printOptions horizontalCentered="1" gridLinesSet="0"/>
  <pageMargins left="0.15748031496062992" right="0.47244094488188981" top="0.15748031496062992" bottom="0.15748031496062992" header="0.15748031496062992" footer="0.15748031496062992"/>
  <pageSetup paperSize="9" fitToWidth="0" orientation="landscape" r:id="rId1"/>
  <headerFooter alignWithMargins="0"/>
  <ignoredErrors>
    <ignoredError sqref="G227:G232 G205:G215 G218:G226 G86:G204 G216:G217 G235:G237 G239:G244 G245:G253 G254:G267 G269:G271 G273:G275 G277:G279 G281:G283 G286:G288 G290:G291" numberStoredAsText="1"/>
    <ignoredError sqref="F93 F89 F204:F212 F221 F225 B229 F229 F238 F242 F246 F255 F259 F263 F272:F282 F289" formula="1"/>
    <ignoredError sqref="D225:E225 A225:B225 A221:D221 C229:E229 C238:E238" formula="1" unlockedFormula="1"/>
    <ignoredError sqref="A222:E224 E221 C225 C233:E233 C242:E242 B246:E259 C263:E282 C292:E292 C283 E283 C284:D284 E284 A289:E289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81" transitionEvaluation="1"/>
  <dimension ref="A1:H297"/>
  <sheetViews>
    <sheetView showGridLines="0" zoomScaleSheetLayoutView="100" workbookViewId="0">
      <pane ySplit="28" topLeftCell="A81" activePane="bottomLeft" state="frozen"/>
      <selection pane="bottomLeft" activeCell="H289" sqref="H289"/>
    </sheetView>
  </sheetViews>
  <sheetFormatPr defaultColWidth="16.28515625" defaultRowHeight="15" x14ac:dyDescent="0.2"/>
  <cols>
    <col min="1" max="1" width="10" style="44" customWidth="1"/>
    <col min="2" max="2" width="12.140625" style="44" customWidth="1"/>
    <col min="3" max="3" width="13.28515625" style="44" customWidth="1"/>
    <col min="4" max="4" width="12.42578125" style="44" customWidth="1"/>
    <col min="5" max="5" width="11.28515625" style="44" customWidth="1"/>
    <col min="6" max="6" width="12.42578125" style="44" customWidth="1"/>
    <col min="7" max="7" width="6.5703125" style="44" customWidth="1"/>
    <col min="8" max="8" width="5.5703125" style="44" customWidth="1"/>
    <col min="9" max="16384" width="16.28515625" style="44"/>
  </cols>
  <sheetData>
    <row r="1" spans="1:8" ht="18" customHeight="1" x14ac:dyDescent="0.25">
      <c r="A1" s="169" t="s">
        <v>57</v>
      </c>
      <c r="B1" s="169"/>
      <c r="C1" s="41"/>
      <c r="D1" s="41"/>
      <c r="E1" s="41"/>
      <c r="F1" s="41"/>
      <c r="H1" s="171" t="s">
        <v>23</v>
      </c>
    </row>
    <row r="2" spans="1:8" ht="15.75" x14ac:dyDescent="0.25">
      <c r="A2" s="169" t="s">
        <v>58</v>
      </c>
      <c r="B2" s="169"/>
      <c r="C2" s="41"/>
      <c r="D2" s="41"/>
      <c r="E2" s="41"/>
      <c r="F2" s="41"/>
      <c r="H2" s="171" t="s">
        <v>116</v>
      </c>
    </row>
    <row r="3" spans="1:8" s="46" customFormat="1" ht="15.75" x14ac:dyDescent="0.25">
      <c r="A3" s="169" t="s">
        <v>159</v>
      </c>
      <c r="B3" s="169"/>
      <c r="C3" s="40"/>
      <c r="D3" s="40"/>
      <c r="H3" s="171" t="s">
        <v>160</v>
      </c>
    </row>
    <row r="4" spans="1:8" s="76" customFormat="1" ht="15" customHeight="1" thickBot="1" x14ac:dyDescent="0.25">
      <c r="A4" s="170" t="s">
        <v>38</v>
      </c>
      <c r="B4" s="170"/>
      <c r="C4" s="74"/>
      <c r="D4" s="74"/>
      <c r="E4" s="74"/>
      <c r="F4" s="74"/>
      <c r="G4" s="74"/>
      <c r="H4" s="172" t="s">
        <v>37</v>
      </c>
    </row>
    <row r="5" spans="1:8" s="48" customFormat="1" ht="15" customHeight="1" thickTop="1" x14ac:dyDescent="0.2">
      <c r="A5" s="89"/>
      <c r="B5" s="185"/>
      <c r="C5" s="90"/>
      <c r="D5" s="56"/>
      <c r="F5" s="188" t="s">
        <v>165</v>
      </c>
      <c r="G5" s="56"/>
      <c r="H5" s="95"/>
    </row>
    <row r="6" spans="1:8" s="48" customFormat="1" ht="12" x14ac:dyDescent="0.2">
      <c r="A6" s="187" t="s">
        <v>164</v>
      </c>
      <c r="B6" s="186"/>
      <c r="C6" s="57"/>
      <c r="D6" s="57"/>
      <c r="E6" s="57"/>
      <c r="F6" s="58"/>
      <c r="G6" s="56"/>
      <c r="H6" s="96"/>
    </row>
    <row r="7" spans="1:8" s="63" customFormat="1" ht="12" customHeight="1" x14ac:dyDescent="0.2">
      <c r="A7" s="166" t="s">
        <v>149</v>
      </c>
      <c r="B7" s="166" t="s">
        <v>152</v>
      </c>
      <c r="C7" s="166" t="s">
        <v>148</v>
      </c>
      <c r="D7" s="166" t="s">
        <v>150</v>
      </c>
      <c r="E7" s="166" t="s">
        <v>147</v>
      </c>
      <c r="F7" s="166" t="s">
        <v>42</v>
      </c>
      <c r="G7" s="125" t="s">
        <v>47</v>
      </c>
      <c r="H7" s="126" t="s">
        <v>40</v>
      </c>
    </row>
    <row r="8" spans="1:8" s="63" customFormat="1" ht="12" customHeight="1" x14ac:dyDescent="0.2">
      <c r="A8" s="167" t="s">
        <v>41</v>
      </c>
      <c r="B8" s="167" t="s">
        <v>153</v>
      </c>
      <c r="C8" s="167" t="s">
        <v>31</v>
      </c>
      <c r="D8" s="167" t="s">
        <v>151</v>
      </c>
      <c r="E8" s="167" t="s">
        <v>32</v>
      </c>
      <c r="F8" s="167" t="s">
        <v>43</v>
      </c>
      <c r="G8" s="62" t="s">
        <v>110</v>
      </c>
      <c r="H8" s="64" t="s">
        <v>111</v>
      </c>
    </row>
    <row r="9" spans="1:8" s="67" customFormat="1" ht="11.25" hidden="1" x14ac:dyDescent="0.2">
      <c r="A9" s="82">
        <v>3.3919999999999999</v>
      </c>
      <c r="B9" s="85"/>
      <c r="C9" s="81">
        <v>254.50800000000001</v>
      </c>
      <c r="D9" s="81"/>
      <c r="E9" s="82">
        <v>425.11</v>
      </c>
      <c r="F9" s="80">
        <f>SUM(A9:E9)</f>
        <v>683.01</v>
      </c>
      <c r="G9" s="66"/>
      <c r="H9" s="97">
        <v>2000</v>
      </c>
    </row>
    <row r="10" spans="1:8" s="67" customFormat="1" ht="11.25" hidden="1" x14ac:dyDescent="0.2">
      <c r="A10" s="85">
        <v>11.534000000000001</v>
      </c>
      <c r="B10" s="85"/>
      <c r="C10" s="81">
        <v>281.11</v>
      </c>
      <c r="D10" s="81"/>
      <c r="E10" s="85">
        <v>398.55200000000002</v>
      </c>
      <c r="F10" s="84">
        <f>SUM(A10:E10)</f>
        <v>691.19600000000003</v>
      </c>
      <c r="G10" s="79"/>
      <c r="H10" s="98">
        <v>2001</v>
      </c>
    </row>
    <row r="11" spans="1:8" s="67" customFormat="1" ht="11.25" hidden="1" x14ac:dyDescent="0.2">
      <c r="A11" s="85">
        <v>8.7530000000000001</v>
      </c>
      <c r="B11" s="85"/>
      <c r="C11" s="81">
        <v>298.512</v>
      </c>
      <c r="D11" s="81"/>
      <c r="E11" s="85">
        <v>425.73099999999999</v>
      </c>
      <c r="F11" s="84">
        <f>SUM(A11:E11)</f>
        <v>732.99599999999998</v>
      </c>
      <c r="G11" s="79"/>
      <c r="H11" s="98">
        <v>2002</v>
      </c>
    </row>
    <row r="12" spans="1:8" s="70" customFormat="1" ht="11.25" hidden="1" x14ac:dyDescent="0.2">
      <c r="A12" s="81">
        <v>9.7940000000000005</v>
      </c>
      <c r="B12" s="81"/>
      <c r="C12" s="81">
        <v>289.10300000000001</v>
      </c>
      <c r="D12" s="81"/>
      <c r="E12" s="84">
        <v>480.34399999999999</v>
      </c>
      <c r="F12" s="84">
        <v>779.24099999999999</v>
      </c>
      <c r="G12" s="69"/>
      <c r="H12" s="99">
        <v>2003</v>
      </c>
    </row>
    <row r="13" spans="1:8" s="70" customFormat="1" ht="11.25" hidden="1" x14ac:dyDescent="0.2">
      <c r="A13" s="81">
        <v>14.858000000000001</v>
      </c>
      <c r="B13" s="81"/>
      <c r="C13" s="81">
        <v>298.16300000000001</v>
      </c>
      <c r="D13" s="81"/>
      <c r="E13" s="84">
        <v>495.06200000000001</v>
      </c>
      <c r="F13" s="84">
        <v>808.08299999999997</v>
      </c>
      <c r="G13" s="69"/>
      <c r="H13" s="99">
        <v>2004</v>
      </c>
    </row>
    <row r="14" spans="1:8" s="70" customFormat="1" ht="11.25" hidden="1" x14ac:dyDescent="0.2">
      <c r="A14" s="81">
        <f t="shared" ref="A14:F14" si="0">SUM(A20:A23)</f>
        <v>10.515000000000001</v>
      </c>
      <c r="B14" s="81"/>
      <c r="C14" s="81">
        <f t="shared" si="0"/>
        <v>290.892</v>
      </c>
      <c r="D14" s="81"/>
      <c r="E14" s="84">
        <f t="shared" si="0"/>
        <v>546.572</v>
      </c>
      <c r="F14" s="84">
        <f t="shared" si="0"/>
        <v>847.97900000000004</v>
      </c>
      <c r="G14" s="69"/>
      <c r="H14" s="99">
        <v>2005</v>
      </c>
    </row>
    <row r="15" spans="1:8" s="70" customFormat="1" ht="11.25" hidden="1" x14ac:dyDescent="0.2">
      <c r="A15" s="81">
        <v>11.7</v>
      </c>
      <c r="B15" s="81"/>
      <c r="C15" s="81">
        <v>377</v>
      </c>
      <c r="D15" s="81"/>
      <c r="E15" s="84">
        <v>501</v>
      </c>
      <c r="F15" s="84">
        <v>889.7</v>
      </c>
      <c r="G15" s="69"/>
      <c r="H15" s="99">
        <v>2006</v>
      </c>
    </row>
    <row r="16" spans="1:8" s="70" customFormat="1" ht="11.25" hidden="1" x14ac:dyDescent="0.2">
      <c r="A16" s="81">
        <f t="shared" ref="A16:F16" si="1">SUM(A33:A36)</f>
        <v>3.2909999999999995</v>
      </c>
      <c r="B16" s="81"/>
      <c r="C16" s="81">
        <f t="shared" si="1"/>
        <v>370.74</v>
      </c>
      <c r="D16" s="81"/>
      <c r="E16" s="84">
        <f t="shared" si="1"/>
        <v>595.08799999999997</v>
      </c>
      <c r="F16" s="84">
        <f t="shared" si="1"/>
        <v>969.11900000000003</v>
      </c>
      <c r="G16" s="69"/>
      <c r="H16" s="99">
        <v>2007</v>
      </c>
    </row>
    <row r="17" spans="1:8" s="70" customFormat="1" ht="11.25" hidden="1" x14ac:dyDescent="0.2">
      <c r="A17" s="81">
        <f t="shared" ref="A17:F17" si="2">A42+A46+A50+A54</f>
        <v>0.91699999999999993</v>
      </c>
      <c r="B17" s="81"/>
      <c r="C17" s="81">
        <f t="shared" si="2"/>
        <v>388.63800000000003</v>
      </c>
      <c r="D17" s="81"/>
      <c r="E17" s="84">
        <f t="shared" si="2"/>
        <v>644.28700000000003</v>
      </c>
      <c r="F17" s="84">
        <f t="shared" si="2"/>
        <v>1033.8419999999999</v>
      </c>
      <c r="G17" s="69"/>
      <c r="H17" s="99">
        <v>2008</v>
      </c>
    </row>
    <row r="18" spans="1:8" s="70" customFormat="1" ht="11.25" hidden="1" x14ac:dyDescent="0.2">
      <c r="A18" s="81">
        <f t="shared" ref="A18:F18" si="3">A59+A63+A67+A71</f>
        <v>2.3460000000000001</v>
      </c>
      <c r="B18" s="81"/>
      <c r="C18" s="81">
        <f t="shared" si="3"/>
        <v>430.96</v>
      </c>
      <c r="D18" s="81"/>
      <c r="E18" s="84">
        <f t="shared" si="3"/>
        <v>591.55799999999999</v>
      </c>
      <c r="F18" s="84">
        <f t="shared" si="3"/>
        <v>1024.864</v>
      </c>
      <c r="G18" s="69"/>
      <c r="H18" s="99">
        <v>2009</v>
      </c>
    </row>
    <row r="19" spans="1:8" s="70" customFormat="1" ht="11.25" hidden="1" x14ac:dyDescent="0.2">
      <c r="A19" s="81"/>
      <c r="B19" s="81"/>
      <c r="C19" s="81"/>
      <c r="D19" s="81"/>
      <c r="E19" s="81"/>
      <c r="F19" s="84"/>
      <c r="G19" s="69"/>
      <c r="H19" s="99"/>
    </row>
    <row r="20" spans="1:8" s="70" customFormat="1" ht="11.25" hidden="1" x14ac:dyDescent="0.2">
      <c r="A20" s="88">
        <v>2.0409999999999999</v>
      </c>
      <c r="B20" s="88"/>
      <c r="C20" s="81">
        <v>80.930000000000007</v>
      </c>
      <c r="D20" s="81"/>
      <c r="E20" s="81">
        <v>114.16800000000001</v>
      </c>
      <c r="F20" s="85">
        <f>SUM(A20:E20)</f>
        <v>197.13900000000001</v>
      </c>
      <c r="G20" s="72" t="s">
        <v>48</v>
      </c>
      <c r="H20" s="99">
        <v>2005</v>
      </c>
    </row>
    <row r="21" spans="1:8" s="70" customFormat="1" ht="11.25" hidden="1" x14ac:dyDescent="0.2">
      <c r="A21" s="88">
        <v>2.4220000000000002</v>
      </c>
      <c r="B21" s="88"/>
      <c r="C21" s="81">
        <v>84.192999999999998</v>
      </c>
      <c r="D21" s="81"/>
      <c r="E21" s="81">
        <v>139.262</v>
      </c>
      <c r="F21" s="85">
        <f>SUM(A21:E21)</f>
        <v>225.87700000000001</v>
      </c>
      <c r="G21" s="72" t="s">
        <v>49</v>
      </c>
      <c r="H21" s="99"/>
    </row>
    <row r="22" spans="1:8" s="70" customFormat="1" ht="11.25" hidden="1" x14ac:dyDescent="0.2">
      <c r="A22" s="94">
        <v>2.927</v>
      </c>
      <c r="B22" s="85"/>
      <c r="C22" s="85">
        <v>64.177000000000007</v>
      </c>
      <c r="D22" s="85"/>
      <c r="E22" s="81">
        <v>149.142</v>
      </c>
      <c r="F22" s="87">
        <f>SUM(A22:E22)</f>
        <v>216.24600000000001</v>
      </c>
      <c r="G22" s="72" t="s">
        <v>50</v>
      </c>
      <c r="H22" s="99"/>
    </row>
    <row r="23" spans="1:8" s="70" customFormat="1" ht="11.25" hidden="1" x14ac:dyDescent="0.2">
      <c r="A23" s="94">
        <v>3.125</v>
      </c>
      <c r="B23" s="85"/>
      <c r="C23" s="85">
        <v>61.591999999999999</v>
      </c>
      <c r="D23" s="85"/>
      <c r="E23" s="81">
        <v>144</v>
      </c>
      <c r="F23" s="87">
        <v>208.71699999999998</v>
      </c>
      <c r="G23" s="72" t="s">
        <v>51</v>
      </c>
      <c r="H23" s="99"/>
    </row>
    <row r="24" spans="1:8" s="70" customFormat="1" ht="11.25" hidden="1" x14ac:dyDescent="0.2">
      <c r="A24" s="94"/>
      <c r="B24" s="85"/>
      <c r="C24" s="85"/>
      <c r="D24" s="85"/>
      <c r="E24" s="81"/>
      <c r="F24" s="87"/>
      <c r="G24" s="72"/>
      <c r="H24" s="99"/>
    </row>
    <row r="25" spans="1:8" s="70" customFormat="1" ht="11.25" hidden="1" x14ac:dyDescent="0.2">
      <c r="A25" s="94">
        <v>3</v>
      </c>
      <c r="B25" s="85"/>
      <c r="C25" s="85">
        <v>68</v>
      </c>
      <c r="D25" s="85"/>
      <c r="E25" s="85">
        <v>157</v>
      </c>
      <c r="F25" s="87">
        <v>228</v>
      </c>
      <c r="G25" s="72" t="s">
        <v>48</v>
      </c>
      <c r="H25" s="99">
        <v>2006</v>
      </c>
    </row>
    <row r="26" spans="1:8" s="70" customFormat="1" ht="11.25" hidden="1" x14ac:dyDescent="0.2">
      <c r="A26" s="94">
        <v>4</v>
      </c>
      <c r="B26" s="85"/>
      <c r="C26" s="85">
        <v>78</v>
      </c>
      <c r="D26" s="85"/>
      <c r="E26" s="85">
        <v>152</v>
      </c>
      <c r="F26" s="87">
        <f>SUM(A26:E26)</f>
        <v>234</v>
      </c>
      <c r="G26" s="72" t="s">
        <v>49</v>
      </c>
      <c r="H26" s="99"/>
    </row>
    <row r="27" spans="1:8" s="70" customFormat="1" ht="11.25" hidden="1" x14ac:dyDescent="0.2">
      <c r="A27" s="94">
        <v>2.6</v>
      </c>
      <c r="B27" s="85"/>
      <c r="C27" s="85">
        <v>91</v>
      </c>
      <c r="D27" s="85"/>
      <c r="E27" s="85">
        <v>107</v>
      </c>
      <c r="F27" s="87">
        <v>200.6</v>
      </c>
      <c r="G27" s="72" t="s">
        <v>50</v>
      </c>
      <c r="H27" s="99"/>
    </row>
    <row r="28" spans="1:8" s="70" customFormat="1" ht="11.25" hidden="1" x14ac:dyDescent="0.2">
      <c r="A28" s="94">
        <v>3</v>
      </c>
      <c r="B28" s="85"/>
      <c r="C28" s="85">
        <v>79</v>
      </c>
      <c r="D28" s="85"/>
      <c r="E28" s="85">
        <v>136</v>
      </c>
      <c r="F28" s="87">
        <v>218</v>
      </c>
      <c r="G28" s="72" t="s">
        <v>51</v>
      </c>
      <c r="H28" s="99"/>
    </row>
    <row r="29" spans="1:8" s="70" customFormat="1" ht="11.25" x14ac:dyDescent="0.2">
      <c r="A29" s="94">
        <f t="shared" ref="A29:F29" si="4">A85+A89+A93+A97</f>
        <v>0</v>
      </c>
      <c r="B29" s="85"/>
      <c r="C29" s="85">
        <f t="shared" si="4"/>
        <v>497.91699999999997</v>
      </c>
      <c r="D29" s="85"/>
      <c r="E29" s="85">
        <f t="shared" si="4"/>
        <v>639.69200000000001</v>
      </c>
      <c r="F29" s="87">
        <f t="shared" si="4"/>
        <v>1137.6089999999999</v>
      </c>
      <c r="G29" s="72"/>
      <c r="H29" s="99">
        <v>2010</v>
      </c>
    </row>
    <row r="30" spans="1:8" s="70" customFormat="1" ht="11.25" x14ac:dyDescent="0.2">
      <c r="A30" s="94">
        <f t="shared" ref="A30:F30" si="5">A102+A106+A110+A114</f>
        <v>0</v>
      </c>
      <c r="B30" s="85"/>
      <c r="C30" s="85">
        <f>C102+C106+C110+C114</f>
        <v>572.47699999999998</v>
      </c>
      <c r="D30" s="85"/>
      <c r="E30" s="85">
        <f t="shared" si="5"/>
        <v>619.98400000000004</v>
      </c>
      <c r="F30" s="87">
        <f t="shared" si="5"/>
        <v>1192.461</v>
      </c>
      <c r="G30" s="72"/>
      <c r="H30" s="99">
        <v>2011</v>
      </c>
    </row>
    <row r="31" spans="1:8" s="70" customFormat="1" ht="11.25" x14ac:dyDescent="0.2">
      <c r="A31" s="94">
        <f>A119+A123+A127+A131</f>
        <v>1E-3</v>
      </c>
      <c r="B31" s="85"/>
      <c r="C31" s="85">
        <f t="shared" ref="C31:F31" si="6">C119+C123+C127+C131</f>
        <v>580.26099999999997</v>
      </c>
      <c r="D31" s="85"/>
      <c r="E31" s="85">
        <f t="shared" si="6"/>
        <v>690.34100000000001</v>
      </c>
      <c r="F31" s="87">
        <f t="shared" si="6"/>
        <v>1270.6030000000001</v>
      </c>
      <c r="G31" s="72"/>
      <c r="H31" s="99">
        <v>2012</v>
      </c>
    </row>
    <row r="32" spans="1:8" s="70" customFormat="1" ht="9" hidden="1" customHeight="1" x14ac:dyDescent="0.2">
      <c r="A32" s="94"/>
      <c r="B32" s="85"/>
      <c r="C32" s="85"/>
      <c r="D32" s="85"/>
      <c r="E32" s="85"/>
      <c r="F32" s="87"/>
      <c r="G32" s="72"/>
      <c r="H32" s="99"/>
    </row>
    <row r="33" spans="1:8" s="70" customFormat="1" ht="11.25" hidden="1" x14ac:dyDescent="0.2">
      <c r="A33" s="94">
        <v>0.751</v>
      </c>
      <c r="B33" s="85"/>
      <c r="C33" s="85">
        <v>77.361999999999995</v>
      </c>
      <c r="D33" s="85"/>
      <c r="E33" s="85">
        <v>147.74</v>
      </c>
      <c r="F33" s="87">
        <v>225.85300000000001</v>
      </c>
      <c r="G33" s="72" t="s">
        <v>48</v>
      </c>
      <c r="H33" s="99">
        <v>2007</v>
      </c>
    </row>
    <row r="34" spans="1:8" s="70" customFormat="1" ht="11.25" hidden="1" x14ac:dyDescent="0.2">
      <c r="A34" s="94">
        <v>1.9390000000000001</v>
      </c>
      <c r="B34" s="85"/>
      <c r="C34" s="85">
        <v>103.517</v>
      </c>
      <c r="D34" s="85"/>
      <c r="E34" s="85">
        <v>150.12200000000001</v>
      </c>
      <c r="F34" s="87">
        <f>SUM(A34:E34)</f>
        <v>255.578</v>
      </c>
      <c r="G34" s="72" t="s">
        <v>49</v>
      </c>
      <c r="H34" s="99"/>
    </row>
    <row r="35" spans="1:8" s="70" customFormat="1" ht="11.25" hidden="1" x14ac:dyDescent="0.2">
      <c r="A35" s="94">
        <v>0.59899999999999998</v>
      </c>
      <c r="B35" s="85"/>
      <c r="C35" s="85">
        <v>92.692999999999998</v>
      </c>
      <c r="D35" s="85"/>
      <c r="E35" s="85">
        <v>148.69999999999999</v>
      </c>
      <c r="F35" s="87">
        <f>SUM(A35:E35)</f>
        <v>241.99199999999999</v>
      </c>
      <c r="G35" s="72" t="s">
        <v>50</v>
      </c>
      <c r="H35" s="99"/>
    </row>
    <row r="36" spans="1:8" s="70" customFormat="1" ht="11.25" hidden="1" x14ac:dyDescent="0.2">
      <c r="A36" s="94">
        <v>2E-3</v>
      </c>
      <c r="B36" s="85"/>
      <c r="C36" s="85">
        <v>97.168000000000006</v>
      </c>
      <c r="D36" s="85"/>
      <c r="E36" s="85">
        <v>148.52600000000001</v>
      </c>
      <c r="F36" s="87">
        <f>SUM(A36:E36)</f>
        <v>245.69600000000003</v>
      </c>
      <c r="G36" s="72" t="s">
        <v>51</v>
      </c>
      <c r="H36" s="99"/>
    </row>
    <row r="37" spans="1:8" s="70" customFormat="1" ht="11.25" x14ac:dyDescent="0.2">
      <c r="A37" s="94">
        <f t="shared" ref="A37:F37" si="7">A136+A140+A144+A148</f>
        <v>0.159</v>
      </c>
      <c r="B37" s="85"/>
      <c r="C37" s="85">
        <f t="shared" si="7"/>
        <v>583.56500000000005</v>
      </c>
      <c r="D37" s="85"/>
      <c r="E37" s="85">
        <f t="shared" si="7"/>
        <v>681.96299999999997</v>
      </c>
      <c r="F37" s="87">
        <f t="shared" si="7"/>
        <v>1265.6869999999999</v>
      </c>
      <c r="G37" s="72"/>
      <c r="H37" s="99">
        <v>2013</v>
      </c>
    </row>
    <row r="38" spans="1:8" s="70" customFormat="1" ht="2.25" customHeight="1" x14ac:dyDescent="0.2">
      <c r="A38" s="94"/>
      <c r="B38" s="85"/>
      <c r="C38" s="85"/>
      <c r="D38" s="85"/>
      <c r="E38" s="85"/>
      <c r="F38" s="87"/>
      <c r="G38" s="72"/>
      <c r="H38" s="99"/>
    </row>
    <row r="39" spans="1:8" s="70" customFormat="1" ht="11.25" hidden="1" x14ac:dyDescent="0.2">
      <c r="A39" s="94">
        <v>2E-3</v>
      </c>
      <c r="B39" s="85"/>
      <c r="C39" s="85">
        <v>30.16</v>
      </c>
      <c r="D39" s="85"/>
      <c r="E39" s="85">
        <v>58.84</v>
      </c>
      <c r="F39" s="87">
        <f>SUM(A39:E39)</f>
        <v>89.00200000000001</v>
      </c>
      <c r="G39" s="72" t="s">
        <v>75</v>
      </c>
      <c r="H39" s="99">
        <v>2008</v>
      </c>
    </row>
    <row r="40" spans="1:8" s="70" customFormat="1" ht="11.25" hidden="1" x14ac:dyDescent="0.2">
      <c r="A40" s="94">
        <v>0</v>
      </c>
      <c r="B40" s="85"/>
      <c r="C40" s="85">
        <v>31.984000000000002</v>
      </c>
      <c r="D40" s="85"/>
      <c r="E40" s="85">
        <v>56.728999999999999</v>
      </c>
      <c r="F40" s="87">
        <f>SUM(A40:E40)</f>
        <v>88.712999999999994</v>
      </c>
      <c r="G40" s="72" t="s">
        <v>76</v>
      </c>
      <c r="H40" s="99"/>
    </row>
    <row r="41" spans="1:8" s="70" customFormat="1" ht="11.25" hidden="1" x14ac:dyDescent="0.2">
      <c r="A41" s="94">
        <v>0</v>
      </c>
      <c r="B41" s="85"/>
      <c r="C41" s="85">
        <v>33.085000000000001</v>
      </c>
      <c r="D41" s="85"/>
      <c r="E41" s="85">
        <v>66.870999999999995</v>
      </c>
      <c r="F41" s="87">
        <f>SUM(A41:E41)</f>
        <v>99.955999999999989</v>
      </c>
      <c r="G41" s="72" t="s">
        <v>77</v>
      </c>
      <c r="H41" s="99"/>
    </row>
    <row r="42" spans="1:8" s="70" customFormat="1" ht="12.75" hidden="1" customHeight="1" x14ac:dyDescent="0.2">
      <c r="A42" s="94">
        <f t="shared" ref="A42:F42" si="8">SUM(A39:A41)</f>
        <v>2E-3</v>
      </c>
      <c r="B42" s="85"/>
      <c r="C42" s="85">
        <f t="shared" si="8"/>
        <v>95.229000000000013</v>
      </c>
      <c r="D42" s="85"/>
      <c r="E42" s="85">
        <f t="shared" si="8"/>
        <v>182.44</v>
      </c>
      <c r="F42" s="87">
        <f t="shared" si="8"/>
        <v>277.67099999999999</v>
      </c>
      <c r="G42" s="72" t="s">
        <v>48</v>
      </c>
      <c r="H42" s="99">
        <v>2008</v>
      </c>
    </row>
    <row r="43" spans="1:8" s="70" customFormat="1" ht="11.25" hidden="1" x14ac:dyDescent="0.2">
      <c r="A43" s="94">
        <v>0</v>
      </c>
      <c r="B43" s="85"/>
      <c r="C43" s="85">
        <v>30.24</v>
      </c>
      <c r="D43" s="85"/>
      <c r="E43" s="85">
        <v>58.454000000000001</v>
      </c>
      <c r="F43" s="87">
        <f>SUM(A43:E43)</f>
        <v>88.694000000000003</v>
      </c>
      <c r="G43" s="72" t="s">
        <v>79</v>
      </c>
      <c r="H43" s="99"/>
    </row>
    <row r="44" spans="1:8" s="70" customFormat="1" ht="11.25" hidden="1" x14ac:dyDescent="0.2">
      <c r="A44" s="94">
        <v>8.9999999999999993E-3</v>
      </c>
      <c r="B44" s="85"/>
      <c r="C44" s="85">
        <v>33.201000000000001</v>
      </c>
      <c r="D44" s="85"/>
      <c r="E44" s="85">
        <v>63.402000000000001</v>
      </c>
      <c r="F44" s="87">
        <f>SUM(A44:E44)</f>
        <v>96.611999999999995</v>
      </c>
      <c r="G44" s="72" t="s">
        <v>80</v>
      </c>
      <c r="H44" s="99"/>
    </row>
    <row r="45" spans="1:8" s="70" customFormat="1" ht="11.25" hidden="1" x14ac:dyDescent="0.2">
      <c r="A45" s="94">
        <v>0</v>
      </c>
      <c r="B45" s="85"/>
      <c r="C45" s="85">
        <v>30.998000000000001</v>
      </c>
      <c r="D45" s="85"/>
      <c r="E45" s="85">
        <v>59.76</v>
      </c>
      <c r="F45" s="87">
        <f>SUM(A45:E45)</f>
        <v>90.757999999999996</v>
      </c>
      <c r="G45" s="72" t="s">
        <v>81</v>
      </c>
      <c r="H45" s="99"/>
    </row>
    <row r="46" spans="1:8" s="70" customFormat="1" ht="11.25" hidden="1" x14ac:dyDescent="0.2">
      <c r="A46" s="94">
        <f t="shared" ref="A46:F46" si="9">SUM(A43:A45)</f>
        <v>8.9999999999999993E-3</v>
      </c>
      <c r="B46" s="85"/>
      <c r="C46" s="85">
        <f t="shared" si="9"/>
        <v>94.439000000000007</v>
      </c>
      <c r="D46" s="85"/>
      <c r="E46" s="85">
        <f t="shared" si="9"/>
        <v>181.61599999999999</v>
      </c>
      <c r="F46" s="87">
        <f t="shared" si="9"/>
        <v>276.06399999999996</v>
      </c>
      <c r="G46" s="72" t="s">
        <v>49</v>
      </c>
      <c r="H46" s="99"/>
    </row>
    <row r="47" spans="1:8" s="70" customFormat="1" ht="11.25" hidden="1" x14ac:dyDescent="0.2">
      <c r="A47" s="94">
        <v>2E-3</v>
      </c>
      <c r="B47" s="85"/>
      <c r="C47" s="85">
        <v>34.593000000000004</v>
      </c>
      <c r="D47" s="85"/>
      <c r="E47" s="85">
        <v>63.39</v>
      </c>
      <c r="F47" s="87">
        <f>SUM(A47:E47)</f>
        <v>97.985000000000014</v>
      </c>
      <c r="G47" s="72" t="s">
        <v>83</v>
      </c>
      <c r="H47" s="99"/>
    </row>
    <row r="48" spans="1:8" s="70" customFormat="1" ht="11.25" hidden="1" x14ac:dyDescent="0.2">
      <c r="A48" s="94">
        <v>0</v>
      </c>
      <c r="B48" s="85"/>
      <c r="C48" s="85">
        <v>24.957999999999998</v>
      </c>
      <c r="D48" s="85"/>
      <c r="E48" s="85">
        <v>49.488999999999997</v>
      </c>
      <c r="F48" s="87">
        <f>SUM(A48:E48)</f>
        <v>74.447000000000003</v>
      </c>
      <c r="G48" s="72" t="s">
        <v>84</v>
      </c>
      <c r="H48" s="99"/>
    </row>
    <row r="49" spans="1:8" s="70" customFormat="1" ht="11.25" hidden="1" x14ac:dyDescent="0.2">
      <c r="A49" s="94">
        <v>0</v>
      </c>
      <c r="B49" s="85"/>
      <c r="C49" s="85">
        <v>26.922999999999998</v>
      </c>
      <c r="D49" s="85"/>
      <c r="E49" s="85">
        <v>27.811</v>
      </c>
      <c r="F49" s="87">
        <f>SUM(A49:E49)</f>
        <v>54.733999999999995</v>
      </c>
      <c r="G49" s="72" t="s">
        <v>85</v>
      </c>
      <c r="H49" s="99"/>
    </row>
    <row r="50" spans="1:8" s="70" customFormat="1" ht="11.25" hidden="1" x14ac:dyDescent="0.2">
      <c r="A50" s="94">
        <f t="shared" ref="A50:F50" si="10">SUM(A47:A49)</f>
        <v>2E-3</v>
      </c>
      <c r="B50" s="85"/>
      <c r="C50" s="85">
        <f t="shared" si="10"/>
        <v>86.474000000000004</v>
      </c>
      <c r="D50" s="85"/>
      <c r="E50" s="85">
        <f t="shared" si="10"/>
        <v>140.69</v>
      </c>
      <c r="F50" s="87">
        <f t="shared" si="10"/>
        <v>227.166</v>
      </c>
      <c r="G50" s="72" t="s">
        <v>50</v>
      </c>
      <c r="H50" s="99"/>
    </row>
    <row r="51" spans="1:8" s="70" customFormat="1" ht="11.25" hidden="1" x14ac:dyDescent="0.2">
      <c r="A51" s="94">
        <v>6.4000000000000001E-2</v>
      </c>
      <c r="B51" s="85"/>
      <c r="C51" s="85">
        <v>36.869999999999997</v>
      </c>
      <c r="D51" s="85"/>
      <c r="E51" s="85">
        <v>44.17</v>
      </c>
      <c r="F51" s="87">
        <f>SUM(A51:E51)</f>
        <v>81.103999999999999</v>
      </c>
      <c r="G51" s="72" t="s">
        <v>87</v>
      </c>
      <c r="H51" s="99"/>
    </row>
    <row r="52" spans="1:8" s="70" customFormat="1" ht="11.25" hidden="1" x14ac:dyDescent="0.2">
      <c r="A52" s="94">
        <v>0.35399999999999998</v>
      </c>
      <c r="B52" s="85"/>
      <c r="C52" s="85">
        <v>39.963999999999999</v>
      </c>
      <c r="D52" s="85"/>
      <c r="E52" s="85">
        <v>52.308999999999997</v>
      </c>
      <c r="F52" s="87">
        <f>SUM(A52:E52)</f>
        <v>92.626999999999995</v>
      </c>
      <c r="G52" s="72" t="s">
        <v>88</v>
      </c>
      <c r="H52" s="99"/>
    </row>
    <row r="53" spans="1:8" s="70" customFormat="1" ht="11.25" hidden="1" x14ac:dyDescent="0.2">
      <c r="A53" s="94">
        <v>0.48599999999999999</v>
      </c>
      <c r="B53" s="85"/>
      <c r="C53" s="85">
        <v>35.661999999999999</v>
      </c>
      <c r="D53" s="85"/>
      <c r="E53" s="85">
        <v>43.061999999999998</v>
      </c>
      <c r="F53" s="87">
        <f>SUM(A53:E53)</f>
        <v>79.209999999999994</v>
      </c>
      <c r="G53" s="72" t="s">
        <v>89</v>
      </c>
      <c r="H53" s="99"/>
    </row>
    <row r="54" spans="1:8" s="70" customFormat="1" ht="11.25" hidden="1" x14ac:dyDescent="0.2">
      <c r="A54" s="94">
        <f t="shared" ref="A54:F54" si="11">SUM(A51:A53)</f>
        <v>0.90399999999999991</v>
      </c>
      <c r="B54" s="85"/>
      <c r="C54" s="85">
        <f t="shared" si="11"/>
        <v>112.49600000000001</v>
      </c>
      <c r="D54" s="85"/>
      <c r="E54" s="85">
        <f t="shared" si="11"/>
        <v>139.541</v>
      </c>
      <c r="F54" s="87">
        <f t="shared" si="11"/>
        <v>252.94099999999997</v>
      </c>
      <c r="G54" s="72" t="s">
        <v>51</v>
      </c>
      <c r="H54" s="99"/>
    </row>
    <row r="55" spans="1:8" s="70" customFormat="1" ht="6.75" hidden="1" customHeight="1" x14ac:dyDescent="0.2">
      <c r="A55" s="94"/>
      <c r="B55" s="85"/>
      <c r="C55" s="85"/>
      <c r="D55" s="85"/>
      <c r="E55" s="85"/>
      <c r="F55" s="87"/>
      <c r="G55" s="72"/>
      <c r="H55" s="99"/>
    </row>
    <row r="56" spans="1:8" s="70" customFormat="1" ht="11.25" hidden="1" x14ac:dyDescent="0.2">
      <c r="A56" s="94">
        <v>0.77</v>
      </c>
      <c r="B56" s="85"/>
      <c r="C56" s="85">
        <v>31.963000000000001</v>
      </c>
      <c r="D56" s="85"/>
      <c r="E56" s="85">
        <v>46.125999999999998</v>
      </c>
      <c r="F56" s="87">
        <f>SUM(A56:E56)</f>
        <v>78.859000000000009</v>
      </c>
      <c r="G56" s="72" t="s">
        <v>75</v>
      </c>
      <c r="H56" s="99">
        <v>2009</v>
      </c>
    </row>
    <row r="57" spans="1:8" s="70" customFormat="1" ht="11.25" hidden="1" x14ac:dyDescent="0.2">
      <c r="A57" s="94">
        <v>0.48099999999999998</v>
      </c>
      <c r="B57" s="85"/>
      <c r="C57" s="85">
        <v>30.847999999999999</v>
      </c>
      <c r="D57" s="85"/>
      <c r="E57" s="85">
        <v>43.767000000000003</v>
      </c>
      <c r="F57" s="87">
        <f>SUM(A57:E57)</f>
        <v>75.096000000000004</v>
      </c>
      <c r="G57" s="72" t="s">
        <v>76</v>
      </c>
      <c r="H57" s="99"/>
    </row>
    <row r="58" spans="1:8" s="70" customFormat="1" ht="11.25" hidden="1" x14ac:dyDescent="0.2">
      <c r="A58" s="94">
        <v>0.60299999999999998</v>
      </c>
      <c r="B58" s="85"/>
      <c r="C58" s="85">
        <v>38.911999999999999</v>
      </c>
      <c r="D58" s="85"/>
      <c r="E58" s="85">
        <v>46.832999999999998</v>
      </c>
      <c r="F58" s="87">
        <f>SUM(A58:E58)</f>
        <v>86.347999999999999</v>
      </c>
      <c r="G58" s="72" t="s">
        <v>77</v>
      </c>
      <c r="H58" s="99"/>
    </row>
    <row r="59" spans="1:8" s="70" customFormat="1" ht="11.25" hidden="1" x14ac:dyDescent="0.2">
      <c r="A59" s="94">
        <f t="shared" ref="A59:F59" si="12">SUM(A56:A58)</f>
        <v>1.8539999999999999</v>
      </c>
      <c r="B59" s="85"/>
      <c r="C59" s="85">
        <f t="shared" si="12"/>
        <v>101.723</v>
      </c>
      <c r="D59" s="85"/>
      <c r="E59" s="85">
        <f t="shared" si="12"/>
        <v>136.726</v>
      </c>
      <c r="F59" s="87">
        <f t="shared" si="12"/>
        <v>240.303</v>
      </c>
      <c r="G59" s="72" t="s">
        <v>48</v>
      </c>
      <c r="H59" s="99">
        <v>2009</v>
      </c>
    </row>
    <row r="60" spans="1:8" s="70" customFormat="1" ht="11.25" hidden="1" x14ac:dyDescent="0.2">
      <c r="A60" s="94">
        <v>0.40500000000000003</v>
      </c>
      <c r="B60" s="85"/>
      <c r="C60" s="85">
        <v>33.872999999999998</v>
      </c>
      <c r="D60" s="85"/>
      <c r="E60" s="85">
        <v>50.49</v>
      </c>
      <c r="F60" s="87">
        <f>SUM(A60:E60)</f>
        <v>84.768000000000001</v>
      </c>
      <c r="G60" s="72" t="s">
        <v>79</v>
      </c>
      <c r="H60" s="99"/>
    </row>
    <row r="61" spans="1:8" s="70" customFormat="1" ht="11.25" hidden="1" x14ac:dyDescent="0.2">
      <c r="A61" s="94">
        <v>0</v>
      </c>
      <c r="B61" s="85"/>
      <c r="C61" s="85">
        <v>34.036999999999999</v>
      </c>
      <c r="D61" s="85"/>
      <c r="E61" s="85">
        <v>54.222000000000001</v>
      </c>
      <c r="F61" s="87">
        <f>SUM(A61:E61)</f>
        <v>88.259</v>
      </c>
      <c r="G61" s="72" t="s">
        <v>80</v>
      </c>
      <c r="H61" s="99"/>
    </row>
    <row r="62" spans="1:8" s="70" customFormat="1" ht="11.25" hidden="1" x14ac:dyDescent="0.2">
      <c r="A62" s="94">
        <v>5.0000000000000001E-3</v>
      </c>
      <c r="B62" s="85"/>
      <c r="C62" s="85">
        <v>35.764000000000003</v>
      </c>
      <c r="D62" s="85"/>
      <c r="E62" s="85">
        <v>50.627000000000002</v>
      </c>
      <c r="F62" s="87">
        <f>SUM(A62:E62)</f>
        <v>86.396000000000015</v>
      </c>
      <c r="G62" s="72" t="s">
        <v>81</v>
      </c>
      <c r="H62" s="99"/>
    </row>
    <row r="63" spans="1:8" s="70" customFormat="1" ht="11.25" hidden="1" x14ac:dyDescent="0.2">
      <c r="A63" s="94">
        <f>SUM(A60:A62)</f>
        <v>0.41000000000000003</v>
      </c>
      <c r="B63" s="85"/>
      <c r="C63" s="85">
        <f t="shared" ref="C63:F63" si="13">SUM(C60:C62)</f>
        <v>103.67400000000001</v>
      </c>
      <c r="D63" s="85"/>
      <c r="E63" s="85">
        <f t="shared" si="13"/>
        <v>155.339</v>
      </c>
      <c r="F63" s="87">
        <f t="shared" si="13"/>
        <v>259.423</v>
      </c>
      <c r="G63" s="72" t="s">
        <v>49</v>
      </c>
      <c r="H63" s="99"/>
    </row>
    <row r="64" spans="1:8" s="70" customFormat="1" ht="11.25" hidden="1" x14ac:dyDescent="0.2">
      <c r="A64" s="94">
        <v>8.9999999999999993E-3</v>
      </c>
      <c r="B64" s="85"/>
      <c r="C64" s="85">
        <v>31.667999999999999</v>
      </c>
      <c r="D64" s="85"/>
      <c r="E64" s="85">
        <v>56.305</v>
      </c>
      <c r="F64" s="87">
        <f>SUM(A64:E64)</f>
        <v>87.981999999999999</v>
      </c>
      <c r="G64" s="72" t="s">
        <v>83</v>
      </c>
      <c r="H64" s="99"/>
    </row>
    <row r="65" spans="1:8" s="70" customFormat="1" ht="11.25" hidden="1" x14ac:dyDescent="0.2">
      <c r="A65" s="94">
        <v>4.4999999999999998E-2</v>
      </c>
      <c r="B65" s="85"/>
      <c r="C65" s="85">
        <v>39.369999999999997</v>
      </c>
      <c r="D65" s="85"/>
      <c r="E65" s="85">
        <v>47.56</v>
      </c>
      <c r="F65" s="87">
        <f>SUM(A65:E65)</f>
        <v>86.974999999999994</v>
      </c>
      <c r="G65" s="72" t="s">
        <v>84</v>
      </c>
      <c r="H65" s="99"/>
    </row>
    <row r="66" spans="1:8" s="70" customFormat="1" ht="11.25" hidden="1" x14ac:dyDescent="0.2">
      <c r="A66" s="94">
        <v>1E-3</v>
      </c>
      <c r="B66" s="85"/>
      <c r="C66" s="85">
        <v>36.231000000000002</v>
      </c>
      <c r="D66" s="85"/>
      <c r="E66" s="85">
        <v>44.658000000000001</v>
      </c>
      <c r="F66" s="87">
        <f>SUM(A66:E66)</f>
        <v>80.89</v>
      </c>
      <c r="G66" s="72" t="s">
        <v>85</v>
      </c>
      <c r="H66" s="99"/>
    </row>
    <row r="67" spans="1:8" s="70" customFormat="1" ht="11.25" hidden="1" x14ac:dyDescent="0.2">
      <c r="A67" s="94">
        <f t="shared" ref="A67:F67" si="14">SUM(A64:A66)</f>
        <v>5.5E-2</v>
      </c>
      <c r="B67" s="85"/>
      <c r="C67" s="85">
        <f t="shared" si="14"/>
        <v>107.26900000000001</v>
      </c>
      <c r="D67" s="85"/>
      <c r="E67" s="85">
        <f t="shared" si="14"/>
        <v>148.52300000000002</v>
      </c>
      <c r="F67" s="87">
        <f t="shared" si="14"/>
        <v>255.84699999999998</v>
      </c>
      <c r="G67" s="72" t="s">
        <v>50</v>
      </c>
      <c r="H67" s="99"/>
    </row>
    <row r="68" spans="1:8" s="70" customFormat="1" ht="11.25" hidden="1" x14ac:dyDescent="0.2">
      <c r="A68" s="94">
        <v>2.7E-2</v>
      </c>
      <c r="B68" s="85"/>
      <c r="C68" s="85">
        <v>37.058999999999997</v>
      </c>
      <c r="D68" s="85"/>
      <c r="E68" s="85">
        <v>47.473999999999997</v>
      </c>
      <c r="F68" s="87">
        <f>SUM(A68:E68)</f>
        <v>84.56</v>
      </c>
      <c r="G68" s="72" t="s">
        <v>87</v>
      </c>
      <c r="H68" s="99"/>
    </row>
    <row r="69" spans="1:8" s="70" customFormat="1" ht="11.25" hidden="1" x14ac:dyDescent="0.2">
      <c r="A69" s="94">
        <v>0</v>
      </c>
      <c r="B69" s="85"/>
      <c r="C69" s="85">
        <v>39.646999999999998</v>
      </c>
      <c r="D69" s="85"/>
      <c r="E69" s="85">
        <v>48.822000000000003</v>
      </c>
      <c r="F69" s="87">
        <f>SUM(A69:E69)</f>
        <v>88.468999999999994</v>
      </c>
      <c r="G69" s="72" t="s">
        <v>88</v>
      </c>
      <c r="H69" s="99"/>
    </row>
    <row r="70" spans="1:8" s="70" customFormat="1" ht="11.25" hidden="1" x14ac:dyDescent="0.2">
      <c r="A70" s="94">
        <v>0</v>
      </c>
      <c r="B70" s="85"/>
      <c r="C70" s="85">
        <v>41.588000000000001</v>
      </c>
      <c r="D70" s="85"/>
      <c r="E70" s="85">
        <v>54.673999999999999</v>
      </c>
      <c r="F70" s="87">
        <f>SUM(A70:E70)</f>
        <v>96.262</v>
      </c>
      <c r="G70" s="72" t="s">
        <v>89</v>
      </c>
      <c r="H70" s="99"/>
    </row>
    <row r="71" spans="1:8" s="70" customFormat="1" ht="11.25" hidden="1" x14ac:dyDescent="0.2">
      <c r="A71" s="94">
        <f t="shared" ref="A71:F71" si="15">SUM(A68:A70)</f>
        <v>2.7E-2</v>
      </c>
      <c r="B71" s="85"/>
      <c r="C71" s="85">
        <f t="shared" si="15"/>
        <v>118.29399999999998</v>
      </c>
      <c r="D71" s="85"/>
      <c r="E71" s="85">
        <f t="shared" si="15"/>
        <v>150.97</v>
      </c>
      <c r="F71" s="87">
        <f t="shared" si="15"/>
        <v>269.291</v>
      </c>
      <c r="G71" s="72" t="s">
        <v>51</v>
      </c>
      <c r="H71" s="99"/>
    </row>
    <row r="72" spans="1:8" s="70" customFormat="1" ht="5.25" hidden="1" customHeight="1" x14ac:dyDescent="0.2">
      <c r="A72" s="94"/>
      <c r="B72" s="85"/>
      <c r="C72" s="85"/>
      <c r="D72" s="85"/>
      <c r="E72" s="85"/>
      <c r="F72" s="87"/>
      <c r="G72" s="72"/>
      <c r="H72" s="99"/>
    </row>
    <row r="73" spans="1:8" s="70" customFormat="1" ht="11.25" hidden="1" x14ac:dyDescent="0.2">
      <c r="A73" s="94">
        <v>0</v>
      </c>
      <c r="B73" s="85"/>
      <c r="C73" s="85">
        <v>39.067</v>
      </c>
      <c r="D73" s="85"/>
      <c r="E73" s="85">
        <v>46.143999999999998</v>
      </c>
      <c r="F73" s="87">
        <f>SUM(A73:E73)</f>
        <v>85.210999999999999</v>
      </c>
      <c r="G73" s="72" t="s">
        <v>75</v>
      </c>
      <c r="H73" s="99">
        <v>2010</v>
      </c>
    </row>
    <row r="74" spans="1:8" s="70" customFormat="1" ht="11.25" hidden="1" x14ac:dyDescent="0.2">
      <c r="A74" s="94">
        <v>0</v>
      </c>
      <c r="B74" s="85"/>
      <c r="C74" s="85">
        <v>39.351999999999997</v>
      </c>
      <c r="D74" s="85"/>
      <c r="E74" s="85">
        <v>46.284999999999997</v>
      </c>
      <c r="F74" s="87">
        <f>SUM(A74:E74)</f>
        <v>85.637</v>
      </c>
      <c r="G74" s="72" t="s">
        <v>76</v>
      </c>
      <c r="H74" s="99"/>
    </row>
    <row r="75" spans="1:8" s="70" customFormat="1" ht="11.25" hidden="1" x14ac:dyDescent="0.2">
      <c r="A75" s="94">
        <v>0</v>
      </c>
      <c r="B75" s="85"/>
      <c r="C75" s="85">
        <v>43.939</v>
      </c>
      <c r="D75" s="85"/>
      <c r="E75" s="85">
        <v>56.588999999999999</v>
      </c>
      <c r="F75" s="87">
        <f>SUM(A75:E75)</f>
        <v>100.52799999999999</v>
      </c>
      <c r="G75" s="72" t="s">
        <v>77</v>
      </c>
      <c r="H75" s="99"/>
    </row>
    <row r="76" spans="1:8" s="70" customFormat="1" ht="11.25" x14ac:dyDescent="0.2">
      <c r="A76" s="129">
        <f t="shared" ref="A76:F76" si="16">A153+A157+A161+A165</f>
        <v>0.125</v>
      </c>
      <c r="B76" s="130"/>
      <c r="C76" s="130">
        <f t="shared" si="16"/>
        <v>617.76</v>
      </c>
      <c r="D76" s="130"/>
      <c r="E76" s="130">
        <f t="shared" si="16"/>
        <v>607.101</v>
      </c>
      <c r="F76" s="131">
        <f t="shared" si="16"/>
        <v>1224.9859999999999</v>
      </c>
      <c r="G76" s="133"/>
      <c r="H76" s="136">
        <v>2014</v>
      </c>
    </row>
    <row r="77" spans="1:8" s="70" customFormat="1" ht="11.25" x14ac:dyDescent="0.2">
      <c r="A77" s="129">
        <f t="shared" ref="A77:F77" si="17">A170+A174+A178+A182</f>
        <v>0.21500000000000002</v>
      </c>
      <c r="B77" s="130"/>
      <c r="C77" s="130">
        <f t="shared" si="17"/>
        <v>637.65100000000007</v>
      </c>
      <c r="D77" s="130"/>
      <c r="E77" s="130">
        <f t="shared" si="17"/>
        <v>610.82799999999997</v>
      </c>
      <c r="F77" s="131">
        <f t="shared" si="17"/>
        <v>1248.694</v>
      </c>
      <c r="G77" s="133"/>
      <c r="H77" s="136">
        <v>2015</v>
      </c>
    </row>
    <row r="78" spans="1:8" s="70" customFormat="1" ht="11.25" x14ac:dyDescent="0.2">
      <c r="A78" s="118">
        <f t="shared" ref="A78:F78" si="18">A187+A191+A195+A199</f>
        <v>0.24299999999999999</v>
      </c>
      <c r="B78" s="119"/>
      <c r="C78" s="130">
        <f t="shared" si="18"/>
        <v>715.44499999999994</v>
      </c>
      <c r="D78" s="130"/>
      <c r="E78" s="130">
        <f t="shared" si="18"/>
        <v>634.50399999999991</v>
      </c>
      <c r="F78" s="131">
        <f t="shared" si="18"/>
        <v>1350.192</v>
      </c>
      <c r="G78" s="133"/>
      <c r="H78" s="136">
        <v>2016</v>
      </c>
    </row>
    <row r="79" spans="1:8" s="70" customFormat="1" ht="11.25" x14ac:dyDescent="0.2">
      <c r="A79" s="129">
        <f t="shared" ref="A79:F79" si="19">A204+A208+A212+A216</f>
        <v>0.16099999999999998</v>
      </c>
      <c r="B79" s="130"/>
      <c r="C79" s="130">
        <f t="shared" si="19"/>
        <v>739.29200000000003</v>
      </c>
      <c r="D79" s="130"/>
      <c r="E79" s="130">
        <f t="shared" si="19"/>
        <v>696.57400000000007</v>
      </c>
      <c r="F79" s="131">
        <f t="shared" si="19"/>
        <v>1436.027</v>
      </c>
      <c r="G79" s="133"/>
      <c r="H79" s="136">
        <v>2017</v>
      </c>
    </row>
    <row r="80" spans="1:8" s="70" customFormat="1" ht="11.25" x14ac:dyDescent="0.2">
      <c r="A80" s="129">
        <f t="shared" ref="A80:F80" si="20">A221+A225+A229+A233</f>
        <v>0.21500000000000002</v>
      </c>
      <c r="B80" s="130"/>
      <c r="C80" s="130">
        <f t="shared" si="20"/>
        <v>709.45200000000011</v>
      </c>
      <c r="D80" s="130"/>
      <c r="E80" s="130">
        <f t="shared" si="20"/>
        <v>760.65099999999995</v>
      </c>
      <c r="F80" s="131">
        <f t="shared" si="20"/>
        <v>1470.3180000000002</v>
      </c>
      <c r="G80" s="133"/>
      <c r="H80" s="136">
        <v>2018</v>
      </c>
    </row>
    <row r="81" spans="1:8" s="70" customFormat="1" ht="11.25" x14ac:dyDescent="0.2">
      <c r="A81" s="129">
        <f t="shared" ref="A81:F81" si="21">A238+A242+A246+A250</f>
        <v>0.11699999999999999</v>
      </c>
      <c r="B81" s="130"/>
      <c r="C81" s="130">
        <f t="shared" si="21"/>
        <v>731.93899999999996</v>
      </c>
      <c r="D81" s="130"/>
      <c r="E81" s="162">
        <f t="shared" si="21"/>
        <v>718.34900000000005</v>
      </c>
      <c r="F81" s="131">
        <f t="shared" si="21"/>
        <v>1450.4050000000002</v>
      </c>
      <c r="G81" s="133"/>
      <c r="H81" s="136">
        <v>2019</v>
      </c>
    </row>
    <row r="82" spans="1:8" s="70" customFormat="1" ht="11.25" x14ac:dyDescent="0.2">
      <c r="A82" s="129">
        <f t="shared" ref="A82:F82" si="22">A255+A259+A263+A267</f>
        <v>0.35699999999999998</v>
      </c>
      <c r="B82" s="130"/>
      <c r="C82" s="130">
        <f t="shared" si="22"/>
        <v>767.154</v>
      </c>
      <c r="D82" s="130"/>
      <c r="E82" s="162">
        <f t="shared" si="22"/>
        <v>754.125</v>
      </c>
      <c r="F82" s="131">
        <f t="shared" si="22"/>
        <v>1521.6359999999997</v>
      </c>
      <c r="G82" s="133"/>
      <c r="H82" s="136">
        <v>2020</v>
      </c>
    </row>
    <row r="83" spans="1:8" s="70" customFormat="1" ht="11.25" x14ac:dyDescent="0.2">
      <c r="A83" s="195">
        <f t="shared" ref="A83:D83" si="23">A272+A276+A280+A284</f>
        <v>0.314</v>
      </c>
      <c r="B83" s="161">
        <f t="shared" si="23"/>
        <v>24.324999999999999</v>
      </c>
      <c r="C83" s="161">
        <f>C272+C276+C280+C284</f>
        <v>751.28100000000006</v>
      </c>
      <c r="D83" s="161">
        <f t="shared" si="23"/>
        <v>32.584000000000003</v>
      </c>
      <c r="E83" s="161">
        <f>E272+E276+E280+E284</f>
        <v>736.63599999999997</v>
      </c>
      <c r="F83" s="190">
        <f>F272+F276+F280+F284</f>
        <v>1545.14</v>
      </c>
      <c r="G83" s="122"/>
      <c r="H83" s="123">
        <v>2021</v>
      </c>
    </row>
    <row r="84" spans="1:8" s="70" customFormat="1" ht="8.25" customHeight="1" x14ac:dyDescent="0.2">
      <c r="A84" s="94"/>
      <c r="B84" s="85"/>
      <c r="C84" s="85"/>
      <c r="D84" s="85"/>
      <c r="E84" s="85"/>
      <c r="F84" s="87"/>
      <c r="G84" s="72"/>
      <c r="H84" s="99"/>
    </row>
    <row r="85" spans="1:8" s="70" customFormat="1" ht="11.25" hidden="1" x14ac:dyDescent="0.2">
      <c r="A85" s="94">
        <f t="shared" ref="A85:F85" si="24">SUM(A73:A75)</f>
        <v>0</v>
      </c>
      <c r="B85" s="85"/>
      <c r="C85" s="85">
        <f>SUM(C73:C75)</f>
        <v>122.358</v>
      </c>
      <c r="D85" s="85"/>
      <c r="E85" s="85">
        <f t="shared" si="24"/>
        <v>149.018</v>
      </c>
      <c r="F85" s="87">
        <f t="shared" si="24"/>
        <v>271.37599999999998</v>
      </c>
      <c r="G85" s="72" t="s">
        <v>48</v>
      </c>
      <c r="H85" s="99">
        <v>2010</v>
      </c>
    </row>
    <row r="86" spans="1:8" s="70" customFormat="1" ht="11.25" hidden="1" x14ac:dyDescent="0.2">
      <c r="A86" s="94">
        <v>0</v>
      </c>
      <c r="B86" s="85"/>
      <c r="C86" s="85">
        <v>45.249000000000002</v>
      </c>
      <c r="D86" s="85"/>
      <c r="E86" s="85">
        <v>54.338999999999999</v>
      </c>
      <c r="F86" s="87">
        <f>SUM(A86:E86)</f>
        <v>99.587999999999994</v>
      </c>
      <c r="G86" s="72" t="s">
        <v>79</v>
      </c>
      <c r="H86" s="99"/>
    </row>
    <row r="87" spans="1:8" s="70" customFormat="1" ht="11.25" hidden="1" x14ac:dyDescent="0.2">
      <c r="A87" s="94">
        <v>0</v>
      </c>
      <c r="B87" s="85"/>
      <c r="C87" s="85">
        <v>47.098999999999997</v>
      </c>
      <c r="D87" s="85"/>
      <c r="E87" s="85">
        <v>58.496000000000002</v>
      </c>
      <c r="F87" s="87">
        <f>SUM(A87:E87)</f>
        <v>105.595</v>
      </c>
      <c r="G87" s="72" t="s">
        <v>80</v>
      </c>
      <c r="H87" s="99"/>
    </row>
    <row r="88" spans="1:8" s="70" customFormat="1" ht="11.25" hidden="1" x14ac:dyDescent="0.2">
      <c r="A88" s="94">
        <v>0</v>
      </c>
      <c r="B88" s="85"/>
      <c r="C88" s="85">
        <v>42.515000000000001</v>
      </c>
      <c r="D88" s="85"/>
      <c r="E88" s="85">
        <v>61.603000000000002</v>
      </c>
      <c r="F88" s="87">
        <f>SUM(A88:E88)</f>
        <v>104.11799999999999</v>
      </c>
      <c r="G88" s="72" t="s">
        <v>81</v>
      </c>
      <c r="H88" s="99"/>
    </row>
    <row r="89" spans="1:8" s="70" customFormat="1" ht="11.25" hidden="1" x14ac:dyDescent="0.2">
      <c r="A89" s="94">
        <f t="shared" ref="A89:F89" si="25">SUM(A86:A88)</f>
        <v>0</v>
      </c>
      <c r="B89" s="85"/>
      <c r="C89" s="85">
        <f t="shared" si="25"/>
        <v>134.863</v>
      </c>
      <c r="D89" s="85"/>
      <c r="E89" s="85">
        <f t="shared" si="25"/>
        <v>174.43800000000002</v>
      </c>
      <c r="F89" s="87">
        <f t="shared" si="25"/>
        <v>309.30099999999999</v>
      </c>
      <c r="G89" s="72" t="s">
        <v>49</v>
      </c>
      <c r="H89" s="99"/>
    </row>
    <row r="90" spans="1:8" s="70" customFormat="1" ht="11.25" hidden="1" x14ac:dyDescent="0.2">
      <c r="A90" s="94">
        <v>0</v>
      </c>
      <c r="B90" s="85"/>
      <c r="C90" s="85">
        <v>39.49</v>
      </c>
      <c r="D90" s="85"/>
      <c r="E90" s="85">
        <v>56.021999999999998</v>
      </c>
      <c r="F90" s="87">
        <f>SUM(A90:E90)</f>
        <v>95.512</v>
      </c>
      <c r="G90" s="72" t="s">
        <v>83</v>
      </c>
      <c r="H90" s="99"/>
    </row>
    <row r="91" spans="1:8" s="70" customFormat="1" ht="11.25" hidden="1" x14ac:dyDescent="0.2">
      <c r="A91" s="94">
        <v>0</v>
      </c>
      <c r="B91" s="85"/>
      <c r="C91" s="85">
        <v>36.037999999999997</v>
      </c>
      <c r="D91" s="85"/>
      <c r="E91" s="85">
        <v>58.515999999999998</v>
      </c>
      <c r="F91" s="87">
        <f>SUM(A91:E91)</f>
        <v>94.554000000000002</v>
      </c>
      <c r="G91" s="72" t="s">
        <v>84</v>
      </c>
      <c r="H91" s="99"/>
    </row>
    <row r="92" spans="1:8" s="70" customFormat="1" ht="11.25" hidden="1" x14ac:dyDescent="0.2">
      <c r="A92" s="94">
        <v>0</v>
      </c>
      <c r="B92" s="85"/>
      <c r="C92" s="85">
        <v>36.124000000000002</v>
      </c>
      <c r="D92" s="85"/>
      <c r="E92" s="85">
        <v>51.470999999999997</v>
      </c>
      <c r="F92" s="87">
        <f>SUM(A92:E92)</f>
        <v>87.594999999999999</v>
      </c>
      <c r="G92" s="72" t="s">
        <v>85</v>
      </c>
      <c r="H92" s="99"/>
    </row>
    <row r="93" spans="1:8" s="70" customFormat="1" ht="11.25" hidden="1" x14ac:dyDescent="0.2">
      <c r="A93" s="94">
        <f t="shared" ref="A93:F93" si="26">SUM(A90:A92)</f>
        <v>0</v>
      </c>
      <c r="B93" s="85"/>
      <c r="C93" s="85">
        <f t="shared" si="26"/>
        <v>111.65199999999999</v>
      </c>
      <c r="D93" s="85"/>
      <c r="E93" s="85">
        <f t="shared" si="26"/>
        <v>166.00899999999999</v>
      </c>
      <c r="F93" s="87">
        <f t="shared" si="26"/>
        <v>277.661</v>
      </c>
      <c r="G93" s="72" t="s">
        <v>50</v>
      </c>
      <c r="H93" s="99"/>
    </row>
    <row r="94" spans="1:8" s="70" customFormat="1" ht="11.25" hidden="1" x14ac:dyDescent="0.2">
      <c r="A94" s="94">
        <v>0</v>
      </c>
      <c r="B94" s="85"/>
      <c r="C94" s="85">
        <v>42.628999999999998</v>
      </c>
      <c r="D94" s="85"/>
      <c r="E94" s="85">
        <v>51.042999999999999</v>
      </c>
      <c r="F94" s="87">
        <f>SUM(A94:E94)</f>
        <v>93.671999999999997</v>
      </c>
      <c r="G94" s="72" t="s">
        <v>87</v>
      </c>
      <c r="H94" s="99"/>
    </row>
    <row r="95" spans="1:8" s="70" customFormat="1" ht="11.25" hidden="1" x14ac:dyDescent="0.2">
      <c r="A95" s="94">
        <v>0</v>
      </c>
      <c r="B95" s="85"/>
      <c r="C95" s="85">
        <v>44.356999999999999</v>
      </c>
      <c r="D95" s="85"/>
      <c r="E95" s="85">
        <v>51.28</v>
      </c>
      <c r="F95" s="87">
        <f>SUM(A95:E95)</f>
        <v>95.637</v>
      </c>
      <c r="G95" s="72" t="s">
        <v>88</v>
      </c>
      <c r="H95" s="99"/>
    </row>
    <row r="96" spans="1:8" s="70" customFormat="1" ht="11.25" hidden="1" x14ac:dyDescent="0.2">
      <c r="A96" s="94">
        <v>0</v>
      </c>
      <c r="B96" s="85"/>
      <c r="C96" s="85">
        <v>42.058</v>
      </c>
      <c r="D96" s="85"/>
      <c r="E96" s="85">
        <v>47.904000000000003</v>
      </c>
      <c r="F96" s="87">
        <f>SUM(A96:E96)</f>
        <v>89.962000000000003</v>
      </c>
      <c r="G96" s="72" t="s">
        <v>89</v>
      </c>
      <c r="H96" s="99"/>
    </row>
    <row r="97" spans="1:8" s="70" customFormat="1" ht="11.25" hidden="1" x14ac:dyDescent="0.2">
      <c r="A97" s="94">
        <f t="shared" ref="A97:F97" si="27">SUM(A94:A96)</f>
        <v>0</v>
      </c>
      <c r="B97" s="85"/>
      <c r="C97" s="85">
        <f t="shared" si="27"/>
        <v>129.04399999999998</v>
      </c>
      <c r="D97" s="85"/>
      <c r="E97" s="85">
        <f>SUM(E94:E96)</f>
        <v>150.227</v>
      </c>
      <c r="F97" s="87">
        <f t="shared" si="27"/>
        <v>279.27100000000002</v>
      </c>
      <c r="G97" s="72" t="s">
        <v>51</v>
      </c>
      <c r="H97" s="99"/>
    </row>
    <row r="98" spans="1:8" s="70" customFormat="1" ht="8.25" hidden="1" customHeight="1" x14ac:dyDescent="0.2">
      <c r="A98" s="94"/>
      <c r="B98" s="85"/>
      <c r="C98" s="85"/>
      <c r="D98" s="85"/>
      <c r="E98" s="85"/>
      <c r="F98" s="87"/>
      <c r="G98" s="72"/>
      <c r="H98" s="99"/>
    </row>
    <row r="99" spans="1:8" s="70" customFormat="1" ht="12.75" hidden="1" customHeight="1" x14ac:dyDescent="0.2">
      <c r="A99" s="94">
        <v>0</v>
      </c>
      <c r="B99" s="85"/>
      <c r="C99" s="85">
        <v>41.658000000000001</v>
      </c>
      <c r="D99" s="85"/>
      <c r="E99" s="85">
        <v>42.923000000000002</v>
      </c>
      <c r="F99" s="87">
        <f>SUM(A99:E99)</f>
        <v>84.581000000000003</v>
      </c>
      <c r="G99" s="72" t="s">
        <v>75</v>
      </c>
      <c r="H99" s="99">
        <v>2011</v>
      </c>
    </row>
    <row r="100" spans="1:8" s="70" customFormat="1" ht="11.25" hidden="1" x14ac:dyDescent="0.2">
      <c r="A100" s="94">
        <v>0</v>
      </c>
      <c r="B100" s="85"/>
      <c r="C100" s="85">
        <v>44.848999999999997</v>
      </c>
      <c r="D100" s="85"/>
      <c r="E100" s="85">
        <v>50.292999999999999</v>
      </c>
      <c r="F100" s="87">
        <f>SUM(A100:E100)</f>
        <v>95.141999999999996</v>
      </c>
      <c r="G100" s="72" t="s">
        <v>76</v>
      </c>
      <c r="H100" s="99"/>
    </row>
    <row r="101" spans="1:8" s="70" customFormat="1" ht="11.25" hidden="1" x14ac:dyDescent="0.2">
      <c r="A101" s="94">
        <v>0</v>
      </c>
      <c r="B101" s="85"/>
      <c r="C101" s="85">
        <v>56.095999999999997</v>
      </c>
      <c r="D101" s="85"/>
      <c r="E101" s="85">
        <v>58.274000000000001</v>
      </c>
      <c r="F101" s="87">
        <f>SUM(A101:E101)</f>
        <v>114.37</v>
      </c>
      <c r="G101" s="72" t="s">
        <v>77</v>
      </c>
      <c r="H101" s="99"/>
    </row>
    <row r="102" spans="1:8" s="70" customFormat="1" ht="11.25" hidden="1" x14ac:dyDescent="0.2">
      <c r="A102" s="94">
        <f t="shared" ref="A102:F102" si="28">SUM(A99:A101)</f>
        <v>0</v>
      </c>
      <c r="B102" s="85"/>
      <c r="C102" s="85">
        <f t="shared" si="28"/>
        <v>142.60300000000001</v>
      </c>
      <c r="D102" s="85"/>
      <c r="E102" s="85">
        <f t="shared" si="28"/>
        <v>151.49</v>
      </c>
      <c r="F102" s="87">
        <f t="shared" si="28"/>
        <v>294.09300000000002</v>
      </c>
      <c r="G102" s="72" t="s">
        <v>48</v>
      </c>
      <c r="H102" s="99">
        <v>2011</v>
      </c>
    </row>
    <row r="103" spans="1:8" s="70" customFormat="1" ht="11.25" hidden="1" x14ac:dyDescent="0.2">
      <c r="A103" s="94">
        <v>0</v>
      </c>
      <c r="B103" s="85"/>
      <c r="C103" s="85">
        <v>52.100999999999999</v>
      </c>
      <c r="D103" s="85"/>
      <c r="E103" s="85">
        <v>49.462000000000003</v>
      </c>
      <c r="F103" s="87">
        <f>SUM(A103:E103)</f>
        <v>101.563</v>
      </c>
      <c r="G103" s="72" t="s">
        <v>79</v>
      </c>
      <c r="H103" s="99"/>
    </row>
    <row r="104" spans="1:8" s="70" customFormat="1" ht="11.25" hidden="1" x14ac:dyDescent="0.2">
      <c r="A104" s="94">
        <v>0</v>
      </c>
      <c r="B104" s="85"/>
      <c r="C104" s="85">
        <v>44.328000000000003</v>
      </c>
      <c r="D104" s="85"/>
      <c r="E104" s="85">
        <v>54.168999999999997</v>
      </c>
      <c r="F104" s="87">
        <f>SUM(A104:E104)</f>
        <v>98.497</v>
      </c>
      <c r="G104" s="72" t="s">
        <v>80</v>
      </c>
      <c r="H104" s="99"/>
    </row>
    <row r="105" spans="1:8" s="70" customFormat="1" ht="11.25" hidden="1" x14ac:dyDescent="0.2">
      <c r="A105" s="94">
        <v>0</v>
      </c>
      <c r="B105" s="85"/>
      <c r="C105" s="85">
        <v>57.098999999999997</v>
      </c>
      <c r="D105" s="85"/>
      <c r="E105" s="85">
        <v>64.569000000000003</v>
      </c>
      <c r="F105" s="87">
        <f>SUM(A105:E105)</f>
        <v>121.66800000000001</v>
      </c>
      <c r="G105" s="72" t="s">
        <v>81</v>
      </c>
      <c r="H105" s="99"/>
    </row>
    <row r="106" spans="1:8" s="70" customFormat="1" ht="11.25" hidden="1" x14ac:dyDescent="0.2">
      <c r="A106" s="94">
        <f t="shared" ref="A106:F106" si="29">SUM(A103:A105)</f>
        <v>0</v>
      </c>
      <c r="B106" s="85"/>
      <c r="C106" s="85">
        <f>SUM(C103:C105)</f>
        <v>153.52799999999999</v>
      </c>
      <c r="D106" s="85"/>
      <c r="E106" s="85">
        <f t="shared" si="29"/>
        <v>168.2</v>
      </c>
      <c r="F106" s="87">
        <f t="shared" si="29"/>
        <v>321.72800000000001</v>
      </c>
      <c r="G106" s="72" t="s">
        <v>49</v>
      </c>
      <c r="H106" s="99"/>
    </row>
    <row r="107" spans="1:8" s="70" customFormat="1" ht="11.25" hidden="1" x14ac:dyDescent="0.2">
      <c r="A107" s="94">
        <v>0</v>
      </c>
      <c r="B107" s="85"/>
      <c r="C107" s="85">
        <v>47.563000000000002</v>
      </c>
      <c r="D107" s="85"/>
      <c r="E107" s="85">
        <v>55.548999999999999</v>
      </c>
      <c r="F107" s="87">
        <f>SUM(A107:E107)</f>
        <v>103.11199999999999</v>
      </c>
      <c r="G107" s="72" t="s">
        <v>83</v>
      </c>
      <c r="H107" s="99"/>
    </row>
    <row r="108" spans="1:8" s="70" customFormat="1" ht="11.25" hidden="1" x14ac:dyDescent="0.2">
      <c r="A108" s="94">
        <v>0</v>
      </c>
      <c r="B108" s="85"/>
      <c r="C108" s="85">
        <v>48.576000000000001</v>
      </c>
      <c r="D108" s="85"/>
      <c r="E108" s="85">
        <v>55.313000000000002</v>
      </c>
      <c r="F108" s="87">
        <f>SUM(A108:E108)</f>
        <v>103.88900000000001</v>
      </c>
      <c r="G108" s="72" t="s">
        <v>84</v>
      </c>
      <c r="H108" s="99"/>
    </row>
    <row r="109" spans="1:8" s="70" customFormat="1" ht="11.25" hidden="1" x14ac:dyDescent="0.2">
      <c r="A109" s="94">
        <v>0</v>
      </c>
      <c r="B109" s="85"/>
      <c r="C109" s="85">
        <v>46.942</v>
      </c>
      <c r="D109" s="85"/>
      <c r="E109" s="85">
        <v>47.393999999999998</v>
      </c>
      <c r="F109" s="87">
        <f>SUM(A109:E109)</f>
        <v>94.335999999999999</v>
      </c>
      <c r="G109" s="72" t="s">
        <v>85</v>
      </c>
      <c r="H109" s="99"/>
    </row>
    <row r="110" spans="1:8" s="70" customFormat="1" ht="11.25" hidden="1" x14ac:dyDescent="0.2">
      <c r="A110" s="94">
        <f t="shared" ref="A110:F110" si="30">SUM(A107:A109)</f>
        <v>0</v>
      </c>
      <c r="B110" s="85"/>
      <c r="C110" s="85">
        <f t="shared" si="30"/>
        <v>143.08100000000002</v>
      </c>
      <c r="D110" s="85"/>
      <c r="E110" s="85">
        <f>SUM(E107:E109)</f>
        <v>158.256</v>
      </c>
      <c r="F110" s="87">
        <f t="shared" si="30"/>
        <v>301.33699999999999</v>
      </c>
      <c r="G110" s="72" t="s">
        <v>50</v>
      </c>
      <c r="H110" s="99"/>
    </row>
    <row r="111" spans="1:8" s="70" customFormat="1" ht="11.25" hidden="1" x14ac:dyDescent="0.2">
      <c r="A111" s="94">
        <v>0</v>
      </c>
      <c r="B111" s="85"/>
      <c r="C111" s="85">
        <v>41.515999999999998</v>
      </c>
      <c r="D111" s="85"/>
      <c r="E111" s="85">
        <v>46.936</v>
      </c>
      <c r="F111" s="87">
        <f>SUM(A111:E111)</f>
        <v>88.451999999999998</v>
      </c>
      <c r="G111" s="72" t="s">
        <v>87</v>
      </c>
      <c r="H111" s="99"/>
    </row>
    <row r="112" spans="1:8" s="70" customFormat="1" ht="11.25" hidden="1" x14ac:dyDescent="0.2">
      <c r="A112" s="94">
        <v>0</v>
      </c>
      <c r="B112" s="85"/>
      <c r="C112" s="85">
        <v>45.037999999999997</v>
      </c>
      <c r="D112" s="85"/>
      <c r="E112" s="85">
        <v>50.081000000000003</v>
      </c>
      <c r="F112" s="87">
        <f>SUM(A112:E112)</f>
        <v>95.119</v>
      </c>
      <c r="G112" s="72" t="s">
        <v>88</v>
      </c>
      <c r="H112" s="99"/>
    </row>
    <row r="113" spans="1:8" s="70" customFormat="1" ht="11.25" hidden="1" x14ac:dyDescent="0.2">
      <c r="A113" s="94">
        <v>0</v>
      </c>
      <c r="B113" s="85"/>
      <c r="C113" s="85">
        <v>46.710999999999999</v>
      </c>
      <c r="D113" s="85"/>
      <c r="E113" s="85">
        <v>45.021000000000001</v>
      </c>
      <c r="F113" s="87">
        <f>SUM(A113:E113)</f>
        <v>91.731999999999999</v>
      </c>
      <c r="G113" s="72" t="s">
        <v>89</v>
      </c>
      <c r="H113" s="99"/>
    </row>
    <row r="114" spans="1:8" s="70" customFormat="1" ht="11.25" hidden="1" x14ac:dyDescent="0.2">
      <c r="A114" s="94">
        <f t="shared" ref="A114:F114" si="31">SUM(A111:A113)</f>
        <v>0</v>
      </c>
      <c r="B114" s="85"/>
      <c r="C114" s="85">
        <f t="shared" si="31"/>
        <v>133.26499999999999</v>
      </c>
      <c r="D114" s="85"/>
      <c r="E114" s="85">
        <f>SUM(E111:E113)</f>
        <v>142.03800000000001</v>
      </c>
      <c r="F114" s="87">
        <f t="shared" si="31"/>
        <v>275.303</v>
      </c>
      <c r="G114" s="72" t="s">
        <v>51</v>
      </c>
      <c r="H114" s="99"/>
    </row>
    <row r="115" spans="1:8" s="70" customFormat="1" ht="9" hidden="1" customHeight="1" x14ac:dyDescent="0.2">
      <c r="A115" s="94"/>
      <c r="B115" s="85"/>
      <c r="C115" s="85"/>
      <c r="D115" s="85"/>
      <c r="E115" s="85"/>
      <c r="F115" s="87"/>
      <c r="G115" s="72"/>
      <c r="H115" s="99"/>
    </row>
    <row r="116" spans="1:8" s="70" customFormat="1" ht="11.25" hidden="1" x14ac:dyDescent="0.2">
      <c r="A116" s="94">
        <v>0</v>
      </c>
      <c r="B116" s="85"/>
      <c r="C116" s="85">
        <v>46.247</v>
      </c>
      <c r="D116" s="85"/>
      <c r="E116" s="85">
        <v>59.088999999999999</v>
      </c>
      <c r="F116" s="87">
        <f>SUM(A116:E116)</f>
        <v>105.336</v>
      </c>
      <c r="G116" s="72" t="s">
        <v>75</v>
      </c>
      <c r="H116" s="99">
        <v>2012</v>
      </c>
    </row>
    <row r="117" spans="1:8" s="70" customFormat="1" ht="11.25" hidden="1" x14ac:dyDescent="0.2">
      <c r="A117" s="94">
        <v>0</v>
      </c>
      <c r="B117" s="85"/>
      <c r="C117" s="85">
        <v>42.640999999999998</v>
      </c>
      <c r="D117" s="85"/>
      <c r="E117" s="85">
        <v>50.912999999999997</v>
      </c>
      <c r="F117" s="87">
        <f>SUM(A117:E117)</f>
        <v>93.554000000000002</v>
      </c>
      <c r="G117" s="72" t="s">
        <v>76</v>
      </c>
      <c r="H117" s="99"/>
    </row>
    <row r="118" spans="1:8" s="70" customFormat="1" ht="11.25" hidden="1" x14ac:dyDescent="0.2">
      <c r="A118" s="94">
        <v>0</v>
      </c>
      <c r="B118" s="85"/>
      <c r="C118" s="85">
        <v>51.776000000000003</v>
      </c>
      <c r="D118" s="85"/>
      <c r="E118" s="85">
        <v>66.465000000000003</v>
      </c>
      <c r="F118" s="87">
        <f>SUM(A118:E118)</f>
        <v>118.24100000000001</v>
      </c>
      <c r="G118" s="72" t="s">
        <v>77</v>
      </c>
      <c r="H118" s="99"/>
    </row>
    <row r="119" spans="1:8" s="70" customFormat="1" ht="11.25" hidden="1" x14ac:dyDescent="0.2">
      <c r="A119" s="94">
        <f t="shared" ref="A119:F119" si="32">SUM(A116:A118)</f>
        <v>0</v>
      </c>
      <c r="B119" s="85"/>
      <c r="C119" s="85">
        <f t="shared" si="32"/>
        <v>140.66400000000002</v>
      </c>
      <c r="D119" s="85"/>
      <c r="E119" s="85">
        <f t="shared" si="32"/>
        <v>176.46699999999998</v>
      </c>
      <c r="F119" s="87">
        <f t="shared" si="32"/>
        <v>317.13099999999997</v>
      </c>
      <c r="G119" s="72" t="s">
        <v>48</v>
      </c>
      <c r="H119" s="99">
        <v>2012</v>
      </c>
    </row>
    <row r="120" spans="1:8" s="70" customFormat="1" ht="11.25" hidden="1" x14ac:dyDescent="0.2">
      <c r="A120" s="94">
        <v>0</v>
      </c>
      <c r="B120" s="85"/>
      <c r="C120" s="85">
        <v>54.996000000000002</v>
      </c>
      <c r="D120" s="85"/>
      <c r="E120" s="85">
        <v>62.41</v>
      </c>
      <c r="F120" s="87">
        <f>SUM(A120:E120)</f>
        <v>117.40600000000001</v>
      </c>
      <c r="G120" s="72" t="s">
        <v>79</v>
      </c>
      <c r="H120" s="99"/>
    </row>
    <row r="121" spans="1:8" s="70" customFormat="1" ht="11.25" hidden="1" x14ac:dyDescent="0.2">
      <c r="A121" s="94">
        <v>0</v>
      </c>
      <c r="B121" s="85"/>
      <c r="C121" s="85">
        <v>57.290999999999997</v>
      </c>
      <c r="D121" s="85"/>
      <c r="E121" s="85">
        <v>63.682000000000002</v>
      </c>
      <c r="F121" s="87">
        <f>SUM(A121:E121)</f>
        <v>120.973</v>
      </c>
      <c r="G121" s="72" t="s">
        <v>80</v>
      </c>
      <c r="H121" s="99"/>
    </row>
    <row r="122" spans="1:8" s="70" customFormat="1" ht="11.25" hidden="1" x14ac:dyDescent="0.2">
      <c r="A122" s="94">
        <v>0</v>
      </c>
      <c r="B122" s="85"/>
      <c r="C122" s="85">
        <v>50.841000000000001</v>
      </c>
      <c r="D122" s="85"/>
      <c r="E122" s="85">
        <v>59.984999999999999</v>
      </c>
      <c r="F122" s="87">
        <f>SUM(A122:E122)</f>
        <v>110.82599999999999</v>
      </c>
      <c r="G122" s="72" t="s">
        <v>81</v>
      </c>
      <c r="H122" s="99"/>
    </row>
    <row r="123" spans="1:8" s="70" customFormat="1" ht="11.25" hidden="1" x14ac:dyDescent="0.2">
      <c r="A123" s="94">
        <f t="shared" ref="A123:F123" si="33">SUM(A120:A122)</f>
        <v>0</v>
      </c>
      <c r="B123" s="85"/>
      <c r="C123" s="85">
        <f t="shared" si="33"/>
        <v>163.12800000000001</v>
      </c>
      <c r="D123" s="85"/>
      <c r="E123" s="85">
        <f t="shared" si="33"/>
        <v>186.077</v>
      </c>
      <c r="F123" s="87">
        <f t="shared" si="33"/>
        <v>349.20500000000004</v>
      </c>
      <c r="G123" s="72" t="s">
        <v>49</v>
      </c>
      <c r="H123" s="99"/>
    </row>
    <row r="124" spans="1:8" s="70" customFormat="1" ht="11.25" hidden="1" x14ac:dyDescent="0.2">
      <c r="A124" s="94">
        <v>0</v>
      </c>
      <c r="B124" s="85"/>
      <c r="C124" s="85">
        <v>52.460999999999999</v>
      </c>
      <c r="D124" s="85"/>
      <c r="E124" s="85">
        <v>58.588000000000001</v>
      </c>
      <c r="F124" s="87">
        <f>SUM(A124:E124)</f>
        <v>111.04900000000001</v>
      </c>
      <c r="G124" s="72" t="s">
        <v>83</v>
      </c>
      <c r="H124" s="99"/>
    </row>
    <row r="125" spans="1:8" s="70" customFormat="1" ht="11.25" hidden="1" x14ac:dyDescent="0.2">
      <c r="A125" s="94">
        <v>0</v>
      </c>
      <c r="B125" s="85"/>
      <c r="C125" s="85">
        <v>49.164999999999999</v>
      </c>
      <c r="D125" s="85"/>
      <c r="E125" s="85">
        <v>56.966000000000001</v>
      </c>
      <c r="F125" s="87">
        <f>SUM(A125:E125)</f>
        <v>106.131</v>
      </c>
      <c r="G125" s="72" t="s">
        <v>84</v>
      </c>
      <c r="H125" s="99"/>
    </row>
    <row r="126" spans="1:8" s="70" customFormat="1" ht="11.25" hidden="1" x14ac:dyDescent="0.2">
      <c r="A126" s="94">
        <v>0</v>
      </c>
      <c r="B126" s="85"/>
      <c r="C126" s="85">
        <v>39.195999999999998</v>
      </c>
      <c r="D126" s="85"/>
      <c r="E126" s="85">
        <v>49.344999999999999</v>
      </c>
      <c r="F126" s="87">
        <f>SUM(A126:E126)</f>
        <v>88.540999999999997</v>
      </c>
      <c r="G126" s="72" t="s">
        <v>85</v>
      </c>
      <c r="H126" s="99"/>
    </row>
    <row r="127" spans="1:8" s="70" customFormat="1" ht="11.25" hidden="1" x14ac:dyDescent="0.2">
      <c r="A127" s="94">
        <f t="shared" ref="A127:F127" si="34">SUM(A124:A126)</f>
        <v>0</v>
      </c>
      <c r="B127" s="85"/>
      <c r="C127" s="85">
        <f t="shared" si="34"/>
        <v>140.822</v>
      </c>
      <c r="D127" s="85"/>
      <c r="E127" s="85">
        <f t="shared" si="34"/>
        <v>164.899</v>
      </c>
      <c r="F127" s="87">
        <f t="shared" si="34"/>
        <v>305.721</v>
      </c>
      <c r="G127" s="72" t="s">
        <v>50</v>
      </c>
      <c r="H127" s="99"/>
    </row>
    <row r="128" spans="1:8" s="70" customFormat="1" ht="11.25" hidden="1" x14ac:dyDescent="0.2">
      <c r="A128" s="94">
        <v>0</v>
      </c>
      <c r="B128" s="85"/>
      <c r="C128" s="85">
        <v>49.066000000000003</v>
      </c>
      <c r="D128" s="85"/>
      <c r="E128" s="85">
        <v>52.308999999999997</v>
      </c>
      <c r="F128" s="87">
        <f>SUM(A128:E128)</f>
        <v>101.375</v>
      </c>
      <c r="G128" s="72" t="s">
        <v>87</v>
      </c>
      <c r="H128" s="99"/>
    </row>
    <row r="129" spans="1:8" s="70" customFormat="1" ht="11.25" hidden="1" x14ac:dyDescent="0.2">
      <c r="A129" s="94">
        <v>1E-3</v>
      </c>
      <c r="B129" s="85"/>
      <c r="C129" s="85">
        <v>43.347999999999999</v>
      </c>
      <c r="D129" s="85"/>
      <c r="E129" s="85">
        <v>53.179000000000002</v>
      </c>
      <c r="F129" s="87">
        <f>SUM(A129:E129)</f>
        <v>96.527999999999992</v>
      </c>
      <c r="G129" s="72" t="s">
        <v>88</v>
      </c>
      <c r="H129" s="99"/>
    </row>
    <row r="130" spans="1:8" s="70" customFormat="1" ht="11.25" hidden="1" x14ac:dyDescent="0.2">
      <c r="A130" s="94">
        <v>0</v>
      </c>
      <c r="B130" s="85"/>
      <c r="C130" s="85">
        <v>43.232999999999997</v>
      </c>
      <c r="D130" s="85"/>
      <c r="E130" s="85">
        <v>57.41</v>
      </c>
      <c r="F130" s="87">
        <f>SUM(A130:E130)</f>
        <v>100.643</v>
      </c>
      <c r="G130" s="72" t="s">
        <v>89</v>
      </c>
      <c r="H130" s="99"/>
    </row>
    <row r="131" spans="1:8" s="70" customFormat="1" ht="11.25" hidden="1" x14ac:dyDescent="0.2">
      <c r="A131" s="94">
        <f>SUM(A128:A130)</f>
        <v>1E-3</v>
      </c>
      <c r="B131" s="85"/>
      <c r="C131" s="85">
        <f t="shared" ref="C131:F131" si="35">SUM(C128:C130)</f>
        <v>135.64699999999999</v>
      </c>
      <c r="D131" s="85"/>
      <c r="E131" s="85">
        <f t="shared" si="35"/>
        <v>162.898</v>
      </c>
      <c r="F131" s="87">
        <f t="shared" si="35"/>
        <v>298.54599999999999</v>
      </c>
      <c r="G131" s="72" t="s">
        <v>51</v>
      </c>
      <c r="H131" s="99"/>
    </row>
    <row r="132" spans="1:8" s="70" customFormat="1" ht="8.25" hidden="1" customHeight="1" x14ac:dyDescent="0.2">
      <c r="A132" s="94"/>
      <c r="B132" s="85"/>
      <c r="C132" s="85"/>
      <c r="D132" s="85"/>
      <c r="E132" s="85"/>
      <c r="F132" s="87"/>
      <c r="G132" s="72"/>
      <c r="H132" s="99"/>
    </row>
    <row r="133" spans="1:8" s="70" customFormat="1" ht="11.25" hidden="1" x14ac:dyDescent="0.2">
      <c r="A133" s="94">
        <v>0</v>
      </c>
      <c r="B133" s="85"/>
      <c r="C133" s="85">
        <v>43.604999999999997</v>
      </c>
      <c r="D133" s="85"/>
      <c r="E133" s="85">
        <v>64.728999999999999</v>
      </c>
      <c r="F133" s="87">
        <f>SUM(A133:E133)</f>
        <v>108.334</v>
      </c>
      <c r="G133" s="72" t="s">
        <v>75</v>
      </c>
      <c r="H133" s="99">
        <v>2013</v>
      </c>
    </row>
    <row r="134" spans="1:8" s="70" customFormat="1" ht="11.25" hidden="1" x14ac:dyDescent="0.2">
      <c r="A134" s="94">
        <v>5.0999999999999997E-2</v>
      </c>
      <c r="B134" s="85"/>
      <c r="C134" s="85">
        <v>46.773000000000003</v>
      </c>
      <c r="D134" s="85"/>
      <c r="E134" s="85">
        <v>56.106000000000002</v>
      </c>
      <c r="F134" s="87">
        <f>SUM(A134:E134)</f>
        <v>102.93</v>
      </c>
      <c r="G134" s="72" t="s">
        <v>76</v>
      </c>
      <c r="H134" s="99"/>
    </row>
    <row r="135" spans="1:8" s="70" customFormat="1" ht="11.25" hidden="1" x14ac:dyDescent="0.2">
      <c r="A135" s="94">
        <v>1.6E-2</v>
      </c>
      <c r="B135" s="85"/>
      <c r="C135" s="85">
        <v>45.936</v>
      </c>
      <c r="D135" s="85"/>
      <c r="E135" s="85">
        <v>69.120999999999995</v>
      </c>
      <c r="F135" s="87">
        <f>SUM(A135:E135)</f>
        <v>115.07299999999999</v>
      </c>
      <c r="G135" s="72" t="s">
        <v>77</v>
      </c>
      <c r="H135" s="99"/>
    </row>
    <row r="136" spans="1:8" s="70" customFormat="1" ht="11.25" hidden="1" x14ac:dyDescent="0.2">
      <c r="A136" s="129">
        <f>SUM(A133:A135)</f>
        <v>6.7000000000000004E-2</v>
      </c>
      <c r="B136" s="130"/>
      <c r="C136" s="130">
        <f t="shared" ref="C136:E136" si="36">SUM(C133:C135)</f>
        <v>136.31399999999999</v>
      </c>
      <c r="D136" s="130"/>
      <c r="E136" s="130">
        <f t="shared" si="36"/>
        <v>189.95600000000002</v>
      </c>
      <c r="F136" s="131">
        <f>SUM(F133:F135)</f>
        <v>326.33699999999999</v>
      </c>
      <c r="G136" s="133" t="s">
        <v>48</v>
      </c>
      <c r="H136" s="136">
        <v>2013</v>
      </c>
    </row>
    <row r="137" spans="1:8" s="70" customFormat="1" ht="11.25" hidden="1" x14ac:dyDescent="0.2">
      <c r="A137" s="129">
        <v>3.2000000000000001E-2</v>
      </c>
      <c r="B137" s="130"/>
      <c r="C137" s="130">
        <v>55.204000000000001</v>
      </c>
      <c r="D137" s="130"/>
      <c r="E137" s="130">
        <v>65.516000000000005</v>
      </c>
      <c r="F137" s="131">
        <f>SUM(A137:E137)</f>
        <v>120.75200000000001</v>
      </c>
      <c r="G137" s="133" t="s">
        <v>79</v>
      </c>
      <c r="H137" s="136"/>
    </row>
    <row r="138" spans="1:8" s="70" customFormat="1" ht="11.25" hidden="1" x14ac:dyDescent="0.2">
      <c r="A138" s="129">
        <v>0</v>
      </c>
      <c r="B138" s="130"/>
      <c r="C138" s="130">
        <v>56.517000000000003</v>
      </c>
      <c r="D138" s="130"/>
      <c r="E138" s="130">
        <v>67.462000000000003</v>
      </c>
      <c r="F138" s="131">
        <f>SUM(A138:E138)</f>
        <v>123.97900000000001</v>
      </c>
      <c r="G138" s="133" t="s">
        <v>80</v>
      </c>
      <c r="H138" s="136"/>
    </row>
    <row r="139" spans="1:8" s="70" customFormat="1" ht="11.25" hidden="1" x14ac:dyDescent="0.2">
      <c r="A139" s="129">
        <v>0</v>
      </c>
      <c r="B139" s="130"/>
      <c r="C139" s="130">
        <v>47.948</v>
      </c>
      <c r="D139" s="130"/>
      <c r="E139" s="130">
        <v>59.533999999999999</v>
      </c>
      <c r="F139" s="131">
        <f>SUM(A139:E139)</f>
        <v>107.482</v>
      </c>
      <c r="G139" s="133" t="s">
        <v>81</v>
      </c>
      <c r="H139" s="136"/>
    </row>
    <row r="140" spans="1:8" s="70" customFormat="1" ht="11.25" hidden="1" x14ac:dyDescent="0.2">
      <c r="A140" s="129">
        <f>SUM(A137:A139)</f>
        <v>3.2000000000000001E-2</v>
      </c>
      <c r="B140" s="130"/>
      <c r="C140" s="130">
        <f t="shared" ref="C140:F140" si="37">SUM(C137:C139)</f>
        <v>159.66900000000001</v>
      </c>
      <c r="D140" s="130"/>
      <c r="E140" s="130">
        <f t="shared" si="37"/>
        <v>192.512</v>
      </c>
      <c r="F140" s="131">
        <f t="shared" si="37"/>
        <v>352.21300000000002</v>
      </c>
      <c r="G140" s="133" t="s">
        <v>49</v>
      </c>
      <c r="H140" s="136"/>
    </row>
    <row r="141" spans="1:8" s="70" customFormat="1" ht="11.25" hidden="1" x14ac:dyDescent="0.2">
      <c r="A141" s="129">
        <v>1.4E-2</v>
      </c>
      <c r="B141" s="130"/>
      <c r="C141" s="130">
        <v>51.213000000000001</v>
      </c>
      <c r="D141" s="130"/>
      <c r="E141" s="130">
        <v>65.754999999999995</v>
      </c>
      <c r="F141" s="131">
        <f>SUM(A141:E141)</f>
        <v>116.982</v>
      </c>
      <c r="G141" s="133" t="s">
        <v>83</v>
      </c>
      <c r="H141" s="136"/>
    </row>
    <row r="142" spans="1:8" s="70" customFormat="1" ht="11.25" hidden="1" x14ac:dyDescent="0.2">
      <c r="A142" s="129">
        <v>1.9E-2</v>
      </c>
      <c r="B142" s="130"/>
      <c r="C142" s="130">
        <v>54.393000000000001</v>
      </c>
      <c r="D142" s="130"/>
      <c r="E142" s="130">
        <v>54.674999999999997</v>
      </c>
      <c r="F142" s="131">
        <f>SUM(A142:E142)</f>
        <v>109.08699999999999</v>
      </c>
      <c r="G142" s="133" t="s">
        <v>84</v>
      </c>
      <c r="H142" s="136"/>
    </row>
    <row r="143" spans="1:8" s="70" customFormat="1" ht="11.25" hidden="1" x14ac:dyDescent="0.2">
      <c r="A143" s="129">
        <v>0</v>
      </c>
      <c r="B143" s="130"/>
      <c r="C143" s="130">
        <v>39.698999999999998</v>
      </c>
      <c r="D143" s="130"/>
      <c r="E143" s="130">
        <v>46.045999999999999</v>
      </c>
      <c r="F143" s="131">
        <f>SUM(A143:E143)</f>
        <v>85.745000000000005</v>
      </c>
      <c r="G143" s="133" t="s">
        <v>85</v>
      </c>
      <c r="H143" s="136"/>
    </row>
    <row r="144" spans="1:8" s="70" customFormat="1" ht="11.25" hidden="1" x14ac:dyDescent="0.2">
      <c r="A144" s="129">
        <f t="shared" ref="A144:F144" si="38">SUM(A141:A143)</f>
        <v>3.3000000000000002E-2</v>
      </c>
      <c r="B144" s="130"/>
      <c r="C144" s="130">
        <f t="shared" si="38"/>
        <v>145.30500000000001</v>
      </c>
      <c r="D144" s="130"/>
      <c r="E144" s="130">
        <f t="shared" si="38"/>
        <v>166.476</v>
      </c>
      <c r="F144" s="131">
        <f t="shared" si="38"/>
        <v>311.81399999999996</v>
      </c>
      <c r="G144" s="133" t="s">
        <v>50</v>
      </c>
      <c r="H144" s="136"/>
    </row>
    <row r="145" spans="1:8" s="70" customFormat="1" ht="11.25" hidden="1" x14ac:dyDescent="0.2">
      <c r="A145" s="129">
        <v>6.0000000000000001E-3</v>
      </c>
      <c r="B145" s="130"/>
      <c r="C145" s="130">
        <v>51.691000000000003</v>
      </c>
      <c r="D145" s="130"/>
      <c r="E145" s="130">
        <v>42.238</v>
      </c>
      <c r="F145" s="131">
        <f>SUM(A145:E145)</f>
        <v>93.935000000000002</v>
      </c>
      <c r="G145" s="133" t="s">
        <v>87</v>
      </c>
      <c r="H145" s="136"/>
    </row>
    <row r="146" spans="1:8" s="70" customFormat="1" ht="11.25" hidden="1" x14ac:dyDescent="0.2">
      <c r="A146" s="129">
        <v>1.4E-2</v>
      </c>
      <c r="B146" s="130"/>
      <c r="C146" s="130">
        <v>44.011000000000003</v>
      </c>
      <c r="D146" s="130"/>
      <c r="E146" s="130">
        <v>40.642000000000003</v>
      </c>
      <c r="F146" s="131">
        <f>SUM(A146:E146)</f>
        <v>84.667000000000002</v>
      </c>
      <c r="G146" s="133" t="s">
        <v>88</v>
      </c>
      <c r="H146" s="136"/>
    </row>
    <row r="147" spans="1:8" s="70" customFormat="1" ht="11.25" hidden="1" x14ac:dyDescent="0.2">
      <c r="A147" s="129">
        <v>7.0000000000000001E-3</v>
      </c>
      <c r="B147" s="130"/>
      <c r="C147" s="130">
        <v>46.575000000000003</v>
      </c>
      <c r="D147" s="130"/>
      <c r="E147" s="130">
        <v>50.139000000000003</v>
      </c>
      <c r="F147" s="131">
        <f>SUM(A147:E147)</f>
        <v>96.721000000000004</v>
      </c>
      <c r="G147" s="133" t="s">
        <v>89</v>
      </c>
      <c r="H147" s="136"/>
    </row>
    <row r="148" spans="1:8" s="70" customFormat="1" ht="11.25" hidden="1" x14ac:dyDescent="0.2">
      <c r="A148" s="129">
        <f>SUM(A145:A147)</f>
        <v>2.7E-2</v>
      </c>
      <c r="B148" s="130"/>
      <c r="C148" s="130">
        <f t="shared" ref="C148:F148" si="39">SUM(C145:C147)</f>
        <v>142.27699999999999</v>
      </c>
      <c r="D148" s="130"/>
      <c r="E148" s="130">
        <f t="shared" si="39"/>
        <v>133.01900000000001</v>
      </c>
      <c r="F148" s="131">
        <f t="shared" si="39"/>
        <v>275.32299999999998</v>
      </c>
      <c r="G148" s="133" t="s">
        <v>51</v>
      </c>
      <c r="H148" s="136"/>
    </row>
    <row r="149" spans="1:8" s="70" customFormat="1" ht="6.75" hidden="1" customHeight="1" x14ac:dyDescent="0.2">
      <c r="A149" s="118"/>
      <c r="B149" s="119"/>
      <c r="C149" s="119"/>
      <c r="D149" s="119"/>
      <c r="E149" s="119"/>
      <c r="F149" s="120"/>
      <c r="G149" s="122"/>
      <c r="H149" s="99"/>
    </row>
    <row r="150" spans="1:8" s="70" customFormat="1" ht="15.75" hidden="1" customHeight="1" x14ac:dyDescent="0.2">
      <c r="A150" s="129">
        <v>0</v>
      </c>
      <c r="B150" s="130"/>
      <c r="C150" s="130">
        <v>54.097999999999999</v>
      </c>
      <c r="D150" s="130"/>
      <c r="E150" s="130">
        <v>48.834000000000003</v>
      </c>
      <c r="F150" s="131">
        <f>SUM(A150:E150)</f>
        <v>102.932</v>
      </c>
      <c r="G150" s="133" t="s">
        <v>75</v>
      </c>
      <c r="H150" s="123">
        <v>2014</v>
      </c>
    </row>
    <row r="151" spans="1:8" s="70" customFormat="1" ht="11.25" hidden="1" x14ac:dyDescent="0.2">
      <c r="A151" s="129">
        <v>3.2000000000000001E-2</v>
      </c>
      <c r="B151" s="130"/>
      <c r="C151" s="130">
        <v>51.411999999999999</v>
      </c>
      <c r="D151" s="130"/>
      <c r="E151" s="130">
        <v>45.262</v>
      </c>
      <c r="F151" s="131">
        <f>SUM(A151:E151)</f>
        <v>96.705999999999989</v>
      </c>
      <c r="G151" s="133" t="s">
        <v>76</v>
      </c>
      <c r="H151" s="123"/>
    </row>
    <row r="152" spans="1:8" s="70" customFormat="1" ht="11.25" hidden="1" x14ac:dyDescent="0.2">
      <c r="A152" s="118">
        <v>4.4999999999999998E-2</v>
      </c>
      <c r="B152" s="119"/>
      <c r="C152" s="119">
        <v>44.959000000000003</v>
      </c>
      <c r="D152" s="119"/>
      <c r="E152" s="119">
        <v>52.509</v>
      </c>
      <c r="F152" s="131">
        <f>SUM(A152:E152)</f>
        <v>97.513000000000005</v>
      </c>
      <c r="G152" s="122" t="s">
        <v>77</v>
      </c>
      <c r="H152" s="123"/>
    </row>
    <row r="153" spans="1:8" s="70" customFormat="1" ht="11.25" hidden="1" x14ac:dyDescent="0.2">
      <c r="A153" s="129">
        <f t="shared" ref="A153:F153" si="40">SUM(A150:A152)</f>
        <v>7.6999999999999999E-2</v>
      </c>
      <c r="B153" s="130"/>
      <c r="C153" s="130">
        <f t="shared" si="40"/>
        <v>150.46899999999999</v>
      </c>
      <c r="D153" s="130"/>
      <c r="E153" s="130">
        <f t="shared" si="40"/>
        <v>146.60500000000002</v>
      </c>
      <c r="F153" s="131">
        <f t="shared" si="40"/>
        <v>297.15099999999995</v>
      </c>
      <c r="G153" s="133" t="s">
        <v>48</v>
      </c>
      <c r="H153" s="136">
        <v>2014</v>
      </c>
    </row>
    <row r="154" spans="1:8" s="70" customFormat="1" ht="11.25" hidden="1" x14ac:dyDescent="0.2">
      <c r="A154" s="129">
        <v>5.0000000000000001E-3</v>
      </c>
      <c r="B154" s="130"/>
      <c r="C154" s="130">
        <v>44.664000000000001</v>
      </c>
      <c r="D154" s="130"/>
      <c r="E154" s="130">
        <v>50.713000000000001</v>
      </c>
      <c r="F154" s="131">
        <f>SUM(A154:E154)</f>
        <v>95.382000000000005</v>
      </c>
      <c r="G154" s="133" t="s">
        <v>79</v>
      </c>
      <c r="H154" s="123"/>
    </row>
    <row r="155" spans="1:8" s="70" customFormat="1" ht="11.25" hidden="1" x14ac:dyDescent="0.2">
      <c r="A155" s="129">
        <v>0</v>
      </c>
      <c r="B155" s="130"/>
      <c r="C155" s="130">
        <v>56.344999999999999</v>
      </c>
      <c r="D155" s="130"/>
      <c r="E155" s="130">
        <v>55.302999999999997</v>
      </c>
      <c r="F155" s="131">
        <f>SUM(A155:E155)</f>
        <v>111.648</v>
      </c>
      <c r="G155" s="133" t="s">
        <v>80</v>
      </c>
      <c r="H155" s="123"/>
    </row>
    <row r="156" spans="1:8" s="70" customFormat="1" ht="11.25" hidden="1" x14ac:dyDescent="0.2">
      <c r="A156" s="129">
        <v>0</v>
      </c>
      <c r="B156" s="130"/>
      <c r="C156" s="130">
        <v>58.287999999999997</v>
      </c>
      <c r="D156" s="130"/>
      <c r="E156" s="130">
        <v>51.332000000000001</v>
      </c>
      <c r="F156" s="131">
        <f>SUM(A156:E156)</f>
        <v>109.62</v>
      </c>
      <c r="G156" s="133" t="s">
        <v>81</v>
      </c>
      <c r="H156" s="123"/>
    </row>
    <row r="157" spans="1:8" s="70" customFormat="1" ht="11.25" hidden="1" x14ac:dyDescent="0.2">
      <c r="A157" s="129">
        <f t="shared" ref="A157:F157" si="41">SUM(A154:A156)</f>
        <v>5.0000000000000001E-3</v>
      </c>
      <c r="B157" s="130"/>
      <c r="C157" s="130">
        <f t="shared" si="41"/>
        <v>159.297</v>
      </c>
      <c r="D157" s="130"/>
      <c r="E157" s="130">
        <f t="shared" si="41"/>
        <v>157.34799999999998</v>
      </c>
      <c r="F157" s="131">
        <f t="shared" si="41"/>
        <v>316.64999999999998</v>
      </c>
      <c r="G157" s="133" t="s">
        <v>49</v>
      </c>
      <c r="H157" s="123"/>
    </row>
    <row r="158" spans="1:8" s="70" customFormat="1" ht="11.25" hidden="1" x14ac:dyDescent="0.2">
      <c r="A158" s="129">
        <v>0</v>
      </c>
      <c r="B158" s="130"/>
      <c r="C158" s="130">
        <v>51.124000000000002</v>
      </c>
      <c r="D158" s="130"/>
      <c r="E158" s="130">
        <v>54.66</v>
      </c>
      <c r="F158" s="131">
        <f>SUM(A158:E158)</f>
        <v>105.78399999999999</v>
      </c>
      <c r="G158" s="133" t="s">
        <v>83</v>
      </c>
      <c r="H158" s="123"/>
    </row>
    <row r="159" spans="1:8" s="70" customFormat="1" ht="11.25" hidden="1" x14ac:dyDescent="0.2">
      <c r="A159" s="129">
        <v>0</v>
      </c>
      <c r="B159" s="130"/>
      <c r="C159" s="130">
        <v>50.756999999999998</v>
      </c>
      <c r="D159" s="130"/>
      <c r="E159" s="130">
        <v>52.064999999999998</v>
      </c>
      <c r="F159" s="131">
        <f>SUM(A159:E159)</f>
        <v>102.822</v>
      </c>
      <c r="G159" s="133" t="s">
        <v>84</v>
      </c>
      <c r="H159" s="123"/>
    </row>
    <row r="160" spans="1:8" s="70" customFormat="1" ht="11.25" hidden="1" x14ac:dyDescent="0.2">
      <c r="A160" s="129">
        <v>0.03</v>
      </c>
      <c r="B160" s="130"/>
      <c r="C160" s="130">
        <v>51.661999999999999</v>
      </c>
      <c r="D160" s="130"/>
      <c r="E160" s="130">
        <v>51.015000000000001</v>
      </c>
      <c r="F160" s="131">
        <f>SUM(A160:E160)</f>
        <v>102.70699999999999</v>
      </c>
      <c r="G160" s="133" t="s">
        <v>85</v>
      </c>
      <c r="H160" s="123"/>
    </row>
    <row r="161" spans="1:8" s="70" customFormat="1" ht="11.25" hidden="1" x14ac:dyDescent="0.2">
      <c r="A161" s="129">
        <f t="shared" ref="A161:F161" si="42">SUM(A158:A160)</f>
        <v>0.03</v>
      </c>
      <c r="B161" s="130"/>
      <c r="C161" s="130">
        <f t="shared" si="42"/>
        <v>153.54300000000001</v>
      </c>
      <c r="D161" s="130"/>
      <c r="E161" s="130">
        <f t="shared" si="42"/>
        <v>157.74</v>
      </c>
      <c r="F161" s="131">
        <f t="shared" si="42"/>
        <v>311.31299999999999</v>
      </c>
      <c r="G161" s="133" t="s">
        <v>50</v>
      </c>
      <c r="H161" s="123"/>
    </row>
    <row r="162" spans="1:8" s="70" customFormat="1" ht="11.25" hidden="1" x14ac:dyDescent="0.2">
      <c r="A162" s="118">
        <v>1.2999999999999999E-2</v>
      </c>
      <c r="B162" s="119"/>
      <c r="C162" s="119">
        <v>47.878999999999998</v>
      </c>
      <c r="D162" s="119"/>
      <c r="E162" s="119">
        <v>50.121000000000002</v>
      </c>
      <c r="F162" s="120">
        <f>SUM(A162:E162)</f>
        <v>98.013000000000005</v>
      </c>
      <c r="G162" s="122" t="s">
        <v>87</v>
      </c>
      <c r="H162" s="123"/>
    </row>
    <row r="163" spans="1:8" s="70" customFormat="1" ht="11.25" hidden="1" x14ac:dyDescent="0.2">
      <c r="A163" s="118">
        <v>0</v>
      </c>
      <c r="B163" s="119"/>
      <c r="C163" s="119">
        <v>49.326999999999998</v>
      </c>
      <c r="D163" s="119"/>
      <c r="E163" s="119">
        <v>46.963000000000001</v>
      </c>
      <c r="F163" s="120">
        <f>SUM(A163:E163)</f>
        <v>96.289999999999992</v>
      </c>
      <c r="G163" s="122" t="s">
        <v>88</v>
      </c>
      <c r="H163" s="123"/>
    </row>
    <row r="164" spans="1:8" s="70" customFormat="1" ht="11.25" hidden="1" x14ac:dyDescent="0.2">
      <c r="A164" s="118">
        <v>0</v>
      </c>
      <c r="B164" s="119"/>
      <c r="C164" s="119">
        <v>57.244999999999997</v>
      </c>
      <c r="D164" s="119"/>
      <c r="E164" s="119">
        <v>48.323999999999998</v>
      </c>
      <c r="F164" s="120">
        <f>SUM(A164:E164)</f>
        <v>105.56899999999999</v>
      </c>
      <c r="G164" s="122" t="s">
        <v>89</v>
      </c>
      <c r="H164" s="123"/>
    </row>
    <row r="165" spans="1:8" s="70" customFormat="1" ht="11.25" hidden="1" x14ac:dyDescent="0.2">
      <c r="A165" s="129">
        <f t="shared" ref="A165:F165" si="43">SUM(A162:A164)</f>
        <v>1.2999999999999999E-2</v>
      </c>
      <c r="B165" s="130"/>
      <c r="C165" s="130">
        <f t="shared" si="43"/>
        <v>154.45099999999999</v>
      </c>
      <c r="D165" s="130"/>
      <c r="E165" s="130">
        <f t="shared" si="43"/>
        <v>145.40800000000002</v>
      </c>
      <c r="F165" s="131">
        <f t="shared" si="43"/>
        <v>299.87199999999996</v>
      </c>
      <c r="G165" s="133" t="s">
        <v>51</v>
      </c>
      <c r="H165" s="123"/>
    </row>
    <row r="166" spans="1:8" s="70" customFormat="1" ht="9" hidden="1" customHeight="1" x14ac:dyDescent="0.2">
      <c r="A166" s="118"/>
      <c r="B166" s="119"/>
      <c r="F166" s="120"/>
      <c r="G166" s="122"/>
      <c r="H166" s="123"/>
    </row>
    <row r="167" spans="1:8" s="70" customFormat="1" ht="11.25" hidden="1" x14ac:dyDescent="0.2">
      <c r="A167" s="118">
        <v>0</v>
      </c>
      <c r="B167" s="119"/>
      <c r="C167" s="119">
        <v>48.591999999999999</v>
      </c>
      <c r="D167" s="119"/>
      <c r="E167" s="119">
        <v>48.527999999999999</v>
      </c>
      <c r="F167" s="120">
        <f>SUM(A167:E167)</f>
        <v>97.12</v>
      </c>
      <c r="G167" s="122" t="s">
        <v>75</v>
      </c>
      <c r="H167" s="123">
        <v>2015</v>
      </c>
    </row>
    <row r="168" spans="1:8" s="70" customFormat="1" ht="11.25" hidden="1" x14ac:dyDescent="0.2">
      <c r="A168" s="118">
        <v>7.6999999999999999E-2</v>
      </c>
      <c r="B168" s="119"/>
      <c r="C168" s="119">
        <v>40.250999999999998</v>
      </c>
      <c r="D168" s="119"/>
      <c r="E168" s="119">
        <v>48.389000000000003</v>
      </c>
      <c r="F168" s="120">
        <f>SUM(A168:E168)</f>
        <v>88.716999999999999</v>
      </c>
      <c r="G168" s="122" t="s">
        <v>76</v>
      </c>
      <c r="H168" s="123"/>
    </row>
    <row r="169" spans="1:8" s="70" customFormat="1" ht="11.25" hidden="1" x14ac:dyDescent="0.2">
      <c r="A169" s="118">
        <v>0</v>
      </c>
      <c r="B169" s="119"/>
      <c r="C169" s="119">
        <v>58.905999999999999</v>
      </c>
      <c r="D169" s="119"/>
      <c r="E169" s="119">
        <v>62.311</v>
      </c>
      <c r="F169" s="120">
        <f>SUM(A169:E169)</f>
        <v>121.217</v>
      </c>
      <c r="G169" s="122" t="s">
        <v>77</v>
      </c>
      <c r="H169" s="123"/>
    </row>
    <row r="170" spans="1:8" s="70" customFormat="1" ht="11.25" hidden="1" x14ac:dyDescent="0.2">
      <c r="A170" s="129">
        <f t="shared" ref="A170:F170" si="44">SUM(A167:A169)</f>
        <v>7.6999999999999999E-2</v>
      </c>
      <c r="B170" s="130"/>
      <c r="C170" s="130">
        <f t="shared" si="44"/>
        <v>147.749</v>
      </c>
      <c r="D170" s="130"/>
      <c r="E170" s="130">
        <f t="shared" si="44"/>
        <v>159.22800000000001</v>
      </c>
      <c r="F170" s="131">
        <f t="shared" si="44"/>
        <v>307.05399999999997</v>
      </c>
      <c r="G170" s="133" t="s">
        <v>48</v>
      </c>
      <c r="H170" s="136">
        <v>2015</v>
      </c>
    </row>
    <row r="171" spans="1:8" s="70" customFormat="1" ht="11.25" hidden="1" x14ac:dyDescent="0.2">
      <c r="A171" s="129">
        <v>8.0000000000000002E-3</v>
      </c>
      <c r="B171" s="130"/>
      <c r="C171" s="130">
        <v>54.353999999999999</v>
      </c>
      <c r="D171" s="130"/>
      <c r="E171" s="130">
        <v>51.622</v>
      </c>
      <c r="F171" s="131">
        <f>SUM(A171:E171)</f>
        <v>105.98400000000001</v>
      </c>
      <c r="G171" s="133" t="s">
        <v>79</v>
      </c>
      <c r="H171" s="136"/>
    </row>
    <row r="172" spans="1:8" s="70" customFormat="1" ht="11.25" hidden="1" x14ac:dyDescent="0.2">
      <c r="A172" s="129">
        <v>2.7E-2</v>
      </c>
      <c r="B172" s="130"/>
      <c r="C172" s="130">
        <v>54.957999999999998</v>
      </c>
      <c r="D172" s="130"/>
      <c r="E172" s="130">
        <v>51.588000000000001</v>
      </c>
      <c r="F172" s="131">
        <f>SUM(A172:E172)</f>
        <v>106.57300000000001</v>
      </c>
      <c r="G172" s="133" t="s">
        <v>80</v>
      </c>
      <c r="H172" s="136"/>
    </row>
    <row r="173" spans="1:8" s="70" customFormat="1" ht="11.25" hidden="1" x14ac:dyDescent="0.2">
      <c r="A173" s="129">
        <v>0</v>
      </c>
      <c r="B173" s="130"/>
      <c r="C173" s="130">
        <v>61.222000000000001</v>
      </c>
      <c r="D173" s="130"/>
      <c r="E173" s="130">
        <v>53.51</v>
      </c>
      <c r="F173" s="131">
        <f>SUM(A173:E173)</f>
        <v>114.732</v>
      </c>
      <c r="G173" s="133" t="s">
        <v>81</v>
      </c>
      <c r="H173" s="136"/>
    </row>
    <row r="174" spans="1:8" s="70" customFormat="1" ht="11.25" hidden="1" x14ac:dyDescent="0.2">
      <c r="A174" s="129">
        <f t="shared" ref="A174:F174" si="45">SUM(A171:A173)</f>
        <v>3.5000000000000003E-2</v>
      </c>
      <c r="B174" s="130"/>
      <c r="C174" s="130">
        <f t="shared" si="45"/>
        <v>170.53399999999999</v>
      </c>
      <c r="D174" s="130"/>
      <c r="E174" s="130">
        <f t="shared" si="45"/>
        <v>156.72</v>
      </c>
      <c r="F174" s="131">
        <f t="shared" si="45"/>
        <v>327.28899999999999</v>
      </c>
      <c r="G174" s="133" t="s">
        <v>49</v>
      </c>
      <c r="H174" s="136"/>
    </row>
    <row r="175" spans="1:8" s="70" customFormat="1" ht="11.25" hidden="1" x14ac:dyDescent="0.2">
      <c r="A175" s="129">
        <v>0</v>
      </c>
      <c r="B175" s="130"/>
      <c r="C175" s="130">
        <v>56.689</v>
      </c>
      <c r="D175" s="130"/>
      <c r="E175" s="130">
        <v>55.603000000000002</v>
      </c>
      <c r="F175" s="131">
        <f>SUM(A175:E175)</f>
        <v>112.292</v>
      </c>
      <c r="G175" s="133" t="s">
        <v>83</v>
      </c>
      <c r="H175" s="136"/>
    </row>
    <row r="176" spans="1:8" s="70" customFormat="1" ht="11.25" hidden="1" x14ac:dyDescent="0.2">
      <c r="A176" s="129">
        <v>0</v>
      </c>
      <c r="B176" s="130"/>
      <c r="C176" s="130">
        <v>53.371000000000002</v>
      </c>
      <c r="D176" s="130"/>
      <c r="E176" s="130">
        <v>42.171999999999997</v>
      </c>
      <c r="F176" s="131">
        <f>SUM(A176:E176)</f>
        <v>95.543000000000006</v>
      </c>
      <c r="G176" s="133" t="s">
        <v>84</v>
      </c>
      <c r="H176" s="136"/>
    </row>
    <row r="177" spans="1:8" s="70" customFormat="1" ht="11.25" hidden="1" x14ac:dyDescent="0.2">
      <c r="A177" s="129">
        <v>0</v>
      </c>
      <c r="B177" s="130"/>
      <c r="C177" s="130">
        <v>46.317</v>
      </c>
      <c r="D177" s="130"/>
      <c r="E177" s="130">
        <v>44.981000000000002</v>
      </c>
      <c r="F177" s="131">
        <f>SUM(A177:E177)</f>
        <v>91.298000000000002</v>
      </c>
      <c r="G177" s="133" t="s">
        <v>85</v>
      </c>
      <c r="H177" s="136"/>
    </row>
    <row r="178" spans="1:8" s="70" customFormat="1" ht="11.25" hidden="1" x14ac:dyDescent="0.2">
      <c r="A178" s="129">
        <f t="shared" ref="A178:F178" si="46">SUM(A175:A177)</f>
        <v>0</v>
      </c>
      <c r="B178" s="130"/>
      <c r="C178" s="130">
        <f t="shared" si="46"/>
        <v>156.37700000000001</v>
      </c>
      <c r="D178" s="130"/>
      <c r="E178" s="130">
        <f t="shared" si="46"/>
        <v>142.756</v>
      </c>
      <c r="F178" s="131">
        <f t="shared" si="46"/>
        <v>299.13300000000004</v>
      </c>
      <c r="G178" s="133" t="s">
        <v>50</v>
      </c>
      <c r="H178" s="136"/>
    </row>
    <row r="179" spans="1:8" s="70" customFormat="1" ht="11.25" hidden="1" x14ac:dyDescent="0.2">
      <c r="A179" s="129">
        <v>6.8000000000000005E-2</v>
      </c>
      <c r="B179" s="130"/>
      <c r="C179" s="130">
        <v>56.893000000000001</v>
      </c>
      <c r="D179" s="130"/>
      <c r="E179" s="130">
        <v>50.762999999999998</v>
      </c>
      <c r="F179" s="131">
        <f>SUM(A179:E179)</f>
        <v>107.72399999999999</v>
      </c>
      <c r="G179" s="133" t="s">
        <v>87</v>
      </c>
      <c r="H179" s="136"/>
    </row>
    <row r="180" spans="1:8" s="70" customFormat="1" ht="11.25" hidden="1" x14ac:dyDescent="0.2">
      <c r="A180" s="129">
        <v>0</v>
      </c>
      <c r="B180" s="130"/>
      <c r="C180" s="130">
        <v>52.031999999999996</v>
      </c>
      <c r="D180" s="130"/>
      <c r="E180" s="130">
        <v>50.079000000000001</v>
      </c>
      <c r="F180" s="131">
        <f>SUM(A180:E180)</f>
        <v>102.11099999999999</v>
      </c>
      <c r="G180" s="133" t="s">
        <v>88</v>
      </c>
      <c r="H180" s="136"/>
    </row>
    <row r="181" spans="1:8" s="70" customFormat="1" ht="11.25" hidden="1" x14ac:dyDescent="0.2">
      <c r="A181" s="129">
        <v>3.5000000000000003E-2</v>
      </c>
      <c r="B181" s="130"/>
      <c r="C181" s="130">
        <v>54.066000000000003</v>
      </c>
      <c r="D181" s="130"/>
      <c r="E181" s="130">
        <v>51.281999999999996</v>
      </c>
      <c r="F181" s="131">
        <f>SUM(A181:E181)</f>
        <v>105.383</v>
      </c>
      <c r="G181" s="133" t="s">
        <v>89</v>
      </c>
      <c r="H181" s="136"/>
    </row>
    <row r="182" spans="1:8" s="70" customFormat="1" ht="11.25" hidden="1" x14ac:dyDescent="0.2">
      <c r="A182" s="129">
        <f t="shared" ref="A182:F182" si="47">SUM(A179:A181)</f>
        <v>0.10300000000000001</v>
      </c>
      <c r="B182" s="130"/>
      <c r="C182" s="130">
        <f t="shared" si="47"/>
        <v>162.99099999999999</v>
      </c>
      <c r="D182" s="130"/>
      <c r="E182" s="130">
        <f t="shared" si="47"/>
        <v>152.124</v>
      </c>
      <c r="F182" s="131">
        <f t="shared" si="47"/>
        <v>315.21799999999996</v>
      </c>
      <c r="G182" s="133" t="s">
        <v>51</v>
      </c>
      <c r="H182" s="136"/>
    </row>
    <row r="183" spans="1:8" s="70" customFormat="1" ht="7.5" hidden="1" customHeight="1" x14ac:dyDescent="0.2">
      <c r="A183" s="118"/>
      <c r="B183" s="119"/>
      <c r="C183" s="119"/>
      <c r="D183" s="119"/>
      <c r="E183" s="119"/>
      <c r="F183" s="120"/>
      <c r="G183" s="122"/>
      <c r="H183" s="123"/>
    </row>
    <row r="184" spans="1:8" s="70" customFormat="1" ht="13.5" hidden="1" customHeight="1" x14ac:dyDescent="0.2">
      <c r="A184" s="118">
        <v>0</v>
      </c>
      <c r="B184" s="119"/>
      <c r="C184" s="119">
        <v>52.545000000000002</v>
      </c>
      <c r="D184" s="119"/>
      <c r="E184" s="119">
        <v>50.3</v>
      </c>
      <c r="F184" s="120">
        <f>SUM(A184:E184)</f>
        <v>102.845</v>
      </c>
      <c r="G184" s="122" t="s">
        <v>75</v>
      </c>
      <c r="H184" s="123">
        <v>2016</v>
      </c>
    </row>
    <row r="185" spans="1:8" s="70" customFormat="1" ht="13.5" hidden="1" customHeight="1" x14ac:dyDescent="0.2">
      <c r="A185" s="118">
        <v>0</v>
      </c>
      <c r="B185" s="119"/>
      <c r="C185" s="119">
        <v>57.067999999999998</v>
      </c>
      <c r="D185" s="119"/>
      <c r="E185" s="119">
        <v>56.112000000000002</v>
      </c>
      <c r="F185" s="120">
        <f>SUM(A185:E185)</f>
        <v>113.18</v>
      </c>
      <c r="G185" s="122" t="s">
        <v>76</v>
      </c>
      <c r="H185" s="123"/>
    </row>
    <row r="186" spans="1:8" s="70" customFormat="1" ht="13.5" hidden="1" customHeight="1" x14ac:dyDescent="0.2">
      <c r="A186" s="118">
        <v>0</v>
      </c>
      <c r="B186" s="119"/>
      <c r="C186" s="119">
        <v>63.853999999999999</v>
      </c>
      <c r="D186" s="119"/>
      <c r="E186" s="119">
        <v>61.709000000000003</v>
      </c>
      <c r="F186" s="120">
        <f>SUM(A186:E186)</f>
        <v>125.563</v>
      </c>
      <c r="G186" s="122" t="s">
        <v>77</v>
      </c>
      <c r="H186" s="123"/>
    </row>
    <row r="187" spans="1:8" s="70" customFormat="1" ht="13.5" hidden="1" customHeight="1" x14ac:dyDescent="0.2">
      <c r="A187" s="129">
        <f t="shared" ref="A187:F187" si="48">SUM(A184:A186)</f>
        <v>0</v>
      </c>
      <c r="B187" s="130"/>
      <c r="C187" s="130">
        <f t="shared" si="48"/>
        <v>173.46699999999998</v>
      </c>
      <c r="D187" s="130"/>
      <c r="E187" s="130">
        <f t="shared" si="48"/>
        <v>168.12100000000001</v>
      </c>
      <c r="F187" s="131">
        <f t="shared" si="48"/>
        <v>341.58800000000002</v>
      </c>
      <c r="G187" s="133" t="s">
        <v>48</v>
      </c>
      <c r="H187" s="136">
        <v>2016</v>
      </c>
    </row>
    <row r="188" spans="1:8" s="70" customFormat="1" ht="13.5" hidden="1" customHeight="1" x14ac:dyDescent="0.2">
      <c r="A188" s="129">
        <v>0</v>
      </c>
      <c r="B188" s="130"/>
      <c r="C188" s="130">
        <v>54.606000000000002</v>
      </c>
      <c r="D188" s="130"/>
      <c r="E188" s="130">
        <v>50.173999999999999</v>
      </c>
      <c r="F188" s="131">
        <f>SUM(A188:E188)</f>
        <v>104.78</v>
      </c>
      <c r="G188" s="133" t="s">
        <v>79</v>
      </c>
      <c r="H188" s="136"/>
    </row>
    <row r="189" spans="1:8" s="70" customFormat="1" ht="13.5" hidden="1" customHeight="1" x14ac:dyDescent="0.2">
      <c r="A189" s="129">
        <v>1.4999999999999999E-2</v>
      </c>
      <c r="B189" s="130"/>
      <c r="C189" s="130">
        <v>64.649000000000001</v>
      </c>
      <c r="D189" s="130"/>
      <c r="E189" s="130">
        <v>53.64</v>
      </c>
      <c r="F189" s="131">
        <f>SUM(A189:E189)</f>
        <v>118.304</v>
      </c>
      <c r="G189" s="133" t="s">
        <v>80</v>
      </c>
      <c r="H189" s="136"/>
    </row>
    <row r="190" spans="1:8" s="70" customFormat="1" ht="13.5" hidden="1" customHeight="1" x14ac:dyDescent="0.2">
      <c r="A190" s="129">
        <v>8.5999999999999993E-2</v>
      </c>
      <c r="B190" s="130"/>
      <c r="C190" s="130">
        <v>60.896000000000001</v>
      </c>
      <c r="D190" s="130"/>
      <c r="E190" s="130">
        <v>59.061</v>
      </c>
      <c r="F190" s="131">
        <f>SUM(A190:E190)</f>
        <v>120.04300000000001</v>
      </c>
      <c r="G190" s="133" t="s">
        <v>81</v>
      </c>
      <c r="H190" s="136"/>
    </row>
    <row r="191" spans="1:8" s="70" customFormat="1" ht="13.5" hidden="1" customHeight="1" x14ac:dyDescent="0.2">
      <c r="A191" s="129">
        <f t="shared" ref="A191:F191" si="49">SUM(A188:A190)</f>
        <v>0.10099999999999999</v>
      </c>
      <c r="B191" s="130"/>
      <c r="C191" s="130">
        <f t="shared" si="49"/>
        <v>180.15100000000001</v>
      </c>
      <c r="D191" s="130"/>
      <c r="E191" s="130">
        <f t="shared" si="49"/>
        <v>162.875</v>
      </c>
      <c r="F191" s="131">
        <f t="shared" si="49"/>
        <v>343.12700000000001</v>
      </c>
      <c r="G191" s="133" t="s">
        <v>49</v>
      </c>
      <c r="H191" s="136"/>
    </row>
    <row r="192" spans="1:8" s="70" customFormat="1" ht="13.5" hidden="1" customHeight="1" x14ac:dyDescent="0.2">
      <c r="A192" s="129">
        <v>0</v>
      </c>
      <c r="B192" s="130"/>
      <c r="C192" s="130">
        <v>73.850999999999999</v>
      </c>
      <c r="D192" s="130"/>
      <c r="E192" s="130">
        <v>49.792000000000002</v>
      </c>
      <c r="F192" s="131">
        <f>SUM(A192:E192)</f>
        <v>123.643</v>
      </c>
      <c r="G192" s="133" t="s">
        <v>83</v>
      </c>
      <c r="H192" s="136"/>
    </row>
    <row r="193" spans="1:8" s="70" customFormat="1" ht="13.5" hidden="1" customHeight="1" x14ac:dyDescent="0.2">
      <c r="A193" s="129">
        <v>0</v>
      </c>
      <c r="B193" s="130"/>
      <c r="C193" s="130">
        <v>64.796000000000006</v>
      </c>
      <c r="D193" s="130"/>
      <c r="E193" s="130">
        <v>53.024999999999999</v>
      </c>
      <c r="F193" s="131">
        <f>SUM(A193:E193)</f>
        <v>117.821</v>
      </c>
      <c r="G193" s="133" t="s">
        <v>84</v>
      </c>
      <c r="H193" s="136"/>
    </row>
    <row r="194" spans="1:8" s="70" customFormat="1" ht="13.5" hidden="1" customHeight="1" x14ac:dyDescent="0.2">
      <c r="A194" s="129">
        <v>1.2E-2</v>
      </c>
      <c r="B194" s="130"/>
      <c r="C194" s="130">
        <v>63.142000000000003</v>
      </c>
      <c r="D194" s="130"/>
      <c r="E194" s="130">
        <v>53.601999999999997</v>
      </c>
      <c r="F194" s="131">
        <f>SUM(A194:E194)</f>
        <v>116.756</v>
      </c>
      <c r="G194" s="133" t="s">
        <v>85</v>
      </c>
      <c r="H194" s="136"/>
    </row>
    <row r="195" spans="1:8" s="70" customFormat="1" ht="13.5" hidden="1" customHeight="1" x14ac:dyDescent="0.2">
      <c r="A195" s="129">
        <f t="shared" ref="A195:F195" si="50">SUM(A192:A194)</f>
        <v>1.2E-2</v>
      </c>
      <c r="B195" s="130"/>
      <c r="C195" s="130">
        <f t="shared" si="50"/>
        <v>201.78899999999999</v>
      </c>
      <c r="D195" s="130"/>
      <c r="E195" s="130">
        <f t="shared" si="50"/>
        <v>156.41900000000001</v>
      </c>
      <c r="F195" s="131">
        <f t="shared" si="50"/>
        <v>358.22</v>
      </c>
      <c r="G195" s="133" t="s">
        <v>50</v>
      </c>
      <c r="H195" s="136"/>
    </row>
    <row r="196" spans="1:8" s="70" customFormat="1" ht="13.5" hidden="1" customHeight="1" x14ac:dyDescent="0.2">
      <c r="A196" s="129">
        <v>3.5999999999999997E-2</v>
      </c>
      <c r="B196" s="130"/>
      <c r="C196" s="130">
        <v>40.61</v>
      </c>
      <c r="D196" s="130"/>
      <c r="E196" s="130">
        <v>42.853999999999999</v>
      </c>
      <c r="F196" s="131">
        <f>SUM(A196:E196)</f>
        <v>83.5</v>
      </c>
      <c r="G196" s="133" t="s">
        <v>87</v>
      </c>
      <c r="H196" s="136"/>
    </row>
    <row r="197" spans="1:8" s="70" customFormat="1" ht="13.5" hidden="1" customHeight="1" x14ac:dyDescent="0.2">
      <c r="A197" s="129">
        <v>0</v>
      </c>
      <c r="B197" s="130"/>
      <c r="C197" s="130">
        <v>65.040999999999997</v>
      </c>
      <c r="D197" s="130"/>
      <c r="E197" s="130">
        <v>52.795000000000002</v>
      </c>
      <c r="F197" s="131">
        <f>SUM(A197:E197)</f>
        <v>117.836</v>
      </c>
      <c r="G197" s="133" t="s">
        <v>88</v>
      </c>
      <c r="H197" s="136"/>
    </row>
    <row r="198" spans="1:8" s="70" customFormat="1" ht="13.5" hidden="1" customHeight="1" x14ac:dyDescent="0.2">
      <c r="A198" s="129">
        <v>9.4E-2</v>
      </c>
      <c r="B198" s="130"/>
      <c r="C198" s="130">
        <v>54.387</v>
      </c>
      <c r="D198" s="130"/>
      <c r="E198" s="130">
        <v>51.44</v>
      </c>
      <c r="F198" s="131">
        <f>SUM(A198:E198)</f>
        <v>105.92099999999999</v>
      </c>
      <c r="G198" s="133" t="s">
        <v>89</v>
      </c>
      <c r="H198" s="136"/>
    </row>
    <row r="199" spans="1:8" s="70" customFormat="1" ht="13.5" hidden="1" customHeight="1" x14ac:dyDescent="0.2">
      <c r="A199" s="129">
        <f t="shared" ref="A199:F199" si="51">SUM(A196:A198)</f>
        <v>0.13</v>
      </c>
      <c r="B199" s="130"/>
      <c r="C199" s="130">
        <f t="shared" si="51"/>
        <v>160.03800000000001</v>
      </c>
      <c r="D199" s="130"/>
      <c r="E199" s="130">
        <f t="shared" si="51"/>
        <v>147.089</v>
      </c>
      <c r="F199" s="131">
        <f t="shared" si="51"/>
        <v>307.25700000000001</v>
      </c>
      <c r="G199" s="133" t="s">
        <v>51</v>
      </c>
      <c r="H199" s="136"/>
    </row>
    <row r="200" spans="1:8" s="70" customFormat="1" ht="13.5" hidden="1" customHeight="1" x14ac:dyDescent="0.2">
      <c r="A200" s="118"/>
      <c r="B200" s="119"/>
      <c r="C200" s="119"/>
      <c r="D200" s="119"/>
      <c r="E200" s="119"/>
      <c r="F200" s="120"/>
      <c r="G200" s="122"/>
      <c r="H200" s="123"/>
    </row>
    <row r="201" spans="1:8" s="70" customFormat="1" ht="13.5" hidden="1" customHeight="1" x14ac:dyDescent="0.2">
      <c r="A201" s="118">
        <v>0</v>
      </c>
      <c r="B201" s="119"/>
      <c r="C201" s="119">
        <v>61.784999999999997</v>
      </c>
      <c r="D201" s="119"/>
      <c r="E201" s="119">
        <v>59.289000000000001</v>
      </c>
      <c r="F201" s="120">
        <f>SUM(A201:E201)</f>
        <v>121.074</v>
      </c>
      <c r="G201" s="122" t="s">
        <v>75</v>
      </c>
      <c r="H201" s="123">
        <v>2017</v>
      </c>
    </row>
    <row r="202" spans="1:8" s="70" customFormat="1" ht="13.5" hidden="1" customHeight="1" x14ac:dyDescent="0.2">
      <c r="A202" s="118">
        <v>0.02</v>
      </c>
      <c r="B202" s="119"/>
      <c r="C202" s="119">
        <v>56.738</v>
      </c>
      <c r="D202" s="119"/>
      <c r="E202" s="119">
        <v>57.113999999999997</v>
      </c>
      <c r="F202" s="120">
        <f>SUM(A202:E202)</f>
        <v>113.872</v>
      </c>
      <c r="G202" s="122" t="s">
        <v>76</v>
      </c>
      <c r="H202" s="123"/>
    </row>
    <row r="203" spans="1:8" s="70" customFormat="1" ht="13.5" hidden="1" customHeight="1" x14ac:dyDescent="0.2">
      <c r="A203" s="118">
        <v>0</v>
      </c>
      <c r="B203" s="119"/>
      <c r="C203" s="119">
        <v>62.97</v>
      </c>
      <c r="D203" s="119"/>
      <c r="E203" s="119">
        <v>60.869</v>
      </c>
      <c r="F203" s="120">
        <f>SUM(A203:E203)</f>
        <v>123.839</v>
      </c>
      <c r="G203" s="122" t="s">
        <v>77</v>
      </c>
      <c r="H203" s="123"/>
    </row>
    <row r="204" spans="1:8" s="70" customFormat="1" ht="13.5" hidden="1" customHeight="1" x14ac:dyDescent="0.2">
      <c r="A204" s="129">
        <f t="shared" ref="A204:F204" si="52">SUM(A201:A203)</f>
        <v>0.02</v>
      </c>
      <c r="B204" s="130"/>
      <c r="C204" s="130">
        <f t="shared" si="52"/>
        <v>181.49299999999999</v>
      </c>
      <c r="D204" s="130"/>
      <c r="E204" s="130">
        <f t="shared" si="52"/>
        <v>177.27199999999999</v>
      </c>
      <c r="F204" s="131">
        <f t="shared" si="52"/>
        <v>358.78499999999997</v>
      </c>
      <c r="G204" s="133" t="s">
        <v>48</v>
      </c>
      <c r="H204" s="136">
        <v>2017</v>
      </c>
    </row>
    <row r="205" spans="1:8" s="70" customFormat="1" ht="13.5" hidden="1" customHeight="1" x14ac:dyDescent="0.2">
      <c r="A205" s="129">
        <v>0</v>
      </c>
      <c r="B205" s="130"/>
      <c r="C205" s="130">
        <v>54.335999999999999</v>
      </c>
      <c r="D205" s="130"/>
      <c r="E205" s="130">
        <v>62.82</v>
      </c>
      <c r="F205" s="131">
        <f>SUM(A205:E205)</f>
        <v>117.15600000000001</v>
      </c>
      <c r="G205" s="133" t="s">
        <v>79</v>
      </c>
      <c r="H205" s="136"/>
    </row>
    <row r="206" spans="1:8" s="70" customFormat="1" ht="13.5" hidden="1" customHeight="1" x14ac:dyDescent="0.2">
      <c r="A206" s="129">
        <v>1.2E-2</v>
      </c>
      <c r="B206" s="130"/>
      <c r="C206" s="130">
        <v>66.387</v>
      </c>
      <c r="D206" s="130"/>
      <c r="E206" s="130">
        <v>63.582000000000001</v>
      </c>
      <c r="F206" s="131">
        <f>SUM(A206:E206)</f>
        <v>129.98099999999999</v>
      </c>
      <c r="G206" s="133" t="s">
        <v>80</v>
      </c>
      <c r="H206" s="136"/>
    </row>
    <row r="207" spans="1:8" s="70" customFormat="1" ht="13.5" hidden="1" customHeight="1" x14ac:dyDescent="0.2">
      <c r="A207" s="129">
        <v>0</v>
      </c>
      <c r="B207" s="130"/>
      <c r="C207" s="130">
        <v>72.262</v>
      </c>
      <c r="D207" s="130"/>
      <c r="E207" s="130">
        <v>65.253</v>
      </c>
      <c r="F207" s="131">
        <f>SUM(A207:E207)</f>
        <v>137.51499999999999</v>
      </c>
      <c r="G207" s="133" t="s">
        <v>81</v>
      </c>
      <c r="H207" s="136"/>
    </row>
    <row r="208" spans="1:8" s="70" customFormat="1" ht="13.5" hidden="1" customHeight="1" x14ac:dyDescent="0.2">
      <c r="A208" s="129">
        <f t="shared" ref="A208:F208" si="53">SUM(A205:A207)</f>
        <v>1.2E-2</v>
      </c>
      <c r="B208" s="130"/>
      <c r="C208" s="130">
        <f t="shared" si="53"/>
        <v>192.98500000000001</v>
      </c>
      <c r="D208" s="130"/>
      <c r="E208" s="130">
        <f t="shared" si="53"/>
        <v>191.655</v>
      </c>
      <c r="F208" s="131">
        <f t="shared" si="53"/>
        <v>384.65199999999999</v>
      </c>
      <c r="G208" s="133" t="s">
        <v>49</v>
      </c>
      <c r="H208" s="136"/>
    </row>
    <row r="209" spans="1:8" s="70" customFormat="1" ht="13.5" hidden="1" customHeight="1" x14ac:dyDescent="0.2">
      <c r="A209" s="129">
        <v>0</v>
      </c>
      <c r="B209" s="130"/>
      <c r="C209" s="130">
        <v>67.763999999999996</v>
      </c>
      <c r="D209" s="130"/>
      <c r="E209" s="130">
        <v>57.012999999999998</v>
      </c>
      <c r="F209" s="131">
        <f>SUM(A209:E209)</f>
        <v>124.77699999999999</v>
      </c>
      <c r="G209" s="133" t="s">
        <v>83</v>
      </c>
      <c r="H209" s="136"/>
    </row>
    <row r="210" spans="1:8" s="70" customFormat="1" ht="13.5" hidden="1" customHeight="1" x14ac:dyDescent="0.2">
      <c r="A210" s="129">
        <v>1.2999999999999999E-2</v>
      </c>
      <c r="B210" s="130"/>
      <c r="C210" s="130">
        <v>60.402999999999999</v>
      </c>
      <c r="D210" s="130"/>
      <c r="E210" s="130">
        <v>58.249000000000002</v>
      </c>
      <c r="F210" s="131">
        <f>SUM(A210:E210)</f>
        <v>118.66499999999999</v>
      </c>
      <c r="G210" s="133" t="s">
        <v>84</v>
      </c>
      <c r="H210" s="136"/>
    </row>
    <row r="211" spans="1:8" s="70" customFormat="1" ht="13.5" hidden="1" customHeight="1" x14ac:dyDescent="0.2">
      <c r="A211" s="129">
        <v>1.4E-2</v>
      </c>
      <c r="B211" s="130"/>
      <c r="C211" s="130">
        <v>56.915999999999997</v>
      </c>
      <c r="D211" s="130"/>
      <c r="E211" s="130">
        <v>51.637</v>
      </c>
      <c r="F211" s="131">
        <f>SUM(A211:E211)</f>
        <v>108.56700000000001</v>
      </c>
      <c r="G211" s="133" t="s">
        <v>85</v>
      </c>
      <c r="H211" s="136"/>
    </row>
    <row r="212" spans="1:8" s="70" customFormat="1" ht="13.5" hidden="1" customHeight="1" x14ac:dyDescent="0.2">
      <c r="A212" s="129">
        <f>SUM(A209:A211)</f>
        <v>2.7E-2</v>
      </c>
      <c r="B212" s="130"/>
      <c r="C212" s="130">
        <f t="shared" ref="C212:F212" si="54">SUM(C209:C211)</f>
        <v>185.083</v>
      </c>
      <c r="D212" s="130"/>
      <c r="E212" s="130">
        <f t="shared" si="54"/>
        <v>166.899</v>
      </c>
      <c r="F212" s="131">
        <f t="shared" si="54"/>
        <v>352.00900000000001</v>
      </c>
      <c r="G212" s="133" t="s">
        <v>50</v>
      </c>
      <c r="H212" s="136"/>
    </row>
    <row r="213" spans="1:8" s="70" customFormat="1" ht="13.5" hidden="1" customHeight="1" x14ac:dyDescent="0.2">
      <c r="A213" s="129">
        <v>6.0999999999999999E-2</v>
      </c>
      <c r="B213" s="130"/>
      <c r="C213" s="130">
        <v>57.627000000000002</v>
      </c>
      <c r="D213" s="130"/>
      <c r="E213" s="130">
        <v>54.168999999999997</v>
      </c>
      <c r="F213" s="131">
        <f>SUM(A213:E213)</f>
        <v>111.857</v>
      </c>
      <c r="G213" s="133" t="s">
        <v>87</v>
      </c>
      <c r="H213" s="136"/>
    </row>
    <row r="214" spans="1:8" s="70" customFormat="1" ht="13.5" hidden="1" customHeight="1" x14ac:dyDescent="0.2">
      <c r="A214" s="129">
        <v>1.4999999999999999E-2</v>
      </c>
      <c r="B214" s="130"/>
      <c r="C214" s="130">
        <v>63.210999999999999</v>
      </c>
      <c r="D214" s="130"/>
      <c r="E214" s="130">
        <v>53.872</v>
      </c>
      <c r="F214" s="131">
        <f>SUM(A214:E214)</f>
        <v>117.098</v>
      </c>
      <c r="G214" s="133" t="s">
        <v>88</v>
      </c>
      <c r="H214" s="136"/>
    </row>
    <row r="215" spans="1:8" s="70" customFormat="1" ht="13.5" hidden="1" customHeight="1" x14ac:dyDescent="0.2">
      <c r="A215" s="129">
        <v>2.5999999999999999E-2</v>
      </c>
      <c r="B215" s="130"/>
      <c r="C215" s="130">
        <v>58.893000000000001</v>
      </c>
      <c r="D215" s="130"/>
      <c r="E215" s="130">
        <v>52.707000000000001</v>
      </c>
      <c r="F215" s="131">
        <f>SUM(A215:E215)</f>
        <v>111.626</v>
      </c>
      <c r="G215" s="133" t="s">
        <v>89</v>
      </c>
      <c r="H215" s="136"/>
    </row>
    <row r="216" spans="1:8" s="70" customFormat="1" ht="13.5" hidden="1" customHeight="1" x14ac:dyDescent="0.2">
      <c r="A216" s="129">
        <f t="shared" ref="A216:F216" si="55">SUM(A213:A215)</f>
        <v>0.10199999999999999</v>
      </c>
      <c r="B216" s="130"/>
      <c r="C216" s="130">
        <f t="shared" si="55"/>
        <v>179.73099999999999</v>
      </c>
      <c r="D216" s="130"/>
      <c r="E216" s="130">
        <f t="shared" si="55"/>
        <v>160.74799999999999</v>
      </c>
      <c r="F216" s="131">
        <f t="shared" si="55"/>
        <v>340.58100000000002</v>
      </c>
      <c r="G216" s="133" t="s">
        <v>51</v>
      </c>
      <c r="H216" s="136"/>
    </row>
    <row r="217" spans="1:8" s="70" customFormat="1" ht="9" hidden="1" customHeight="1" x14ac:dyDescent="0.2">
      <c r="A217" s="118"/>
      <c r="B217" s="119"/>
      <c r="C217" s="119"/>
      <c r="D217" s="119"/>
      <c r="E217" s="119"/>
      <c r="F217" s="120"/>
      <c r="G217" s="122"/>
      <c r="H217" s="123"/>
    </row>
    <row r="218" spans="1:8" s="70" customFormat="1" ht="13.5" hidden="1" customHeight="1" x14ac:dyDescent="0.2">
      <c r="A218" s="129">
        <v>0</v>
      </c>
      <c r="B218" s="130"/>
      <c r="C218" s="130">
        <v>54.944000000000003</v>
      </c>
      <c r="D218" s="130"/>
      <c r="E218" s="130">
        <v>58.411999999999999</v>
      </c>
      <c r="F218" s="131">
        <f>SUM(A218:E218)</f>
        <v>113.35599999999999</v>
      </c>
      <c r="G218" s="133" t="s">
        <v>75</v>
      </c>
      <c r="H218" s="136">
        <v>2018</v>
      </c>
    </row>
    <row r="219" spans="1:8" s="70" customFormat="1" ht="13.5" hidden="1" customHeight="1" x14ac:dyDescent="0.2">
      <c r="A219" s="129">
        <v>0</v>
      </c>
      <c r="B219" s="130"/>
      <c r="C219" s="130">
        <v>47.941000000000003</v>
      </c>
      <c r="D219" s="130"/>
      <c r="E219" s="130">
        <v>58.192</v>
      </c>
      <c r="F219" s="131">
        <f>SUM(A219:E219)</f>
        <v>106.13300000000001</v>
      </c>
      <c r="G219" s="133" t="s">
        <v>76</v>
      </c>
      <c r="H219" s="136"/>
    </row>
    <row r="220" spans="1:8" s="70" customFormat="1" ht="13.5" hidden="1" customHeight="1" x14ac:dyDescent="0.2">
      <c r="A220" s="129">
        <v>1.4999999999999999E-2</v>
      </c>
      <c r="B220" s="130"/>
      <c r="C220" s="130">
        <v>57.613999999999997</v>
      </c>
      <c r="D220" s="130"/>
      <c r="E220" s="130">
        <v>64.394999999999996</v>
      </c>
      <c r="F220" s="131">
        <f>SUM(A220:E220)</f>
        <v>122.024</v>
      </c>
      <c r="G220" s="133" t="s">
        <v>77</v>
      </c>
      <c r="H220" s="136"/>
    </row>
    <row r="221" spans="1:8" s="70" customFormat="1" ht="13.5" customHeight="1" x14ac:dyDescent="0.2">
      <c r="A221" s="129">
        <f t="shared" ref="A221:F221" si="56">SUM(A218:A220)</f>
        <v>1.4999999999999999E-2</v>
      </c>
      <c r="B221" s="130"/>
      <c r="C221" s="147">
        <f t="shared" si="56"/>
        <v>160.499</v>
      </c>
      <c r="D221" s="147"/>
      <c r="E221" s="147">
        <f t="shared" si="56"/>
        <v>180.999</v>
      </c>
      <c r="F221" s="131">
        <f t="shared" si="56"/>
        <v>341.51300000000003</v>
      </c>
      <c r="G221" s="133" t="s">
        <v>48</v>
      </c>
      <c r="H221" s="136">
        <v>2018</v>
      </c>
    </row>
    <row r="222" spans="1:8" s="70" customFormat="1" ht="13.5" hidden="1" customHeight="1" x14ac:dyDescent="0.2">
      <c r="A222" s="129">
        <v>0</v>
      </c>
      <c r="B222" s="130"/>
      <c r="C222" s="147">
        <v>55.61</v>
      </c>
      <c r="D222" s="147"/>
      <c r="E222" s="147">
        <v>65.403999999999996</v>
      </c>
      <c r="F222" s="131">
        <f>SUM(A222:E222)</f>
        <v>121.014</v>
      </c>
      <c r="G222" s="133" t="s">
        <v>79</v>
      </c>
      <c r="H222" s="136"/>
    </row>
    <row r="223" spans="1:8" s="70" customFormat="1" ht="13.5" hidden="1" customHeight="1" x14ac:dyDescent="0.2">
      <c r="A223" s="129">
        <v>0</v>
      </c>
      <c r="B223" s="130"/>
      <c r="C223" s="147">
        <v>46.749000000000002</v>
      </c>
      <c r="D223" s="147"/>
      <c r="E223" s="147">
        <v>65.394000000000005</v>
      </c>
      <c r="F223" s="131">
        <f>SUM(A223:E223)</f>
        <v>112.143</v>
      </c>
      <c r="G223" s="133" t="s">
        <v>80</v>
      </c>
      <c r="H223" s="136"/>
    </row>
    <row r="224" spans="1:8" s="70" customFormat="1" ht="13.5" hidden="1" customHeight="1" x14ac:dyDescent="0.2">
      <c r="A224" s="129">
        <v>0</v>
      </c>
      <c r="B224" s="130"/>
      <c r="C224" s="147">
        <v>66.063000000000002</v>
      </c>
      <c r="D224" s="147"/>
      <c r="E224" s="147">
        <v>68.510000000000005</v>
      </c>
      <c r="F224" s="131">
        <f>SUM(A224:E224)</f>
        <v>134.57300000000001</v>
      </c>
      <c r="G224" s="133" t="s">
        <v>81</v>
      </c>
      <c r="H224" s="136"/>
    </row>
    <row r="225" spans="1:8" s="70" customFormat="1" ht="13.5" customHeight="1" x14ac:dyDescent="0.2">
      <c r="A225" s="146">
        <f t="shared" ref="A225:F225" si="57">SUM(A222:A224)</f>
        <v>0</v>
      </c>
      <c r="B225" s="147"/>
      <c r="C225" s="147">
        <f t="shared" si="57"/>
        <v>168.42200000000003</v>
      </c>
      <c r="D225" s="147"/>
      <c r="E225" s="147">
        <f t="shared" si="57"/>
        <v>199.30799999999999</v>
      </c>
      <c r="F225" s="131">
        <f t="shared" si="57"/>
        <v>367.73</v>
      </c>
      <c r="G225" s="133" t="s">
        <v>49</v>
      </c>
      <c r="H225" s="136"/>
    </row>
    <row r="226" spans="1:8" s="70" customFormat="1" ht="13.5" hidden="1" customHeight="1" x14ac:dyDescent="0.2">
      <c r="A226" s="146">
        <v>1.7999999999999999E-2</v>
      </c>
      <c r="B226" s="147"/>
      <c r="C226" s="147">
        <v>73.403000000000006</v>
      </c>
      <c r="D226" s="147"/>
      <c r="E226" s="147">
        <v>72.957999999999998</v>
      </c>
      <c r="F226" s="131">
        <f>SUM(A226:E226)</f>
        <v>146.37900000000002</v>
      </c>
      <c r="G226" s="133" t="s">
        <v>83</v>
      </c>
      <c r="H226" s="136"/>
    </row>
    <row r="227" spans="1:8" s="70" customFormat="1" ht="13.5" hidden="1" customHeight="1" x14ac:dyDescent="0.2">
      <c r="A227" s="146">
        <v>0.1</v>
      </c>
      <c r="B227" s="147"/>
      <c r="C227" s="147">
        <v>70.147000000000006</v>
      </c>
      <c r="D227" s="147"/>
      <c r="E227" s="147">
        <v>64.843000000000004</v>
      </c>
      <c r="F227" s="131">
        <f>SUM(A227:E227)</f>
        <v>135.09</v>
      </c>
      <c r="G227" s="133" t="s">
        <v>84</v>
      </c>
      <c r="H227" s="136"/>
    </row>
    <row r="228" spans="1:8" s="70" customFormat="1" ht="13.5" hidden="1" customHeight="1" x14ac:dyDescent="0.2">
      <c r="A228" s="146">
        <v>2.7E-2</v>
      </c>
      <c r="B228" s="147"/>
      <c r="C228" s="147">
        <v>44.237000000000002</v>
      </c>
      <c r="D228" s="147"/>
      <c r="E228" s="147">
        <v>55.527000000000001</v>
      </c>
      <c r="F228" s="131">
        <f>SUM(A228:E228)</f>
        <v>99.790999999999997</v>
      </c>
      <c r="G228" s="133" t="s">
        <v>85</v>
      </c>
      <c r="H228" s="136"/>
    </row>
    <row r="229" spans="1:8" s="70" customFormat="1" ht="13.5" customHeight="1" x14ac:dyDescent="0.2">
      <c r="A229" s="146">
        <f t="shared" ref="A229:F229" si="58">SUM(A226:A228)</f>
        <v>0.14500000000000002</v>
      </c>
      <c r="B229" s="147"/>
      <c r="C229" s="147">
        <f t="shared" si="58"/>
        <v>187.78700000000001</v>
      </c>
      <c r="D229" s="147"/>
      <c r="E229" s="147">
        <f t="shared" si="58"/>
        <v>193.32799999999997</v>
      </c>
      <c r="F229" s="131">
        <f t="shared" si="58"/>
        <v>381.26000000000005</v>
      </c>
      <c r="G229" s="133" t="s">
        <v>50</v>
      </c>
      <c r="H229" s="136"/>
    </row>
    <row r="230" spans="1:8" s="70" customFormat="1" ht="13.5" hidden="1" customHeight="1" x14ac:dyDescent="0.2">
      <c r="A230" s="146">
        <v>0</v>
      </c>
      <c r="B230" s="147"/>
      <c r="C230" s="147">
        <v>67.313999999999993</v>
      </c>
      <c r="D230" s="147"/>
      <c r="E230" s="147">
        <v>64.552000000000007</v>
      </c>
      <c r="F230" s="131">
        <f>SUM(A230:E230)</f>
        <v>131.86599999999999</v>
      </c>
      <c r="G230" s="133" t="s">
        <v>87</v>
      </c>
      <c r="H230" s="136"/>
    </row>
    <row r="231" spans="1:8" s="70" customFormat="1" ht="13.5" hidden="1" customHeight="1" x14ac:dyDescent="0.2">
      <c r="A231" s="146">
        <v>0</v>
      </c>
      <c r="B231" s="147"/>
      <c r="C231" s="147">
        <v>68.626000000000005</v>
      </c>
      <c r="D231" s="147"/>
      <c r="E231" s="147">
        <v>63.481999999999999</v>
      </c>
      <c r="F231" s="131">
        <f>SUM(A231:E231)</f>
        <v>132.108</v>
      </c>
      <c r="G231" s="133" t="s">
        <v>88</v>
      </c>
      <c r="H231" s="136"/>
    </row>
    <row r="232" spans="1:8" s="70" customFormat="1" ht="13.5" hidden="1" customHeight="1" x14ac:dyDescent="0.2">
      <c r="A232" s="146">
        <v>5.5E-2</v>
      </c>
      <c r="B232" s="147"/>
      <c r="C232" s="147">
        <v>56.804000000000002</v>
      </c>
      <c r="D232" s="147"/>
      <c r="E232" s="147">
        <v>58.981999999999999</v>
      </c>
      <c r="F232" s="131">
        <f>SUM(A232:E232)</f>
        <v>115.84100000000001</v>
      </c>
      <c r="G232" s="133" t="s">
        <v>89</v>
      </c>
      <c r="H232" s="136"/>
    </row>
    <row r="233" spans="1:8" s="70" customFormat="1" ht="13.5" customHeight="1" x14ac:dyDescent="0.2">
      <c r="A233" s="146">
        <f t="shared" ref="A233:F233" si="59">SUM(A230:A232)</f>
        <v>5.5E-2</v>
      </c>
      <c r="B233" s="147"/>
      <c r="C233" s="147">
        <f t="shared" si="59"/>
        <v>192.744</v>
      </c>
      <c r="D233" s="147"/>
      <c r="E233" s="147">
        <f t="shared" si="59"/>
        <v>187.01599999999999</v>
      </c>
      <c r="F233" s="131">
        <f t="shared" si="59"/>
        <v>379.815</v>
      </c>
      <c r="G233" s="133" t="s">
        <v>51</v>
      </c>
      <c r="H233" s="136"/>
    </row>
    <row r="234" spans="1:8" s="70" customFormat="1" ht="13.5" customHeight="1" x14ac:dyDescent="0.2">
      <c r="A234" s="143"/>
      <c r="B234" s="144"/>
      <c r="C234" s="144"/>
      <c r="D234" s="144"/>
      <c r="E234" s="144"/>
      <c r="F234" s="120"/>
      <c r="G234" s="122"/>
      <c r="H234" s="123"/>
    </row>
    <row r="235" spans="1:8" s="70" customFormat="1" ht="13.5" hidden="1" customHeight="1" x14ac:dyDescent="0.2">
      <c r="A235" s="143">
        <v>1.6E-2</v>
      </c>
      <c r="B235" s="144"/>
      <c r="C235" s="144">
        <v>57.286999999999999</v>
      </c>
      <c r="D235" s="144"/>
      <c r="E235" s="144">
        <v>63.491999999999997</v>
      </c>
      <c r="F235" s="120">
        <f>SUM(A235:E235)</f>
        <v>120.79499999999999</v>
      </c>
      <c r="G235" s="122" t="s">
        <v>75</v>
      </c>
      <c r="H235" s="123">
        <v>2019</v>
      </c>
    </row>
    <row r="236" spans="1:8" s="70" customFormat="1" ht="13.5" hidden="1" customHeight="1" x14ac:dyDescent="0.2">
      <c r="A236" s="143">
        <v>0</v>
      </c>
      <c r="B236" s="144"/>
      <c r="C236" s="144">
        <v>65.084999999999994</v>
      </c>
      <c r="D236" s="144"/>
      <c r="E236" s="144">
        <v>58.509</v>
      </c>
      <c r="F236" s="120">
        <f>SUM(A236:E236)</f>
        <v>123.59399999999999</v>
      </c>
      <c r="G236" s="122" t="s">
        <v>76</v>
      </c>
      <c r="H236" s="123"/>
    </row>
    <row r="237" spans="1:8" s="70" customFormat="1" ht="13.5" hidden="1" customHeight="1" x14ac:dyDescent="0.2">
      <c r="A237" s="143">
        <v>0</v>
      </c>
      <c r="B237" s="144"/>
      <c r="C237" s="144">
        <v>54.773000000000003</v>
      </c>
      <c r="D237" s="144"/>
      <c r="E237" s="144">
        <v>62.515000000000001</v>
      </c>
      <c r="F237" s="120">
        <f>SUM(A237:E237)</f>
        <v>117.28800000000001</v>
      </c>
      <c r="G237" s="122" t="s">
        <v>77</v>
      </c>
      <c r="H237" s="123"/>
    </row>
    <row r="238" spans="1:8" s="70" customFormat="1" ht="13.5" customHeight="1" x14ac:dyDescent="0.2">
      <c r="A238" s="146">
        <f t="shared" ref="A238:F238" si="60">SUM(A235:A237)</f>
        <v>1.6E-2</v>
      </c>
      <c r="B238" s="147"/>
      <c r="C238" s="147">
        <f t="shared" si="60"/>
        <v>177.14499999999998</v>
      </c>
      <c r="D238" s="147"/>
      <c r="E238" s="147">
        <f t="shared" si="60"/>
        <v>184.51600000000002</v>
      </c>
      <c r="F238" s="131">
        <f t="shared" si="60"/>
        <v>361.67700000000002</v>
      </c>
      <c r="G238" s="133" t="s">
        <v>48</v>
      </c>
      <c r="H238" s="136">
        <v>2019</v>
      </c>
    </row>
    <row r="239" spans="1:8" s="70" customFormat="1" ht="13.5" hidden="1" customHeight="1" x14ac:dyDescent="0.2">
      <c r="A239" s="146">
        <v>0</v>
      </c>
      <c r="B239" s="147"/>
      <c r="C239" s="147">
        <v>64.361000000000004</v>
      </c>
      <c r="D239" s="147"/>
      <c r="E239" s="147">
        <v>63.572000000000003</v>
      </c>
      <c r="F239" s="131">
        <f>SUM(A239:E239)</f>
        <v>127.93300000000001</v>
      </c>
      <c r="G239" s="133" t="s">
        <v>79</v>
      </c>
      <c r="H239" s="136"/>
    </row>
    <row r="240" spans="1:8" s="70" customFormat="1" ht="13.5" hidden="1" customHeight="1" x14ac:dyDescent="0.2">
      <c r="A240" s="146">
        <v>0</v>
      </c>
      <c r="B240" s="147"/>
      <c r="C240" s="147">
        <v>65.756</v>
      </c>
      <c r="D240" s="147"/>
      <c r="E240" s="147">
        <v>62.807000000000002</v>
      </c>
      <c r="F240" s="131">
        <f>SUM(A240:E240)</f>
        <v>128.56299999999999</v>
      </c>
      <c r="G240" s="133" t="s">
        <v>80</v>
      </c>
      <c r="H240" s="136"/>
    </row>
    <row r="241" spans="1:8" s="70" customFormat="1" ht="13.5" hidden="1" customHeight="1" x14ac:dyDescent="0.2">
      <c r="A241" s="146">
        <v>4.0000000000000001E-3</v>
      </c>
      <c r="B241" s="147"/>
      <c r="C241" s="147">
        <v>71.225999999999999</v>
      </c>
      <c r="D241" s="147"/>
      <c r="E241" s="147">
        <v>58.88</v>
      </c>
      <c r="F241" s="131">
        <f>SUM(A241:E241)</f>
        <v>130.11000000000001</v>
      </c>
      <c r="G241" s="133" t="s">
        <v>81</v>
      </c>
      <c r="H241" s="136"/>
    </row>
    <row r="242" spans="1:8" s="70" customFormat="1" ht="13.5" customHeight="1" x14ac:dyDescent="0.2">
      <c r="A242" s="146">
        <f t="shared" ref="A242:F242" si="61">SUM(A239:A241)</f>
        <v>4.0000000000000001E-3</v>
      </c>
      <c r="B242" s="147"/>
      <c r="C242" s="147">
        <f t="shared" si="61"/>
        <v>201.34300000000002</v>
      </c>
      <c r="D242" s="147"/>
      <c r="E242" s="147">
        <f t="shared" si="61"/>
        <v>185.25900000000001</v>
      </c>
      <c r="F242" s="131">
        <f t="shared" si="61"/>
        <v>386.60599999999999</v>
      </c>
      <c r="G242" s="133" t="s">
        <v>49</v>
      </c>
      <c r="H242" s="136"/>
    </row>
    <row r="243" spans="1:8" s="70" customFormat="1" ht="13.5" hidden="1" customHeight="1" x14ac:dyDescent="0.2">
      <c r="A243" s="146">
        <v>3.7999999999999999E-2</v>
      </c>
      <c r="B243" s="147"/>
      <c r="C243" s="147">
        <v>73.661000000000001</v>
      </c>
      <c r="D243" s="147"/>
      <c r="E243" s="147">
        <v>61.716000000000001</v>
      </c>
      <c r="F243" s="131">
        <f>SUM(A243:E243)</f>
        <v>135.41499999999999</v>
      </c>
      <c r="G243" s="133" t="s">
        <v>83</v>
      </c>
      <c r="H243" s="136"/>
    </row>
    <row r="244" spans="1:8" s="70" customFormat="1" ht="13.5" hidden="1" customHeight="1" x14ac:dyDescent="0.2">
      <c r="A244" s="146">
        <v>5.0000000000000001E-3</v>
      </c>
      <c r="B244" s="147"/>
      <c r="C244" s="147">
        <v>63.075000000000003</v>
      </c>
      <c r="D244" s="147"/>
      <c r="E244" s="147">
        <v>55.524999999999999</v>
      </c>
      <c r="F244" s="131">
        <f>SUM(A244:E244)</f>
        <v>118.605</v>
      </c>
      <c r="G244" s="133" t="s">
        <v>84</v>
      </c>
      <c r="H244" s="136"/>
    </row>
    <row r="245" spans="1:8" s="70" customFormat="1" ht="13.5" hidden="1" customHeight="1" x14ac:dyDescent="0.2">
      <c r="A245" s="146">
        <v>0.01</v>
      </c>
      <c r="B245" s="147"/>
      <c r="C245" s="147">
        <v>61.344000000000001</v>
      </c>
      <c r="D245" s="147"/>
      <c r="E245" s="147">
        <v>53.636000000000003</v>
      </c>
      <c r="F245" s="131">
        <f>SUM(A245:E245)</f>
        <v>114.99000000000001</v>
      </c>
      <c r="G245" s="133" t="s">
        <v>85</v>
      </c>
      <c r="H245" s="136"/>
    </row>
    <row r="246" spans="1:8" s="70" customFormat="1" ht="13.5" customHeight="1" x14ac:dyDescent="0.2">
      <c r="A246" s="146">
        <f t="shared" ref="A246:F246" si="62">SUM(A243:A245)</f>
        <v>5.2999999999999999E-2</v>
      </c>
      <c r="B246" s="147"/>
      <c r="C246" s="147">
        <f t="shared" si="62"/>
        <v>198.07999999999998</v>
      </c>
      <c r="D246" s="147"/>
      <c r="E246" s="147">
        <f t="shared" si="62"/>
        <v>170.87700000000001</v>
      </c>
      <c r="F246" s="131">
        <f t="shared" si="62"/>
        <v>369.01</v>
      </c>
      <c r="G246" s="133" t="s">
        <v>50</v>
      </c>
      <c r="H246" s="136"/>
    </row>
    <row r="247" spans="1:8" s="70" customFormat="1" ht="13.5" hidden="1" customHeight="1" x14ac:dyDescent="0.2">
      <c r="A247" s="146">
        <v>3.1E-2</v>
      </c>
      <c r="B247" s="147"/>
      <c r="C247" s="147">
        <v>46.289000000000001</v>
      </c>
      <c r="D247" s="147"/>
      <c r="E247" s="147">
        <v>57.716000000000001</v>
      </c>
      <c r="F247" s="131">
        <f>SUM(A247:E247)</f>
        <v>104.036</v>
      </c>
      <c r="G247" s="133" t="s">
        <v>87</v>
      </c>
      <c r="H247" s="136"/>
    </row>
    <row r="248" spans="1:8" s="70" customFormat="1" ht="13.5" hidden="1" customHeight="1" x14ac:dyDescent="0.2">
      <c r="A248" s="146">
        <v>4.0000000000000001E-3</v>
      </c>
      <c r="B248" s="147"/>
      <c r="C248" s="147">
        <v>60.158000000000001</v>
      </c>
      <c r="D248" s="147"/>
      <c r="E248" s="147">
        <v>61.162999999999997</v>
      </c>
      <c r="F248" s="131">
        <f>SUM(A248:E248)</f>
        <v>121.32499999999999</v>
      </c>
      <c r="G248" s="133" t="s">
        <v>88</v>
      </c>
      <c r="H248" s="136"/>
    </row>
    <row r="249" spans="1:8" s="70" customFormat="1" ht="13.5" hidden="1" customHeight="1" x14ac:dyDescent="0.2">
      <c r="A249" s="146">
        <v>8.9999999999999993E-3</v>
      </c>
      <c r="B249" s="147"/>
      <c r="C249" s="147">
        <v>48.923999999999999</v>
      </c>
      <c r="D249" s="147"/>
      <c r="E249" s="147">
        <v>58.817999999999998</v>
      </c>
      <c r="F249" s="131">
        <f>SUM(A249:E249)</f>
        <v>107.751</v>
      </c>
      <c r="G249" s="133" t="s">
        <v>89</v>
      </c>
      <c r="H249" s="136"/>
    </row>
    <row r="250" spans="1:8" s="70" customFormat="1" ht="13.5" customHeight="1" x14ac:dyDescent="0.2">
      <c r="A250" s="146">
        <f t="shared" ref="A250:F250" si="63">SUM(A247:A249)</f>
        <v>4.4000000000000004E-2</v>
      </c>
      <c r="B250" s="147"/>
      <c r="C250" s="147">
        <f t="shared" si="63"/>
        <v>155.37100000000001</v>
      </c>
      <c r="D250" s="147"/>
      <c r="E250" s="147">
        <f t="shared" si="63"/>
        <v>177.697</v>
      </c>
      <c r="F250" s="131">
        <f t="shared" si="63"/>
        <v>333.11199999999997</v>
      </c>
      <c r="G250" s="133" t="s">
        <v>51</v>
      </c>
      <c r="H250" s="136"/>
    </row>
    <row r="251" spans="1:8" s="70" customFormat="1" ht="9" customHeight="1" x14ac:dyDescent="0.2">
      <c r="A251" s="146"/>
      <c r="B251" s="147"/>
      <c r="C251" s="147"/>
      <c r="D251" s="147"/>
      <c r="E251" s="147"/>
      <c r="F251" s="131"/>
      <c r="G251" s="133"/>
      <c r="H251" s="136"/>
    </row>
    <row r="252" spans="1:8" s="70" customFormat="1" ht="13.5" hidden="1" customHeight="1" x14ac:dyDescent="0.2">
      <c r="A252" s="143">
        <v>7.3999999999999996E-2</v>
      </c>
      <c r="B252" s="144"/>
      <c r="C252" s="144">
        <v>52.523000000000003</v>
      </c>
      <c r="D252" s="144"/>
      <c r="E252" s="144">
        <v>65.418000000000006</v>
      </c>
      <c r="F252" s="120">
        <f>SUM(A252:E252)</f>
        <v>118.01500000000001</v>
      </c>
      <c r="G252" s="122" t="s">
        <v>75</v>
      </c>
      <c r="H252" s="123">
        <v>2020</v>
      </c>
    </row>
    <row r="253" spans="1:8" s="70" customFormat="1" ht="13.5" hidden="1" customHeight="1" x14ac:dyDescent="0.2">
      <c r="A253" s="143">
        <v>3.5999999999999997E-2</v>
      </c>
      <c r="B253" s="144"/>
      <c r="C253" s="144">
        <v>61.026000000000003</v>
      </c>
      <c r="D253" s="144"/>
      <c r="E253" s="144">
        <v>61.725000000000001</v>
      </c>
      <c r="F253" s="120">
        <f t="shared" ref="F253:F258" si="64">SUM(A253:E253)</f>
        <v>122.78700000000001</v>
      </c>
      <c r="G253" s="122" t="s">
        <v>76</v>
      </c>
      <c r="H253" s="123"/>
    </row>
    <row r="254" spans="1:8" s="70" customFormat="1" ht="13.5" hidden="1" customHeight="1" x14ac:dyDescent="0.2">
      <c r="A254" s="143">
        <v>0</v>
      </c>
      <c r="B254" s="144"/>
      <c r="C254" s="144">
        <v>55.448</v>
      </c>
      <c r="D254" s="144"/>
      <c r="E254" s="144">
        <v>63.98</v>
      </c>
      <c r="F254" s="120">
        <f t="shared" si="64"/>
        <v>119.428</v>
      </c>
      <c r="G254" s="122" t="s">
        <v>77</v>
      </c>
      <c r="H254" s="123"/>
    </row>
    <row r="255" spans="1:8" s="70" customFormat="1" ht="13.5" customHeight="1" x14ac:dyDescent="0.2">
      <c r="A255" s="146">
        <f t="shared" ref="A255:F255" si="65">SUM(A252:A254)</f>
        <v>0.10999999999999999</v>
      </c>
      <c r="B255" s="147"/>
      <c r="C255" s="147">
        <f t="shared" si="65"/>
        <v>168.99700000000001</v>
      </c>
      <c r="D255" s="147"/>
      <c r="E255" s="147">
        <f t="shared" si="65"/>
        <v>191.12299999999999</v>
      </c>
      <c r="F255" s="131">
        <f t="shared" si="65"/>
        <v>360.23</v>
      </c>
      <c r="G255" s="133" t="s">
        <v>48</v>
      </c>
      <c r="H255" s="136">
        <v>2020</v>
      </c>
    </row>
    <row r="256" spans="1:8" s="70" customFormat="1" ht="13.5" hidden="1" customHeight="1" x14ac:dyDescent="0.2">
      <c r="A256" s="146">
        <v>0</v>
      </c>
      <c r="B256" s="147"/>
      <c r="C256" s="147">
        <v>52.378</v>
      </c>
      <c r="D256" s="147"/>
      <c r="E256" s="147">
        <v>69.516999999999996</v>
      </c>
      <c r="F256" s="131">
        <f t="shared" si="64"/>
        <v>121.895</v>
      </c>
      <c r="G256" s="133" t="s">
        <v>79</v>
      </c>
      <c r="H256" s="136"/>
    </row>
    <row r="257" spans="1:8" s="70" customFormat="1" ht="13.5" hidden="1" customHeight="1" x14ac:dyDescent="0.2">
      <c r="A257" s="146">
        <v>6.7000000000000004E-2</v>
      </c>
      <c r="B257" s="147"/>
      <c r="C257" s="147">
        <v>63.49</v>
      </c>
      <c r="D257" s="147"/>
      <c r="E257" s="147">
        <v>67.808999999999997</v>
      </c>
      <c r="F257" s="131">
        <f t="shared" si="64"/>
        <v>131.36599999999999</v>
      </c>
      <c r="G257" s="133" t="s">
        <v>80</v>
      </c>
      <c r="H257" s="136"/>
    </row>
    <row r="258" spans="1:8" s="70" customFormat="1" ht="13.5" hidden="1" customHeight="1" x14ac:dyDescent="0.2">
      <c r="A258" s="146">
        <v>4.3999999999999997E-2</v>
      </c>
      <c r="B258" s="147"/>
      <c r="C258" s="147">
        <v>70.665000000000006</v>
      </c>
      <c r="D258" s="147"/>
      <c r="E258" s="147">
        <v>57.316000000000003</v>
      </c>
      <c r="F258" s="131">
        <f t="shared" si="64"/>
        <v>128.02500000000001</v>
      </c>
      <c r="G258" s="133" t="s">
        <v>81</v>
      </c>
      <c r="H258" s="136"/>
    </row>
    <row r="259" spans="1:8" s="70" customFormat="1" ht="13.5" customHeight="1" x14ac:dyDescent="0.2">
      <c r="A259" s="146">
        <f t="shared" ref="A259:F259" si="66">SUM(A256:A258)</f>
        <v>0.111</v>
      </c>
      <c r="B259" s="147"/>
      <c r="C259" s="147">
        <f t="shared" si="66"/>
        <v>186.53300000000002</v>
      </c>
      <c r="D259" s="147"/>
      <c r="E259" s="147">
        <f t="shared" si="66"/>
        <v>194.642</v>
      </c>
      <c r="F259" s="131">
        <f t="shared" si="66"/>
        <v>381.28599999999994</v>
      </c>
      <c r="G259" s="133" t="s">
        <v>49</v>
      </c>
      <c r="H259" s="136"/>
    </row>
    <row r="260" spans="1:8" s="70" customFormat="1" ht="13.5" hidden="1" customHeight="1" x14ac:dyDescent="0.2">
      <c r="A260" s="146">
        <v>0</v>
      </c>
      <c r="B260" s="147"/>
      <c r="C260" s="147">
        <v>69.95</v>
      </c>
      <c r="D260" s="147"/>
      <c r="E260" s="147">
        <v>62.595999999999997</v>
      </c>
      <c r="F260" s="131">
        <f>SUM(A260:E260)</f>
        <v>132.54599999999999</v>
      </c>
      <c r="G260" s="133" t="s">
        <v>83</v>
      </c>
      <c r="H260" s="136"/>
    </row>
    <row r="261" spans="1:8" s="70" customFormat="1" ht="13.5" hidden="1" customHeight="1" x14ac:dyDescent="0.2">
      <c r="A261" s="129">
        <v>4.0000000000000001E-3</v>
      </c>
      <c r="B261" s="130"/>
      <c r="C261" s="147">
        <v>72.710999999999999</v>
      </c>
      <c r="D261" s="147"/>
      <c r="E261" s="147">
        <v>59.926000000000002</v>
      </c>
      <c r="F261" s="131">
        <f>SUM(A261:E261)</f>
        <v>132.64100000000002</v>
      </c>
      <c r="G261" s="133" t="s">
        <v>84</v>
      </c>
      <c r="H261" s="136"/>
    </row>
    <row r="262" spans="1:8" s="70" customFormat="1" ht="13.5" hidden="1" customHeight="1" x14ac:dyDescent="0.2">
      <c r="A262" s="129">
        <v>6.7000000000000004E-2</v>
      </c>
      <c r="B262" s="130"/>
      <c r="C262" s="147">
        <v>66.849999999999994</v>
      </c>
      <c r="D262" s="147"/>
      <c r="E262" s="147">
        <v>57.801000000000002</v>
      </c>
      <c r="F262" s="131">
        <f>SUM(A262:E262)</f>
        <v>124.71799999999999</v>
      </c>
      <c r="G262" s="133" t="s">
        <v>85</v>
      </c>
      <c r="H262" s="136"/>
    </row>
    <row r="263" spans="1:8" s="70" customFormat="1" ht="13.5" customHeight="1" x14ac:dyDescent="0.2">
      <c r="A263" s="129">
        <f t="shared" ref="A263:F263" si="67">SUM(A260:A262)</f>
        <v>7.1000000000000008E-2</v>
      </c>
      <c r="B263" s="130"/>
      <c r="C263" s="147">
        <f t="shared" si="67"/>
        <v>209.511</v>
      </c>
      <c r="D263" s="147"/>
      <c r="E263" s="147">
        <f t="shared" si="67"/>
        <v>180.32299999999998</v>
      </c>
      <c r="F263" s="131">
        <f t="shared" si="67"/>
        <v>389.90499999999997</v>
      </c>
      <c r="G263" s="133" t="s">
        <v>50</v>
      </c>
      <c r="H263" s="136"/>
    </row>
    <row r="264" spans="1:8" s="70" customFormat="1" ht="13.5" hidden="1" customHeight="1" x14ac:dyDescent="0.2">
      <c r="A264" s="129">
        <v>1.4E-2</v>
      </c>
      <c r="B264" s="130"/>
      <c r="C264" s="147">
        <v>64.631</v>
      </c>
      <c r="D264" s="147"/>
      <c r="E264" s="147">
        <v>70.613</v>
      </c>
      <c r="F264" s="131">
        <f>SUM(A264:E264)</f>
        <v>135.25799999999998</v>
      </c>
      <c r="G264" s="133" t="s">
        <v>87</v>
      </c>
      <c r="H264" s="136"/>
    </row>
    <row r="265" spans="1:8" s="70" customFormat="1" ht="13.5" hidden="1" customHeight="1" x14ac:dyDescent="0.2">
      <c r="A265" s="129">
        <v>0</v>
      </c>
      <c r="B265" s="130"/>
      <c r="C265" s="147">
        <v>68.852999999999994</v>
      </c>
      <c r="D265" s="147"/>
      <c r="E265" s="147">
        <v>65.474999999999994</v>
      </c>
      <c r="F265" s="131">
        <f>SUM(A265:E265)</f>
        <v>134.32799999999997</v>
      </c>
      <c r="G265" s="133" t="s">
        <v>88</v>
      </c>
      <c r="H265" s="136"/>
    </row>
    <row r="266" spans="1:8" s="70" customFormat="1" ht="13.5" hidden="1" customHeight="1" x14ac:dyDescent="0.2">
      <c r="A266" s="129">
        <v>5.0999999999999997E-2</v>
      </c>
      <c r="B266" s="130"/>
      <c r="C266" s="147">
        <v>68.629000000000005</v>
      </c>
      <c r="D266" s="147"/>
      <c r="E266" s="147">
        <v>51.948999999999998</v>
      </c>
      <c r="F266" s="131">
        <f>SUM(A266:E266)</f>
        <v>120.629</v>
      </c>
      <c r="G266" s="133" t="s">
        <v>89</v>
      </c>
      <c r="H266" s="136"/>
    </row>
    <row r="267" spans="1:8" s="70" customFormat="1" ht="13.5" customHeight="1" x14ac:dyDescent="0.2">
      <c r="A267" s="129">
        <f t="shared" ref="A267:F267" si="68">SUM(A264:A266)</f>
        <v>6.5000000000000002E-2</v>
      </c>
      <c r="B267" s="130"/>
      <c r="C267" s="147">
        <f t="shared" si="68"/>
        <v>202.113</v>
      </c>
      <c r="D267" s="147"/>
      <c r="E267" s="147">
        <f t="shared" si="68"/>
        <v>188.03699999999998</v>
      </c>
      <c r="F267" s="131">
        <f t="shared" si="68"/>
        <v>390.21499999999997</v>
      </c>
      <c r="G267" s="133" t="s">
        <v>51</v>
      </c>
      <c r="H267" s="136"/>
    </row>
    <row r="268" spans="1:8" s="70" customFormat="1" ht="9.75" customHeight="1" x14ac:dyDescent="0.2">
      <c r="A268" s="129"/>
      <c r="B268" s="130"/>
      <c r="C268" s="147"/>
      <c r="D268" s="147"/>
      <c r="E268" s="147"/>
      <c r="F268" s="131"/>
      <c r="G268" s="133"/>
      <c r="H268" s="136"/>
    </row>
    <row r="269" spans="1:8" s="70" customFormat="1" ht="13.5" hidden="1" customHeight="1" x14ac:dyDescent="0.2">
      <c r="A269" s="129">
        <v>0</v>
      </c>
      <c r="B269" s="130"/>
      <c r="C269" s="147">
        <v>60.795000000000002</v>
      </c>
      <c r="D269" s="147"/>
      <c r="E269" s="147">
        <v>67.363</v>
      </c>
      <c r="F269" s="131">
        <f>SUM(A269:E269)</f>
        <v>128.15800000000002</v>
      </c>
      <c r="G269" s="133" t="s">
        <v>75</v>
      </c>
      <c r="H269" s="136">
        <v>2021</v>
      </c>
    </row>
    <row r="270" spans="1:8" s="70" customFormat="1" ht="13.5" hidden="1" customHeight="1" x14ac:dyDescent="0.2">
      <c r="A270" s="129">
        <v>0.05</v>
      </c>
      <c r="B270" s="130"/>
      <c r="C270" s="147">
        <v>49.610999999999997</v>
      </c>
      <c r="D270" s="147"/>
      <c r="E270" s="147">
        <v>63.902000000000001</v>
      </c>
      <c r="F270" s="131">
        <f>SUM(A270:E270)</f>
        <v>113.56299999999999</v>
      </c>
      <c r="G270" s="133" t="s">
        <v>76</v>
      </c>
      <c r="H270" s="136"/>
    </row>
    <row r="271" spans="1:8" s="70" customFormat="1" ht="13.5" hidden="1" customHeight="1" x14ac:dyDescent="0.2">
      <c r="A271" s="129">
        <v>0.01</v>
      </c>
      <c r="B271" s="130"/>
      <c r="C271" s="147">
        <v>57.981000000000002</v>
      </c>
      <c r="D271" s="147"/>
      <c r="E271" s="147">
        <v>61.792000000000002</v>
      </c>
      <c r="F271" s="131">
        <f>SUM(A271:E271)</f>
        <v>119.783</v>
      </c>
      <c r="G271" s="133" t="s">
        <v>77</v>
      </c>
      <c r="H271" s="136"/>
    </row>
    <row r="272" spans="1:8" s="70" customFormat="1" ht="13.5" customHeight="1" x14ac:dyDescent="0.2">
      <c r="A272" s="129">
        <f t="shared" ref="A272:E272" si="69">SUM(A269:A271)</f>
        <v>6.0000000000000005E-2</v>
      </c>
      <c r="B272" s="147">
        <f>SUM(B269:B271)</f>
        <v>0</v>
      </c>
      <c r="C272" s="147">
        <f t="shared" si="69"/>
        <v>168.387</v>
      </c>
      <c r="D272" s="147">
        <f>SUM(D269:D271)</f>
        <v>0</v>
      </c>
      <c r="E272" s="147">
        <f t="shared" si="69"/>
        <v>193.05699999999999</v>
      </c>
      <c r="F272" s="131">
        <f>SUM(F269:F271)</f>
        <v>361.50400000000002</v>
      </c>
      <c r="G272" s="133" t="s">
        <v>48</v>
      </c>
      <c r="H272" s="136">
        <v>2021</v>
      </c>
    </row>
    <row r="273" spans="1:8" s="70" customFormat="1" ht="13.5" hidden="1" customHeight="1" x14ac:dyDescent="0.2">
      <c r="A273" s="129">
        <v>1.0999999999999999E-2</v>
      </c>
      <c r="B273" s="130"/>
      <c r="C273" s="147">
        <v>59.168999999999997</v>
      </c>
      <c r="D273" s="147"/>
      <c r="E273" s="147">
        <v>52.558</v>
      </c>
      <c r="F273" s="131">
        <f>SUM(A273:E273)</f>
        <v>111.738</v>
      </c>
      <c r="G273" s="133" t="s">
        <v>79</v>
      </c>
      <c r="H273" s="136"/>
    </row>
    <row r="274" spans="1:8" s="70" customFormat="1" ht="13.5" hidden="1" customHeight="1" x14ac:dyDescent="0.2">
      <c r="A274" s="129">
        <v>5.0000000000000001E-3</v>
      </c>
      <c r="B274" s="130"/>
      <c r="C274" s="147">
        <v>68.807000000000002</v>
      </c>
      <c r="D274" s="147"/>
      <c r="E274" s="147">
        <v>72.644999999999996</v>
      </c>
      <c r="F274" s="131">
        <f>SUM(A274:E274)</f>
        <v>141.45699999999999</v>
      </c>
      <c r="G274" s="133" t="s">
        <v>80</v>
      </c>
      <c r="H274" s="136"/>
    </row>
    <row r="275" spans="1:8" s="70" customFormat="1" ht="13.5" hidden="1" customHeight="1" x14ac:dyDescent="0.2">
      <c r="A275" s="129">
        <v>2E-3</v>
      </c>
      <c r="B275" s="130"/>
      <c r="C275" s="147">
        <v>71.234999999999999</v>
      </c>
      <c r="D275" s="147"/>
      <c r="E275" s="147">
        <v>65.003</v>
      </c>
      <c r="F275" s="131">
        <f>SUM(A275:E275)</f>
        <v>136.24</v>
      </c>
      <c r="G275" s="133" t="s">
        <v>81</v>
      </c>
      <c r="H275" s="136"/>
    </row>
    <row r="276" spans="1:8" s="70" customFormat="1" ht="13.5" customHeight="1" x14ac:dyDescent="0.2">
      <c r="A276" s="129">
        <f t="shared" ref="A276:F276" si="70">SUM(A273:A275)</f>
        <v>1.8000000000000002E-2</v>
      </c>
      <c r="B276" s="147">
        <f>SUM(B273:B275)</f>
        <v>0</v>
      </c>
      <c r="C276" s="147">
        <f t="shared" si="70"/>
        <v>199.21100000000001</v>
      </c>
      <c r="D276" s="147">
        <f>SUM(D273:D275)</f>
        <v>0</v>
      </c>
      <c r="E276" s="147">
        <f t="shared" si="70"/>
        <v>190.20600000000002</v>
      </c>
      <c r="F276" s="131">
        <f t="shared" si="70"/>
        <v>389.435</v>
      </c>
      <c r="G276" s="133" t="s">
        <v>49</v>
      </c>
      <c r="H276" s="136"/>
    </row>
    <row r="277" spans="1:8" s="70" customFormat="1" ht="13.5" hidden="1" customHeight="1" x14ac:dyDescent="0.2">
      <c r="A277" s="129">
        <v>1.6E-2</v>
      </c>
      <c r="B277" s="147"/>
      <c r="C277" s="147">
        <v>74.724000000000004</v>
      </c>
      <c r="D277" s="147">
        <v>2.944</v>
      </c>
      <c r="E277" s="147">
        <v>56.972000000000001</v>
      </c>
      <c r="F277" s="131">
        <f>SUM(A277:E277)</f>
        <v>134.65600000000001</v>
      </c>
      <c r="G277" s="133" t="s">
        <v>83</v>
      </c>
      <c r="H277" s="136"/>
    </row>
    <row r="278" spans="1:8" s="70" customFormat="1" ht="13.5" hidden="1" customHeight="1" x14ac:dyDescent="0.2">
      <c r="A278" s="129">
        <v>2.5999999999999999E-2</v>
      </c>
      <c r="B278" s="147">
        <v>4.883</v>
      </c>
      <c r="C278" s="147">
        <v>77.846000000000004</v>
      </c>
      <c r="D278" s="147">
        <v>3.3610000000000002</v>
      </c>
      <c r="E278" s="147">
        <v>66.897000000000006</v>
      </c>
      <c r="F278" s="131">
        <f>SUM(A278:E278)</f>
        <v>153.01300000000003</v>
      </c>
      <c r="G278" s="133" t="s">
        <v>84</v>
      </c>
      <c r="H278" s="136"/>
    </row>
    <row r="279" spans="1:8" s="70" customFormat="1" ht="13.5" hidden="1" customHeight="1" x14ac:dyDescent="0.2">
      <c r="A279" s="129">
        <v>0</v>
      </c>
      <c r="B279" s="147">
        <v>3.8119999999999998</v>
      </c>
      <c r="C279" s="147">
        <v>42.155999999999999</v>
      </c>
      <c r="D279" s="147">
        <v>0.82299999999999995</v>
      </c>
      <c r="E279" s="147">
        <v>52.55</v>
      </c>
      <c r="F279" s="131">
        <f>SUM(A279:E279)</f>
        <v>99.340999999999994</v>
      </c>
      <c r="G279" s="133" t="s">
        <v>85</v>
      </c>
      <c r="H279" s="136"/>
    </row>
    <row r="280" spans="1:8" s="70" customFormat="1" ht="13.5" customHeight="1" x14ac:dyDescent="0.2">
      <c r="A280" s="129">
        <f t="shared" ref="A280:E280" si="71">SUM(A277:A279)</f>
        <v>4.1999999999999996E-2</v>
      </c>
      <c r="B280" s="147">
        <f>SUM(B277:B279)</f>
        <v>8.6950000000000003</v>
      </c>
      <c r="C280" s="147">
        <f>SUM(C277:C279)</f>
        <v>194.726</v>
      </c>
      <c r="D280" s="147">
        <f>SUM(D277:D279)</f>
        <v>7.1280000000000001</v>
      </c>
      <c r="E280" s="147">
        <f t="shared" si="71"/>
        <v>176.41899999999998</v>
      </c>
      <c r="F280" s="131">
        <f>SUM(F277:F279)</f>
        <v>387.01000000000005</v>
      </c>
      <c r="G280" s="133" t="s">
        <v>50</v>
      </c>
      <c r="H280" s="136"/>
    </row>
    <row r="281" spans="1:8" s="70" customFormat="1" ht="13.5" hidden="1" customHeight="1" x14ac:dyDescent="0.2">
      <c r="A281" s="129">
        <v>0.04</v>
      </c>
      <c r="B281" s="147">
        <v>5.1740000000000004</v>
      </c>
      <c r="C281" s="147">
        <v>67.478999999999999</v>
      </c>
      <c r="D281" s="147">
        <v>8.5410000000000004</v>
      </c>
      <c r="E281" s="147">
        <v>60.847000000000001</v>
      </c>
      <c r="F281" s="131">
        <f>SUM(A281:E281)</f>
        <v>142.08099999999999</v>
      </c>
      <c r="G281" s="133" t="s">
        <v>87</v>
      </c>
      <c r="H281" s="136"/>
    </row>
    <row r="282" spans="1:8" s="70" customFormat="1" ht="13.5" hidden="1" customHeight="1" x14ac:dyDescent="0.2">
      <c r="A282" s="129">
        <v>6.4000000000000001E-2</v>
      </c>
      <c r="B282" s="147">
        <v>4.3579999999999997</v>
      </c>
      <c r="C282" s="147">
        <v>70.409000000000006</v>
      </c>
      <c r="D282" s="147">
        <v>9.0060000000000002</v>
      </c>
      <c r="E282" s="147">
        <v>59.945</v>
      </c>
      <c r="F282" s="131">
        <f>SUM(A282:E282)</f>
        <v>143.78200000000001</v>
      </c>
      <c r="G282" s="133" t="s">
        <v>88</v>
      </c>
      <c r="H282" s="136"/>
    </row>
    <row r="283" spans="1:8" s="70" customFormat="1" ht="13.5" hidden="1" customHeight="1" x14ac:dyDescent="0.2">
      <c r="A283" s="129">
        <v>0.09</v>
      </c>
      <c r="B283" s="130">
        <v>6.0979999999999999</v>
      </c>
      <c r="C283" s="147">
        <v>51.069000000000003</v>
      </c>
      <c r="D283" s="147">
        <v>7.9089999999999998</v>
      </c>
      <c r="E283" s="147">
        <v>56.161999999999999</v>
      </c>
      <c r="F283" s="131">
        <f>SUM(A283:E283)</f>
        <v>121.328</v>
      </c>
      <c r="G283" s="133" t="s">
        <v>89</v>
      </c>
      <c r="H283" s="136"/>
    </row>
    <row r="284" spans="1:8" s="70" customFormat="1" ht="13.5" customHeight="1" x14ac:dyDescent="0.2">
      <c r="A284" s="129">
        <f t="shared" ref="A284:E284" si="72">SUM(A281:A283)</f>
        <v>0.19400000000000001</v>
      </c>
      <c r="B284" s="147">
        <f>SUM(B281:B283)</f>
        <v>15.629999999999999</v>
      </c>
      <c r="C284" s="147">
        <f t="shared" si="72"/>
        <v>188.95699999999999</v>
      </c>
      <c r="D284" s="147">
        <f>SUM(D281:D283)</f>
        <v>25.456</v>
      </c>
      <c r="E284" s="147">
        <f t="shared" si="72"/>
        <v>176.95400000000001</v>
      </c>
      <c r="F284" s="131">
        <f>SUM(F281:F283)</f>
        <v>407.19100000000003</v>
      </c>
      <c r="G284" s="133" t="s">
        <v>51</v>
      </c>
      <c r="H284" s="136"/>
    </row>
    <row r="285" spans="1:8" s="70" customFormat="1" ht="13.5" customHeight="1" x14ac:dyDescent="0.2">
      <c r="A285" s="118"/>
      <c r="B285" s="144"/>
      <c r="C285" s="144"/>
      <c r="D285" s="144"/>
      <c r="E285" s="144"/>
      <c r="F285" s="120"/>
      <c r="G285" s="122"/>
      <c r="H285" s="123"/>
    </row>
    <row r="286" spans="1:8" s="70" customFormat="1" ht="13.5" hidden="1" customHeight="1" x14ac:dyDescent="0.2">
      <c r="A286" s="118">
        <v>1.2999999999999999E-2</v>
      </c>
      <c r="B286" s="144">
        <v>5.9160000000000004</v>
      </c>
      <c r="C286" s="144">
        <v>50.210999999999999</v>
      </c>
      <c r="D286" s="144">
        <v>8.1969999999999992</v>
      </c>
      <c r="E286" s="144">
        <v>54.540999999999997</v>
      </c>
      <c r="F286" s="120">
        <f>SUM(A286:E286)</f>
        <v>118.878</v>
      </c>
      <c r="G286" s="122" t="s">
        <v>75</v>
      </c>
      <c r="H286" s="123">
        <v>2022</v>
      </c>
    </row>
    <row r="287" spans="1:8" s="70" customFormat="1" ht="13.5" hidden="1" customHeight="1" x14ac:dyDescent="0.2">
      <c r="A287" s="118">
        <v>1.4999999999999999E-2</v>
      </c>
      <c r="B287" s="144">
        <v>7.78</v>
      </c>
      <c r="C287" s="144">
        <v>55.453000000000003</v>
      </c>
      <c r="D287" s="144">
        <v>14.725</v>
      </c>
      <c r="E287" s="144">
        <v>50.325000000000003</v>
      </c>
      <c r="F287" s="120">
        <f>SUM(A287:E287)</f>
        <v>128.298</v>
      </c>
      <c r="G287" s="122" t="s">
        <v>76</v>
      </c>
      <c r="H287" s="123"/>
    </row>
    <row r="288" spans="1:8" s="70" customFormat="1" ht="13.5" hidden="1" customHeight="1" x14ac:dyDescent="0.2">
      <c r="A288" s="118">
        <v>1.7999999999999999E-2</v>
      </c>
      <c r="B288" s="144">
        <v>6.9560000000000004</v>
      </c>
      <c r="C288" s="144">
        <v>53.561999999999998</v>
      </c>
      <c r="D288" s="144">
        <v>16.527000000000001</v>
      </c>
      <c r="E288" s="144">
        <v>55.073999999999998</v>
      </c>
      <c r="F288" s="120">
        <f>SUM(A288:E288)</f>
        <v>132.137</v>
      </c>
      <c r="G288" s="182" t="s">
        <v>77</v>
      </c>
      <c r="H288" s="123"/>
    </row>
    <row r="289" spans="1:8" s="70" customFormat="1" ht="13.5" customHeight="1" x14ac:dyDescent="0.2">
      <c r="A289" s="118">
        <f t="shared" ref="A289:F289" si="73">SUM(A286:A288)</f>
        <v>4.5999999999999999E-2</v>
      </c>
      <c r="B289" s="144">
        <f t="shared" si="73"/>
        <v>20.652000000000001</v>
      </c>
      <c r="C289" s="144">
        <f t="shared" si="73"/>
        <v>159.226</v>
      </c>
      <c r="D289" s="144">
        <f>SUM(D286:D288)</f>
        <v>39.448999999999998</v>
      </c>
      <c r="E289" s="144">
        <f t="shared" si="73"/>
        <v>159.94</v>
      </c>
      <c r="F289" s="120">
        <f t="shared" si="73"/>
        <v>379.31299999999999</v>
      </c>
      <c r="G289" s="182" t="s">
        <v>48</v>
      </c>
      <c r="H289" s="123">
        <v>2022</v>
      </c>
    </row>
    <row r="290" spans="1:8" s="70" customFormat="1" ht="13.5" customHeight="1" x14ac:dyDescent="0.2">
      <c r="A290" s="118">
        <v>0</v>
      </c>
      <c r="B290" s="144">
        <v>6.694</v>
      </c>
      <c r="C290" s="144">
        <v>51.106000000000002</v>
      </c>
      <c r="D290" s="144">
        <v>25.050999999999998</v>
      </c>
      <c r="E290" s="144">
        <v>49.539000000000001</v>
      </c>
      <c r="F290" s="120">
        <f>SUM(A290:E290)</f>
        <v>132.38999999999999</v>
      </c>
      <c r="G290" s="122" t="s">
        <v>79</v>
      </c>
      <c r="H290" s="123"/>
    </row>
    <row r="291" spans="1:8" s="70" customFormat="1" ht="13.5" customHeight="1" x14ac:dyDescent="0.2">
      <c r="A291" s="118">
        <v>0</v>
      </c>
      <c r="B291" s="144">
        <v>7.2409999999999997</v>
      </c>
      <c r="C291" s="144">
        <v>59.393999999999998</v>
      </c>
      <c r="D291" s="144">
        <v>22.067</v>
      </c>
      <c r="E291" s="144">
        <v>59.837000000000003</v>
      </c>
      <c r="F291" s="120">
        <f>SUM(A291:E291)</f>
        <v>148.53899999999999</v>
      </c>
      <c r="G291" s="122" t="s">
        <v>80</v>
      </c>
      <c r="H291" s="123"/>
    </row>
    <row r="292" spans="1:8" s="70" customFormat="1" ht="14.25" customHeight="1" x14ac:dyDescent="0.2">
      <c r="A292" s="137"/>
      <c r="B292" s="138"/>
      <c r="C292" s="138"/>
      <c r="D292" s="138"/>
      <c r="E292" s="138"/>
      <c r="F292" s="139"/>
      <c r="G292" s="134"/>
      <c r="H292" s="135"/>
    </row>
    <row r="293" spans="1:8" s="70" customFormat="1" ht="12.75" x14ac:dyDescent="0.2">
      <c r="A293" s="124"/>
      <c r="B293" s="151"/>
      <c r="C293" s="119"/>
      <c r="D293" s="119"/>
      <c r="E293" s="119"/>
      <c r="F293" s="115"/>
      <c r="H293" s="77" t="s">
        <v>39</v>
      </c>
    </row>
    <row r="294" spans="1:8" x14ac:dyDescent="0.2">
      <c r="A294" s="124"/>
      <c r="B294" s="124"/>
      <c r="C294" s="124"/>
      <c r="D294" s="124"/>
      <c r="E294" s="124"/>
      <c r="F294" s="124"/>
    </row>
    <row r="295" spans="1:8" x14ac:dyDescent="0.2">
      <c r="C295" s="117"/>
      <c r="D295" s="117"/>
      <c r="F295" s="117"/>
      <c r="H295" s="77"/>
    </row>
    <row r="297" spans="1:8" x14ac:dyDescent="0.2">
      <c r="C297" s="116"/>
      <c r="D297" s="116"/>
      <c r="F297" s="116"/>
    </row>
  </sheetData>
  <printOptions horizontalCentered="1" gridLinesSet="0"/>
  <pageMargins left="0.15748031496062992" right="0.47244094488188981" top="0.15748031496062992" bottom="0.15748031496062992" header="0.15748031496062992" footer="0.15748031496062992"/>
  <pageSetup paperSize="9" fitToWidth="0" orientation="landscape" r:id="rId1"/>
  <headerFooter alignWithMargins="0"/>
  <ignoredErrors>
    <ignoredError sqref="F204:F233 F238:F268 F272:F276 F280 F289" formula="1"/>
    <ignoredError sqref="A221:E268 A273:A275 A269:C271 E269:E271 A272 E272 A283 A276 E276 E273:E275 C276 C272 B273:D275 B272 B276 D272 D276 A277:A279 E277:E279 A280 E280 A281:A282 E281:E282 A284:B284 E284 C277:C279 C282 D280 B280:C280 C284:D284 C283 E283 A289:D289 E289" unlockedFormula="1"/>
    <ignoredError sqref="G269:G284 G286:G287 G288:H289 G290:G29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syncVertical="1" syncRef="A1" transitionEvaluation="1">
    <pageSetUpPr fitToPage="1"/>
  </sheetPr>
  <dimension ref="A1:O292"/>
  <sheetViews>
    <sheetView showGridLines="0" zoomScaleSheetLayoutView="100" workbookViewId="0">
      <selection activeCell="K216" sqref="K216"/>
    </sheetView>
  </sheetViews>
  <sheetFormatPr defaultColWidth="16.28515625" defaultRowHeight="15" x14ac:dyDescent="0.2"/>
  <cols>
    <col min="1" max="6" width="10" style="44" customWidth="1"/>
    <col min="7" max="7" width="10.140625" style="44" customWidth="1"/>
    <col min="8" max="12" width="10" style="44" customWidth="1"/>
    <col min="13" max="13" width="1.140625" style="44" customWidth="1"/>
    <col min="14" max="14" width="6.5703125" style="44" customWidth="1"/>
    <col min="15" max="15" width="5.5703125" style="44" customWidth="1"/>
    <col min="16" max="16384" width="16.28515625" style="44"/>
  </cols>
  <sheetData>
    <row r="1" spans="1:15" ht="18" customHeight="1" x14ac:dyDescent="0.25">
      <c r="A1" s="40" t="s">
        <v>57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3"/>
      <c r="O1" s="45" t="s">
        <v>23</v>
      </c>
    </row>
    <row r="2" spans="1:15" ht="18" x14ac:dyDescent="0.25">
      <c r="A2" s="40" t="s">
        <v>58</v>
      </c>
      <c r="B2" s="41"/>
      <c r="C2" s="41"/>
      <c r="D2" s="41"/>
      <c r="E2" s="41"/>
      <c r="F2" s="41"/>
      <c r="G2" s="41"/>
      <c r="H2" s="41"/>
      <c r="I2" s="41"/>
      <c r="J2" s="41"/>
      <c r="K2" s="42"/>
      <c r="L2" s="43"/>
      <c r="O2" s="45" t="s">
        <v>116</v>
      </c>
    </row>
    <row r="3" spans="1:15" s="46" customFormat="1" ht="18" x14ac:dyDescent="0.25">
      <c r="A3" s="40" t="s">
        <v>45</v>
      </c>
      <c r="B3" s="40"/>
      <c r="J3" s="47"/>
      <c r="O3" s="45" t="s">
        <v>44</v>
      </c>
    </row>
    <row r="4" spans="1:15" s="76" customFormat="1" ht="15" customHeight="1" thickBot="1" x14ac:dyDescent="0.25">
      <c r="A4" s="73" t="s">
        <v>38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 t="s">
        <v>37</v>
      </c>
    </row>
    <row r="5" spans="1:15" s="48" customFormat="1" ht="15" customHeight="1" thickTop="1" x14ac:dyDescent="0.2">
      <c r="A5" s="89" t="s">
        <v>24</v>
      </c>
      <c r="B5" s="90"/>
      <c r="D5" s="49" t="s">
        <v>25</v>
      </c>
      <c r="E5" s="50" t="s">
        <v>26</v>
      </c>
      <c r="H5" s="51" t="s">
        <v>27</v>
      </c>
      <c r="I5" s="52" t="s">
        <v>28</v>
      </c>
      <c r="J5" s="53"/>
      <c r="K5" s="53"/>
      <c r="L5" s="54"/>
      <c r="M5" s="55" t="s">
        <v>29</v>
      </c>
      <c r="N5" s="56"/>
      <c r="O5" s="95"/>
    </row>
    <row r="6" spans="1:15" s="48" customFormat="1" ht="12" x14ac:dyDescent="0.2">
      <c r="A6" s="91"/>
      <c r="B6" s="57"/>
      <c r="C6" s="57"/>
      <c r="D6" s="58"/>
      <c r="E6" s="57"/>
      <c r="F6" s="57"/>
      <c r="G6" s="57"/>
      <c r="H6" s="58"/>
      <c r="I6" s="59" t="s">
        <v>30</v>
      </c>
      <c r="J6" s="59"/>
      <c r="K6" s="59"/>
      <c r="L6" s="60"/>
      <c r="M6" s="55" t="s">
        <v>29</v>
      </c>
      <c r="N6" s="56"/>
      <c r="O6" s="96"/>
    </row>
    <row r="7" spans="1:15" s="63" customFormat="1" ht="12" customHeight="1" x14ac:dyDescent="0.2">
      <c r="A7" s="153" t="s">
        <v>21</v>
      </c>
      <c r="B7" s="154" t="s">
        <v>20</v>
      </c>
      <c r="C7" s="155" t="s">
        <v>19</v>
      </c>
      <c r="D7" s="156" t="s">
        <v>42</v>
      </c>
      <c r="E7" s="157" t="s">
        <v>21</v>
      </c>
      <c r="F7" s="154" t="s">
        <v>20</v>
      </c>
      <c r="G7" s="155" t="s">
        <v>19</v>
      </c>
      <c r="H7" s="156" t="s">
        <v>42</v>
      </c>
      <c r="I7" s="157" t="s">
        <v>21</v>
      </c>
      <c r="J7" s="154" t="s">
        <v>20</v>
      </c>
      <c r="K7" s="155" t="s">
        <v>19</v>
      </c>
      <c r="L7" s="156" t="s">
        <v>42</v>
      </c>
      <c r="M7" s="61"/>
      <c r="N7" s="125" t="s">
        <v>47</v>
      </c>
      <c r="O7" s="126" t="s">
        <v>40</v>
      </c>
    </row>
    <row r="8" spans="1:15" s="63" customFormat="1" ht="12" customHeight="1" x14ac:dyDescent="0.2">
      <c r="A8" s="78" t="s">
        <v>41</v>
      </c>
      <c r="B8" s="78" t="s">
        <v>31</v>
      </c>
      <c r="C8" s="158" t="s">
        <v>32</v>
      </c>
      <c r="D8" s="158" t="s">
        <v>43</v>
      </c>
      <c r="E8" s="159" t="s">
        <v>41</v>
      </c>
      <c r="F8" s="78" t="s">
        <v>31</v>
      </c>
      <c r="G8" s="158" t="s">
        <v>32</v>
      </c>
      <c r="H8" s="158" t="s">
        <v>43</v>
      </c>
      <c r="I8" s="159" t="s">
        <v>41</v>
      </c>
      <c r="J8" s="78" t="s">
        <v>31</v>
      </c>
      <c r="K8" s="158" t="s">
        <v>32</v>
      </c>
      <c r="L8" s="158" t="s">
        <v>43</v>
      </c>
      <c r="M8" s="62"/>
      <c r="N8" s="62" t="s">
        <v>110</v>
      </c>
      <c r="O8" s="64" t="s">
        <v>111</v>
      </c>
    </row>
    <row r="9" spans="1:15" s="67" customFormat="1" ht="14.25" hidden="1" x14ac:dyDescent="0.2">
      <c r="A9" s="92">
        <v>2.9590000000000001</v>
      </c>
      <c r="B9" s="85">
        <v>225.38499999999999</v>
      </c>
      <c r="C9" s="82">
        <v>446.18700000000001</v>
      </c>
      <c r="D9" s="83">
        <f>SUM(A9:C9)</f>
        <v>674.53099999999995</v>
      </c>
      <c r="E9" s="82">
        <v>3.3919999999999999</v>
      </c>
      <c r="F9" s="81">
        <v>254.50800000000001</v>
      </c>
      <c r="G9" s="82">
        <v>425.11</v>
      </c>
      <c r="H9" s="83">
        <f>SUM(E9:G9)</f>
        <v>683.01</v>
      </c>
      <c r="I9" s="80">
        <v>6.351</v>
      </c>
      <c r="J9" s="81">
        <v>479.89299999999997</v>
      </c>
      <c r="K9" s="80">
        <v>871.29700000000003</v>
      </c>
      <c r="L9" s="83">
        <f>SUM(I9:K9)</f>
        <v>1357.5409999999999</v>
      </c>
      <c r="M9" s="65"/>
      <c r="N9" s="66"/>
      <c r="O9" s="97">
        <v>2000</v>
      </c>
    </row>
    <row r="10" spans="1:15" s="67" customFormat="1" ht="14.25" hidden="1" x14ac:dyDescent="0.2">
      <c r="A10" s="93">
        <v>5.2969999999999997</v>
      </c>
      <c r="B10" s="85">
        <v>230.04300000000001</v>
      </c>
      <c r="C10" s="85">
        <v>440.98</v>
      </c>
      <c r="D10" s="86">
        <f>SUM(A10:C10)</f>
        <v>676.32</v>
      </c>
      <c r="E10" s="85">
        <v>11.534000000000001</v>
      </c>
      <c r="F10" s="81">
        <v>281.11</v>
      </c>
      <c r="G10" s="85">
        <v>398.55200000000002</v>
      </c>
      <c r="H10" s="86">
        <f>SUM(E10:G10)</f>
        <v>691.19600000000003</v>
      </c>
      <c r="I10" s="84">
        <v>16.831</v>
      </c>
      <c r="J10" s="81">
        <v>511.15300000000002</v>
      </c>
      <c r="K10" s="84">
        <v>839.53200000000004</v>
      </c>
      <c r="L10" s="86">
        <f>SUM(I10:K10)</f>
        <v>1367.5160000000001</v>
      </c>
      <c r="M10" s="71"/>
      <c r="N10" s="79"/>
      <c r="O10" s="98">
        <v>2001</v>
      </c>
    </row>
    <row r="11" spans="1:15" s="67" customFormat="1" ht="14.25" hidden="1" x14ac:dyDescent="0.2">
      <c r="A11" s="93">
        <v>7.7229999999999999</v>
      </c>
      <c r="B11" s="85">
        <v>236.89599999999999</v>
      </c>
      <c r="C11" s="85">
        <v>480.61700000000002</v>
      </c>
      <c r="D11" s="86">
        <f>SUM(A11:C11)</f>
        <v>725.23599999999999</v>
      </c>
      <c r="E11" s="85">
        <v>8.7530000000000001</v>
      </c>
      <c r="F11" s="81">
        <v>298.512</v>
      </c>
      <c r="G11" s="85">
        <v>425.73099999999999</v>
      </c>
      <c r="H11" s="86">
        <f>SUM(E11:G11)</f>
        <v>732.99599999999998</v>
      </c>
      <c r="I11" s="84">
        <v>16.475999999999999</v>
      </c>
      <c r="J11" s="81">
        <v>535.40800000000002</v>
      </c>
      <c r="K11" s="84">
        <v>906.34799999999996</v>
      </c>
      <c r="L11" s="86">
        <f>SUM(I11:K11)</f>
        <v>1458.232</v>
      </c>
      <c r="M11" s="71"/>
      <c r="N11" s="79"/>
      <c r="O11" s="98">
        <v>2002</v>
      </c>
    </row>
    <row r="12" spans="1:15" s="70" customFormat="1" ht="14.25" hidden="1" x14ac:dyDescent="0.2">
      <c r="A12" s="94">
        <v>11.891</v>
      </c>
      <c r="B12" s="85">
        <v>225.17400000000001</v>
      </c>
      <c r="C12" s="81">
        <v>533.49199999999996</v>
      </c>
      <c r="D12" s="86">
        <v>770.55700000000002</v>
      </c>
      <c r="E12" s="81">
        <v>9.7940000000000005</v>
      </c>
      <c r="F12" s="81">
        <v>289.10300000000001</v>
      </c>
      <c r="G12" s="84">
        <v>480.34399999999999</v>
      </c>
      <c r="H12" s="86">
        <v>779.24099999999999</v>
      </c>
      <c r="I12" s="81">
        <v>21.684999999999999</v>
      </c>
      <c r="J12" s="81">
        <v>514.27700000000004</v>
      </c>
      <c r="K12" s="81">
        <v>1013.836</v>
      </c>
      <c r="L12" s="86">
        <v>1549.798</v>
      </c>
      <c r="M12" s="68"/>
      <c r="N12" s="69"/>
      <c r="O12" s="99">
        <v>2003</v>
      </c>
    </row>
    <row r="13" spans="1:15" s="70" customFormat="1" ht="14.25" hidden="1" x14ac:dyDescent="0.2">
      <c r="A13" s="94">
        <v>14.993</v>
      </c>
      <c r="B13" s="85">
        <v>246.83699999999999</v>
      </c>
      <c r="C13" s="81">
        <v>536</v>
      </c>
      <c r="D13" s="86">
        <v>798.08799999999997</v>
      </c>
      <c r="E13" s="81">
        <v>14.858000000000001</v>
      </c>
      <c r="F13" s="81">
        <v>298.16300000000001</v>
      </c>
      <c r="G13" s="84">
        <v>495.06200000000001</v>
      </c>
      <c r="H13" s="86">
        <v>808.08299999999997</v>
      </c>
      <c r="I13" s="81">
        <v>29.850999999999999</v>
      </c>
      <c r="J13" s="81">
        <v>545</v>
      </c>
      <c r="K13" s="81">
        <f>G13+C13</f>
        <v>1031.0619999999999</v>
      </c>
      <c r="L13" s="86">
        <v>1606.171</v>
      </c>
      <c r="M13" s="68"/>
      <c r="N13" s="69"/>
      <c r="O13" s="99">
        <v>2004</v>
      </c>
    </row>
    <row r="14" spans="1:15" s="70" customFormat="1" ht="14.25" hidden="1" x14ac:dyDescent="0.2">
      <c r="A14" s="94">
        <f t="shared" ref="A14:L14" si="0">SUM(A20:A23)</f>
        <v>10.909000000000001</v>
      </c>
      <c r="B14" s="85">
        <f t="shared" si="0"/>
        <v>269.76400000000001</v>
      </c>
      <c r="C14" s="81">
        <f t="shared" si="0"/>
        <v>584.21800000000007</v>
      </c>
      <c r="D14" s="86">
        <f t="shared" si="0"/>
        <v>864.89099999999996</v>
      </c>
      <c r="E14" s="81">
        <f t="shared" si="0"/>
        <v>9.6639999999999997</v>
      </c>
      <c r="F14" s="81">
        <f t="shared" si="0"/>
        <v>316.47199999999998</v>
      </c>
      <c r="G14" s="84">
        <f t="shared" si="0"/>
        <v>522.92000000000007</v>
      </c>
      <c r="H14" s="86">
        <f t="shared" si="0"/>
        <v>849.05600000000004</v>
      </c>
      <c r="I14" s="81">
        <f t="shared" si="0"/>
        <v>20.573</v>
      </c>
      <c r="J14" s="81">
        <f t="shared" si="0"/>
        <v>586.23599999999999</v>
      </c>
      <c r="K14" s="81">
        <f t="shared" si="0"/>
        <v>1107.1379999999999</v>
      </c>
      <c r="L14" s="86">
        <f t="shared" si="0"/>
        <v>1713.9470000000001</v>
      </c>
      <c r="M14" s="68"/>
      <c r="N14" s="69"/>
      <c r="O14" s="99">
        <v>2005</v>
      </c>
    </row>
    <row r="15" spans="1:15" s="70" customFormat="1" ht="14.25" hidden="1" x14ac:dyDescent="0.2">
      <c r="A15" s="94">
        <v>12.6</v>
      </c>
      <c r="B15" s="85">
        <v>316</v>
      </c>
      <c r="C15" s="81">
        <v>552</v>
      </c>
      <c r="D15" s="86">
        <v>880.6</v>
      </c>
      <c r="E15" s="81">
        <v>11.7</v>
      </c>
      <c r="F15" s="81">
        <v>377</v>
      </c>
      <c r="G15" s="84">
        <v>501</v>
      </c>
      <c r="H15" s="86">
        <v>889.7</v>
      </c>
      <c r="I15" s="81">
        <v>23.3</v>
      </c>
      <c r="J15" s="81">
        <v>693</v>
      </c>
      <c r="K15" s="81">
        <v>1053</v>
      </c>
      <c r="L15" s="86">
        <v>1769.3</v>
      </c>
      <c r="M15" s="68"/>
      <c r="N15" s="69"/>
      <c r="O15" s="99">
        <v>2006</v>
      </c>
    </row>
    <row r="16" spans="1:15" s="70" customFormat="1" ht="14.25" hidden="1" x14ac:dyDescent="0.2">
      <c r="A16" s="94">
        <f t="shared" ref="A16:K16" si="1">SUM(A33:A36)</f>
        <v>3.2909999999999995</v>
      </c>
      <c r="B16" s="85">
        <f t="shared" si="1"/>
        <v>370.74</v>
      </c>
      <c r="C16" s="81">
        <f t="shared" si="1"/>
        <v>595.08799999999997</v>
      </c>
      <c r="D16" s="86">
        <f t="shared" si="1"/>
        <v>969.11900000000003</v>
      </c>
      <c r="E16" s="81">
        <f t="shared" si="1"/>
        <v>3.4279999999999999</v>
      </c>
      <c r="F16" s="81">
        <f t="shared" si="1"/>
        <v>437.95699999999999</v>
      </c>
      <c r="G16" s="84">
        <f t="shared" si="1"/>
        <v>553.54</v>
      </c>
      <c r="H16" s="86">
        <f t="shared" si="1"/>
        <v>994.92500000000007</v>
      </c>
      <c r="I16" s="81">
        <f t="shared" si="1"/>
        <v>6.7189999999999994</v>
      </c>
      <c r="J16" s="81">
        <f t="shared" si="1"/>
        <v>808.697</v>
      </c>
      <c r="K16" s="81">
        <f t="shared" si="1"/>
        <v>1148.6280000000002</v>
      </c>
      <c r="L16" s="86">
        <f>SUM(L33:L36)</f>
        <v>1964.0439999999999</v>
      </c>
      <c r="M16" s="68"/>
      <c r="N16" s="69"/>
      <c r="O16" s="99">
        <v>2007</v>
      </c>
    </row>
    <row r="17" spans="1:15" s="70" customFormat="1" ht="14.25" hidden="1" x14ac:dyDescent="0.2">
      <c r="A17" s="94">
        <f t="shared" ref="A17:K17" si="2">A42+A46+A50+A54</f>
        <v>0.91699999999999993</v>
      </c>
      <c r="B17" s="85">
        <f t="shared" si="2"/>
        <v>388.63800000000003</v>
      </c>
      <c r="C17" s="81">
        <f t="shared" si="2"/>
        <v>644.28700000000003</v>
      </c>
      <c r="D17" s="86">
        <f t="shared" si="2"/>
        <v>1033.8419999999999</v>
      </c>
      <c r="E17" s="81">
        <f t="shared" si="2"/>
        <v>1.1059999999999999</v>
      </c>
      <c r="F17" s="81">
        <f t="shared" si="2"/>
        <v>439.28199999999998</v>
      </c>
      <c r="G17" s="84">
        <f t="shared" si="2"/>
        <v>606.8309999999999</v>
      </c>
      <c r="H17" s="86">
        <f t="shared" si="2"/>
        <v>1047.2189999999998</v>
      </c>
      <c r="I17" s="81">
        <f t="shared" si="2"/>
        <v>2.0230000000000001</v>
      </c>
      <c r="J17" s="81">
        <f t="shared" si="2"/>
        <v>827.92000000000007</v>
      </c>
      <c r="K17" s="81">
        <f t="shared" si="2"/>
        <v>1251.1179999999999</v>
      </c>
      <c r="L17" s="86">
        <f>L42+L46+L50+L54</f>
        <v>2081.0609999999997</v>
      </c>
      <c r="M17" s="68"/>
      <c r="N17" s="69"/>
      <c r="O17" s="99">
        <v>2008</v>
      </c>
    </row>
    <row r="18" spans="1:15" s="70" customFormat="1" ht="14.25" hidden="1" x14ac:dyDescent="0.2">
      <c r="A18" s="94">
        <f t="shared" ref="A18:K18" si="3">A59+A63+A67+A71</f>
        <v>2.3460000000000001</v>
      </c>
      <c r="B18" s="85">
        <f t="shared" si="3"/>
        <v>430.96</v>
      </c>
      <c r="C18" s="81">
        <f t="shared" si="3"/>
        <v>591.55799999999999</v>
      </c>
      <c r="D18" s="86">
        <f t="shared" si="3"/>
        <v>1024.864</v>
      </c>
      <c r="E18" s="81">
        <f t="shared" si="3"/>
        <v>2.6549999999999998</v>
      </c>
      <c r="F18" s="81">
        <f t="shared" si="3"/>
        <v>462.02299999999997</v>
      </c>
      <c r="G18" s="84">
        <f t="shared" si="3"/>
        <v>541.96499999999992</v>
      </c>
      <c r="H18" s="86">
        <f t="shared" si="3"/>
        <v>1006.6429999999999</v>
      </c>
      <c r="I18" s="81">
        <f t="shared" si="3"/>
        <v>5.0010000000000003</v>
      </c>
      <c r="J18" s="81">
        <f t="shared" si="3"/>
        <v>892.98299999999995</v>
      </c>
      <c r="K18" s="81">
        <f t="shared" si="3"/>
        <v>1133.5230000000001</v>
      </c>
      <c r="L18" s="86">
        <f>L59+L63+L67+L71</f>
        <v>2031.5070000000001</v>
      </c>
      <c r="M18" s="68"/>
      <c r="N18" s="69"/>
      <c r="O18" s="99">
        <v>2009</v>
      </c>
    </row>
    <row r="19" spans="1:15" s="70" customFormat="1" ht="14.25" hidden="1" x14ac:dyDescent="0.2">
      <c r="A19" s="94"/>
      <c r="B19" s="85"/>
      <c r="C19" s="81"/>
      <c r="D19" s="86"/>
      <c r="E19" s="81"/>
      <c r="F19" s="81"/>
      <c r="G19" s="81"/>
      <c r="H19" s="86"/>
      <c r="I19" s="81"/>
      <c r="J19" s="81"/>
      <c r="K19" s="81"/>
      <c r="L19" s="86"/>
      <c r="M19" s="68"/>
      <c r="N19" s="69"/>
      <c r="O19" s="99"/>
    </row>
    <row r="20" spans="1:15" s="70" customFormat="1" ht="14.25" hidden="1" x14ac:dyDescent="0.2">
      <c r="A20" s="94">
        <v>1.9930000000000001</v>
      </c>
      <c r="B20" s="85">
        <v>73.664000000000001</v>
      </c>
      <c r="C20" s="81">
        <v>138.09</v>
      </c>
      <c r="D20" s="87">
        <f>SUM(A20:C20)</f>
        <v>213.74700000000001</v>
      </c>
      <c r="E20" s="88">
        <v>2.0409999999999999</v>
      </c>
      <c r="F20" s="81">
        <v>80.930000000000007</v>
      </c>
      <c r="G20" s="81">
        <v>114.16800000000001</v>
      </c>
      <c r="H20" s="87">
        <f>SUM(E20:G20)</f>
        <v>197.13900000000001</v>
      </c>
      <c r="I20" s="88">
        <f>A20+E20</f>
        <v>4.0339999999999998</v>
      </c>
      <c r="J20" s="81">
        <f>B20+F20</f>
        <v>154.59399999999999</v>
      </c>
      <c r="K20" s="88">
        <f>C20+G20</f>
        <v>252.25800000000001</v>
      </c>
      <c r="L20" s="86">
        <f>SUM(I20:K20)</f>
        <v>410.88599999999997</v>
      </c>
      <c r="M20" s="71"/>
      <c r="N20" s="72" t="s">
        <v>48</v>
      </c>
      <c r="O20" s="99">
        <v>2005</v>
      </c>
    </row>
    <row r="21" spans="1:15" s="70" customFormat="1" ht="14.25" hidden="1" x14ac:dyDescent="0.2">
      <c r="A21" s="94">
        <v>2.8639999999999999</v>
      </c>
      <c r="B21" s="85">
        <v>70.331000000000003</v>
      </c>
      <c r="C21" s="81">
        <v>152.98599999999999</v>
      </c>
      <c r="D21" s="87">
        <f>SUM(A21:C21)</f>
        <v>226.18099999999998</v>
      </c>
      <c r="E21" s="88">
        <v>2.4220000000000002</v>
      </c>
      <c r="F21" s="81">
        <v>84.192999999999998</v>
      </c>
      <c r="G21" s="81">
        <v>139.262</v>
      </c>
      <c r="H21" s="87">
        <f>SUM(E21:G21)</f>
        <v>225.87700000000001</v>
      </c>
      <c r="I21" s="88">
        <f>A21+E21</f>
        <v>5.2859999999999996</v>
      </c>
      <c r="J21" s="81">
        <f>B21+F21</f>
        <v>154.524</v>
      </c>
      <c r="K21" s="88">
        <f>G21+C21</f>
        <v>292.24799999999999</v>
      </c>
      <c r="L21" s="86">
        <f>SUM(I21:K21)</f>
        <v>452.05799999999999</v>
      </c>
      <c r="M21" s="71"/>
      <c r="N21" s="72" t="s">
        <v>49</v>
      </c>
      <c r="O21" s="99"/>
    </row>
    <row r="22" spans="1:15" s="70" customFormat="1" ht="14.25" hidden="1" x14ac:dyDescent="0.2">
      <c r="A22" s="94">
        <v>2.927</v>
      </c>
      <c r="B22" s="85">
        <v>64.177000000000007</v>
      </c>
      <c r="C22" s="81">
        <v>149.142</v>
      </c>
      <c r="D22" s="87">
        <f>SUM(A22:C22)</f>
        <v>216.24600000000001</v>
      </c>
      <c r="E22" s="88">
        <v>3.0150000000000001</v>
      </c>
      <c r="F22" s="81">
        <v>75.686999999999998</v>
      </c>
      <c r="G22" s="81">
        <v>136.49</v>
      </c>
      <c r="H22" s="87">
        <f>SUM(E22:G22)</f>
        <v>215.19200000000001</v>
      </c>
      <c r="I22" s="88">
        <f>A22+E22</f>
        <v>5.9420000000000002</v>
      </c>
      <c r="J22" s="81">
        <f>B22+F22</f>
        <v>139.864</v>
      </c>
      <c r="K22" s="88">
        <f>C22+G22</f>
        <v>285.63200000000001</v>
      </c>
      <c r="L22" s="86">
        <f>SUM(I22:K22)</f>
        <v>431.43799999999999</v>
      </c>
      <c r="M22" s="71"/>
      <c r="N22" s="72" t="s">
        <v>50</v>
      </c>
      <c r="O22" s="99"/>
    </row>
    <row r="23" spans="1:15" s="70" customFormat="1" ht="14.25" hidden="1" x14ac:dyDescent="0.2">
      <c r="A23" s="94">
        <v>3.125</v>
      </c>
      <c r="B23" s="85">
        <v>61.591999999999999</v>
      </c>
      <c r="C23" s="81">
        <v>144</v>
      </c>
      <c r="D23" s="87">
        <v>208.71699999999998</v>
      </c>
      <c r="E23" s="88">
        <v>2.1859999999999999</v>
      </c>
      <c r="F23" s="81">
        <v>75.662000000000006</v>
      </c>
      <c r="G23" s="81">
        <v>133</v>
      </c>
      <c r="H23" s="87">
        <v>210.84800000000001</v>
      </c>
      <c r="I23" s="88">
        <v>5.3109999999999999</v>
      </c>
      <c r="J23" s="81">
        <v>137.25400000000002</v>
      </c>
      <c r="K23" s="88">
        <v>277</v>
      </c>
      <c r="L23" s="86">
        <v>419.565</v>
      </c>
      <c r="M23" s="71"/>
      <c r="N23" s="72" t="s">
        <v>51</v>
      </c>
      <c r="O23" s="99"/>
    </row>
    <row r="24" spans="1:15" s="70" customFormat="1" ht="14.25" hidden="1" x14ac:dyDescent="0.2">
      <c r="A24" s="94"/>
      <c r="B24" s="85"/>
      <c r="C24" s="81"/>
      <c r="D24" s="87"/>
      <c r="E24" s="88"/>
      <c r="F24" s="81"/>
      <c r="G24" s="81"/>
      <c r="H24" s="87"/>
      <c r="I24" s="88"/>
      <c r="J24" s="81"/>
      <c r="K24" s="88"/>
      <c r="L24" s="86"/>
      <c r="M24" s="71"/>
      <c r="N24" s="72"/>
      <c r="O24" s="99"/>
    </row>
    <row r="25" spans="1:15" s="70" customFormat="1" ht="14.25" hidden="1" x14ac:dyDescent="0.2">
      <c r="A25" s="94">
        <v>3</v>
      </c>
      <c r="B25" s="85">
        <v>68</v>
      </c>
      <c r="C25" s="85">
        <v>157</v>
      </c>
      <c r="D25" s="87">
        <v>228</v>
      </c>
      <c r="E25" s="85">
        <v>3</v>
      </c>
      <c r="F25" s="85">
        <v>91</v>
      </c>
      <c r="G25" s="85">
        <v>141</v>
      </c>
      <c r="H25" s="87">
        <v>235</v>
      </c>
      <c r="I25" s="84">
        <f t="shared" ref="I25:L26" si="4">E25+A25</f>
        <v>6</v>
      </c>
      <c r="J25" s="85">
        <f t="shared" si="4"/>
        <v>159</v>
      </c>
      <c r="K25" s="84">
        <f t="shared" si="4"/>
        <v>298</v>
      </c>
      <c r="L25" s="86">
        <f t="shared" si="4"/>
        <v>463</v>
      </c>
      <c r="M25" s="71"/>
      <c r="N25" s="72" t="s">
        <v>48</v>
      </c>
      <c r="O25" s="99">
        <v>2006</v>
      </c>
    </row>
    <row r="26" spans="1:15" s="70" customFormat="1" ht="14.25" hidden="1" x14ac:dyDescent="0.2">
      <c r="A26" s="94">
        <v>4</v>
      </c>
      <c r="B26" s="85">
        <v>78</v>
      </c>
      <c r="C26" s="85">
        <v>152</v>
      </c>
      <c r="D26" s="87">
        <f>SUM(A26:C26)</f>
        <v>234</v>
      </c>
      <c r="E26" s="85">
        <v>3</v>
      </c>
      <c r="F26" s="85">
        <v>90</v>
      </c>
      <c r="G26" s="85">
        <v>141</v>
      </c>
      <c r="H26" s="87">
        <f>SUM(E26:G26)</f>
        <v>234</v>
      </c>
      <c r="I26" s="84">
        <f>E26+A26</f>
        <v>7</v>
      </c>
      <c r="J26" s="85">
        <f t="shared" si="4"/>
        <v>168</v>
      </c>
      <c r="K26" s="84">
        <f t="shared" si="4"/>
        <v>293</v>
      </c>
      <c r="L26" s="86">
        <f t="shared" si="4"/>
        <v>468</v>
      </c>
      <c r="M26" s="71"/>
      <c r="N26" s="72" t="s">
        <v>49</v>
      </c>
      <c r="O26" s="99"/>
    </row>
    <row r="27" spans="1:15" s="70" customFormat="1" ht="14.25" hidden="1" x14ac:dyDescent="0.2">
      <c r="A27" s="94">
        <v>2.6</v>
      </c>
      <c r="B27" s="85">
        <v>91</v>
      </c>
      <c r="C27" s="85">
        <v>107</v>
      </c>
      <c r="D27" s="87">
        <v>200.6</v>
      </c>
      <c r="E27" s="85">
        <v>2.7</v>
      </c>
      <c r="F27" s="85">
        <v>106</v>
      </c>
      <c r="G27" s="85">
        <v>96</v>
      </c>
      <c r="H27" s="87">
        <v>204.7</v>
      </c>
      <c r="I27" s="84">
        <v>4.3</v>
      </c>
      <c r="J27" s="85">
        <v>197</v>
      </c>
      <c r="K27" s="84">
        <v>203</v>
      </c>
      <c r="L27" s="86">
        <v>404.3</v>
      </c>
      <c r="M27" s="71"/>
      <c r="N27" s="72" t="s">
        <v>50</v>
      </c>
      <c r="O27" s="99"/>
    </row>
    <row r="28" spans="1:15" s="70" customFormat="1" ht="14.25" hidden="1" x14ac:dyDescent="0.2">
      <c r="A28" s="94">
        <v>3</v>
      </c>
      <c r="B28" s="85">
        <v>79</v>
      </c>
      <c r="C28" s="85">
        <v>136</v>
      </c>
      <c r="D28" s="87">
        <v>218</v>
      </c>
      <c r="E28" s="85">
        <v>3</v>
      </c>
      <c r="F28" s="85">
        <v>90</v>
      </c>
      <c r="G28" s="85">
        <v>123</v>
      </c>
      <c r="H28" s="87">
        <v>216</v>
      </c>
      <c r="I28" s="84">
        <v>6</v>
      </c>
      <c r="J28" s="85">
        <v>169</v>
      </c>
      <c r="K28" s="84">
        <v>259</v>
      </c>
      <c r="L28" s="86">
        <v>434</v>
      </c>
      <c r="M28" s="71"/>
      <c r="N28" s="72" t="s">
        <v>51</v>
      </c>
      <c r="O28" s="99"/>
    </row>
    <row r="29" spans="1:15" s="70" customFormat="1" ht="14.25" x14ac:dyDescent="0.2">
      <c r="A29" s="94">
        <f t="shared" ref="A29:K29" si="5">A85+A89+A93+A97</f>
        <v>0</v>
      </c>
      <c r="B29" s="85">
        <f t="shared" si="5"/>
        <v>497.91699999999997</v>
      </c>
      <c r="C29" s="85">
        <f t="shared" si="5"/>
        <v>639.69200000000001</v>
      </c>
      <c r="D29" s="87">
        <f t="shared" si="5"/>
        <v>1137.6089999999999</v>
      </c>
      <c r="E29" s="85">
        <f t="shared" si="5"/>
        <v>0</v>
      </c>
      <c r="F29" s="85">
        <f t="shared" si="5"/>
        <v>519.66500000000008</v>
      </c>
      <c r="G29" s="85">
        <f t="shared" si="5"/>
        <v>626.7650000000001</v>
      </c>
      <c r="H29" s="87">
        <f t="shared" si="5"/>
        <v>1146.4299999999998</v>
      </c>
      <c r="I29" s="84">
        <f t="shared" si="5"/>
        <v>0</v>
      </c>
      <c r="J29" s="85">
        <f t="shared" si="5"/>
        <v>1017.5819999999999</v>
      </c>
      <c r="K29" s="84">
        <f t="shared" si="5"/>
        <v>1266.4569999999999</v>
      </c>
      <c r="L29" s="86">
        <f>L85+L89+L93+L97</f>
        <v>2284.0390000000002</v>
      </c>
      <c r="M29" s="71"/>
      <c r="N29" s="72"/>
      <c r="O29" s="99">
        <v>2010</v>
      </c>
    </row>
    <row r="30" spans="1:15" s="70" customFormat="1" ht="14.25" x14ac:dyDescent="0.2">
      <c r="A30" s="94">
        <f t="shared" ref="A30:K30" si="6">A102+A106+A110+A114</f>
        <v>0</v>
      </c>
      <c r="B30" s="85">
        <f>B102+B106+B110+B114</f>
        <v>572.47699999999998</v>
      </c>
      <c r="C30" s="85">
        <f t="shared" si="6"/>
        <v>619.98400000000004</v>
      </c>
      <c r="D30" s="87">
        <f t="shared" si="6"/>
        <v>1192.461</v>
      </c>
      <c r="E30" s="85">
        <f t="shared" si="6"/>
        <v>4.9000000000000002E-2</v>
      </c>
      <c r="F30" s="85">
        <f t="shared" si="6"/>
        <v>587.62599999999998</v>
      </c>
      <c r="G30" s="85">
        <f t="shared" si="6"/>
        <v>615.53099999999995</v>
      </c>
      <c r="H30" s="87">
        <f t="shared" si="6"/>
        <v>1203.2059999999999</v>
      </c>
      <c r="I30" s="84">
        <f t="shared" si="6"/>
        <v>4.9000000000000002E-2</v>
      </c>
      <c r="J30" s="85">
        <f t="shared" si="6"/>
        <v>1160.1030000000001</v>
      </c>
      <c r="K30" s="84">
        <f t="shared" si="6"/>
        <v>1235.5149999999999</v>
      </c>
      <c r="L30" s="86">
        <f>L102+L106+L110+L114</f>
        <v>2395.6669999999999</v>
      </c>
      <c r="M30" s="71"/>
      <c r="N30" s="72"/>
      <c r="O30" s="99">
        <v>2011</v>
      </c>
    </row>
    <row r="31" spans="1:15" s="70" customFormat="1" ht="14.25" x14ac:dyDescent="0.2">
      <c r="A31" s="94">
        <f>A119+A123+A127+A131</f>
        <v>1E-3</v>
      </c>
      <c r="B31" s="85">
        <f t="shared" ref="B31:J31" si="7">B119+B123+B127+B131</f>
        <v>580.26099999999997</v>
      </c>
      <c r="C31" s="85">
        <f t="shared" si="7"/>
        <v>690.34100000000001</v>
      </c>
      <c r="D31" s="87">
        <f t="shared" si="7"/>
        <v>1270.6030000000001</v>
      </c>
      <c r="E31" s="85">
        <f t="shared" si="7"/>
        <v>0</v>
      </c>
      <c r="F31" s="85">
        <f t="shared" si="7"/>
        <v>590.19000000000005</v>
      </c>
      <c r="G31" s="85">
        <f t="shared" si="7"/>
        <v>680.28000000000009</v>
      </c>
      <c r="H31" s="87">
        <f t="shared" si="7"/>
        <v>1270.4700000000003</v>
      </c>
      <c r="I31" s="84">
        <f t="shared" si="7"/>
        <v>1E-3</v>
      </c>
      <c r="J31" s="85">
        <f t="shared" si="7"/>
        <v>1170.451</v>
      </c>
      <c r="K31" s="84">
        <f>K119+K123+K127+K131</f>
        <v>1370.6210000000001</v>
      </c>
      <c r="L31" s="86">
        <f>L119+L123+L127+L131</f>
        <v>2541.0730000000003</v>
      </c>
      <c r="M31" s="71"/>
      <c r="N31" s="72"/>
      <c r="O31" s="99">
        <v>2012</v>
      </c>
    </row>
    <row r="32" spans="1:15" s="70" customFormat="1" ht="9" hidden="1" customHeight="1" x14ac:dyDescent="0.2">
      <c r="A32" s="94"/>
      <c r="B32" s="85"/>
      <c r="C32" s="85"/>
      <c r="D32" s="87"/>
      <c r="E32" s="85"/>
      <c r="F32" s="85"/>
      <c r="G32" s="85"/>
      <c r="H32" s="87"/>
      <c r="I32" s="84"/>
      <c r="J32" s="85"/>
      <c r="K32" s="84"/>
      <c r="L32" s="86"/>
      <c r="M32" s="71"/>
      <c r="N32" s="72"/>
      <c r="O32" s="99"/>
    </row>
    <row r="33" spans="1:15" s="70" customFormat="1" ht="14.25" hidden="1" x14ac:dyDescent="0.2">
      <c r="A33" s="94">
        <v>0.751</v>
      </c>
      <c r="B33" s="85">
        <v>77.361999999999995</v>
      </c>
      <c r="C33" s="85">
        <v>147.74</v>
      </c>
      <c r="D33" s="87">
        <v>225.85300000000001</v>
      </c>
      <c r="E33" s="85">
        <v>1.379</v>
      </c>
      <c r="F33" s="85">
        <v>107.563</v>
      </c>
      <c r="G33" s="85">
        <v>136.32300000000001</v>
      </c>
      <c r="H33" s="87">
        <v>245.26499999999999</v>
      </c>
      <c r="I33" s="84">
        <v>2.13</v>
      </c>
      <c r="J33" s="85">
        <v>184.92500000000001</v>
      </c>
      <c r="K33" s="84">
        <v>284.06299999999999</v>
      </c>
      <c r="L33" s="86">
        <v>471.11799999999999</v>
      </c>
      <c r="M33" s="71"/>
      <c r="N33" s="72" t="s">
        <v>48</v>
      </c>
      <c r="O33" s="99">
        <v>2007</v>
      </c>
    </row>
    <row r="34" spans="1:15" s="70" customFormat="1" ht="14.25" hidden="1" x14ac:dyDescent="0.2">
      <c r="A34" s="94">
        <v>1.9390000000000001</v>
      </c>
      <c r="B34" s="85">
        <v>103.517</v>
      </c>
      <c r="C34" s="85">
        <v>150.12200000000001</v>
      </c>
      <c r="D34" s="87">
        <f>SUM(A34:C34)</f>
        <v>255.578</v>
      </c>
      <c r="E34" s="85">
        <v>1.675</v>
      </c>
      <c r="F34" s="85">
        <v>110.986</v>
      </c>
      <c r="G34" s="85">
        <v>137.09700000000001</v>
      </c>
      <c r="H34" s="87">
        <f>SUM(E34:G34)</f>
        <v>249.75800000000001</v>
      </c>
      <c r="I34" s="84">
        <f>E34+A34</f>
        <v>3.6139999999999999</v>
      </c>
      <c r="J34" s="85">
        <f>F34+B34</f>
        <v>214.50299999999999</v>
      </c>
      <c r="K34" s="84">
        <f>G34+C34</f>
        <v>287.21900000000005</v>
      </c>
      <c r="L34" s="86">
        <f>H34+D34</f>
        <v>505.33600000000001</v>
      </c>
      <c r="M34" s="71"/>
      <c r="N34" s="72" t="s">
        <v>49</v>
      </c>
      <c r="O34" s="99"/>
    </row>
    <row r="35" spans="1:15" s="70" customFormat="1" ht="14.25" hidden="1" x14ac:dyDescent="0.2">
      <c r="A35" s="94">
        <v>0.59899999999999998</v>
      </c>
      <c r="B35" s="85">
        <v>92.692999999999998</v>
      </c>
      <c r="C35" s="85">
        <v>148.69999999999999</v>
      </c>
      <c r="D35" s="87">
        <f>SUM(A35:C35)</f>
        <v>241.99199999999999</v>
      </c>
      <c r="E35" s="85">
        <v>0.36799999999999999</v>
      </c>
      <c r="F35" s="85">
        <v>113.621</v>
      </c>
      <c r="G35" s="85">
        <v>135.46600000000001</v>
      </c>
      <c r="H35" s="87">
        <f>SUM(E35:G35)</f>
        <v>249.45499999999998</v>
      </c>
      <c r="I35" s="84">
        <f t="shared" ref="I35:L36" si="8">A35+E35</f>
        <v>0.96699999999999997</v>
      </c>
      <c r="J35" s="85">
        <f t="shared" si="8"/>
        <v>206.31399999999999</v>
      </c>
      <c r="K35" s="84">
        <f t="shared" si="8"/>
        <v>284.166</v>
      </c>
      <c r="L35" s="86">
        <f t="shared" si="8"/>
        <v>491.447</v>
      </c>
      <c r="M35" s="71"/>
      <c r="N35" s="72" t="s">
        <v>50</v>
      </c>
      <c r="O35" s="99"/>
    </row>
    <row r="36" spans="1:15" s="70" customFormat="1" ht="14.25" hidden="1" x14ac:dyDescent="0.2">
      <c r="A36" s="94">
        <v>2E-3</v>
      </c>
      <c r="B36" s="85">
        <v>97.168000000000006</v>
      </c>
      <c r="C36" s="85">
        <v>148.52600000000001</v>
      </c>
      <c r="D36" s="87">
        <f>SUM(A36:C36)</f>
        <v>245.69600000000003</v>
      </c>
      <c r="E36" s="85">
        <v>6.0000000000000001E-3</v>
      </c>
      <c r="F36" s="85">
        <v>105.78700000000001</v>
      </c>
      <c r="G36" s="85">
        <v>144.654</v>
      </c>
      <c r="H36" s="87">
        <f>SUM(E36:G36)</f>
        <v>250.447</v>
      </c>
      <c r="I36" s="84">
        <f t="shared" si="8"/>
        <v>8.0000000000000002E-3</v>
      </c>
      <c r="J36" s="85">
        <f t="shared" si="8"/>
        <v>202.95500000000001</v>
      </c>
      <c r="K36" s="84">
        <f t="shared" si="8"/>
        <v>293.18</v>
      </c>
      <c r="L36" s="86">
        <f t="shared" si="8"/>
        <v>496.14300000000003</v>
      </c>
      <c r="M36" s="71"/>
      <c r="N36" s="72" t="s">
        <v>51</v>
      </c>
      <c r="O36" s="99"/>
    </row>
    <row r="37" spans="1:15" s="70" customFormat="1" ht="14.25" x14ac:dyDescent="0.2">
      <c r="A37" s="94">
        <f t="shared" ref="A37:K37" si="9">A136+A140+A144+A148</f>
        <v>0.159</v>
      </c>
      <c r="B37" s="85">
        <f t="shared" si="9"/>
        <v>583.56500000000005</v>
      </c>
      <c r="C37" s="85">
        <f t="shared" si="9"/>
        <v>681.96299999999997</v>
      </c>
      <c r="D37" s="87">
        <f t="shared" si="9"/>
        <v>1265.6869999999999</v>
      </c>
      <c r="E37" s="85">
        <f t="shared" si="9"/>
        <v>6.9000000000000006E-2</v>
      </c>
      <c r="F37" s="85">
        <f>F136+F140+F144+F148</f>
        <v>598.10300000000007</v>
      </c>
      <c r="G37" s="85">
        <f t="shared" si="9"/>
        <v>675.02600000000007</v>
      </c>
      <c r="H37" s="87">
        <f t="shared" si="9"/>
        <v>1273.1980000000001</v>
      </c>
      <c r="I37" s="84">
        <f t="shared" si="9"/>
        <v>0.22800000000000001</v>
      </c>
      <c r="J37" s="85">
        <f>J136+J140+J144+J148</f>
        <v>1181.6679999999999</v>
      </c>
      <c r="K37" s="84">
        <f t="shared" si="9"/>
        <v>1356.989</v>
      </c>
      <c r="L37" s="86">
        <f>L136+L140+L144+L148</f>
        <v>2538.8850000000002</v>
      </c>
      <c r="M37" s="71"/>
      <c r="N37" s="72"/>
      <c r="O37" s="99">
        <v>2013</v>
      </c>
    </row>
    <row r="38" spans="1:15" s="70" customFormat="1" ht="2.25" customHeight="1" x14ac:dyDescent="0.2">
      <c r="A38" s="94"/>
      <c r="B38" s="85"/>
      <c r="C38" s="85"/>
      <c r="D38" s="87"/>
      <c r="E38" s="85"/>
      <c r="F38" s="85"/>
      <c r="G38" s="85"/>
      <c r="H38" s="87"/>
      <c r="I38" s="84"/>
      <c r="J38" s="85"/>
      <c r="K38" s="84"/>
      <c r="L38" s="86"/>
      <c r="M38" s="71"/>
      <c r="N38" s="72"/>
      <c r="O38" s="99"/>
    </row>
    <row r="39" spans="1:15" s="70" customFormat="1" ht="14.25" hidden="1" x14ac:dyDescent="0.2">
      <c r="A39" s="94">
        <v>2E-3</v>
      </c>
      <c r="B39" s="85">
        <v>30.16</v>
      </c>
      <c r="C39" s="85">
        <v>58.84</v>
      </c>
      <c r="D39" s="87">
        <f>SUM(A39:C39)</f>
        <v>89.00200000000001</v>
      </c>
      <c r="E39" s="85">
        <v>0</v>
      </c>
      <c r="F39" s="85">
        <v>30.193000000000001</v>
      </c>
      <c r="G39" s="85">
        <v>52.981000000000002</v>
      </c>
      <c r="H39" s="87">
        <f>SUM(E39:G39)</f>
        <v>83.174000000000007</v>
      </c>
      <c r="I39" s="84">
        <f t="shared" ref="I39:L40" si="10">E39+A39</f>
        <v>2E-3</v>
      </c>
      <c r="J39" s="85">
        <f t="shared" si="10"/>
        <v>60.353000000000002</v>
      </c>
      <c r="K39" s="84">
        <f t="shared" si="10"/>
        <v>111.821</v>
      </c>
      <c r="L39" s="86">
        <f t="shared" si="10"/>
        <v>172.17600000000002</v>
      </c>
      <c r="M39" s="71"/>
      <c r="N39" s="72" t="s">
        <v>75</v>
      </c>
      <c r="O39" s="99">
        <v>2008</v>
      </c>
    </row>
    <row r="40" spans="1:15" s="70" customFormat="1" ht="14.25" hidden="1" x14ac:dyDescent="0.2">
      <c r="A40" s="94">
        <v>0</v>
      </c>
      <c r="B40" s="85">
        <v>31.984000000000002</v>
      </c>
      <c r="C40" s="85">
        <v>56.728999999999999</v>
      </c>
      <c r="D40" s="87">
        <f>SUM(A40:C40)</f>
        <v>88.712999999999994</v>
      </c>
      <c r="E40" s="85">
        <v>0</v>
      </c>
      <c r="F40" s="85">
        <v>38.840000000000003</v>
      </c>
      <c r="G40" s="85">
        <v>51.125999999999998</v>
      </c>
      <c r="H40" s="87">
        <f>SUM(E40:G40)</f>
        <v>89.966000000000008</v>
      </c>
      <c r="I40" s="84">
        <f t="shared" si="10"/>
        <v>0</v>
      </c>
      <c r="J40" s="85">
        <f t="shared" si="10"/>
        <v>70.824000000000012</v>
      </c>
      <c r="K40" s="84">
        <f t="shared" si="10"/>
        <v>107.85499999999999</v>
      </c>
      <c r="L40" s="86">
        <f t="shared" si="10"/>
        <v>178.679</v>
      </c>
      <c r="M40" s="71"/>
      <c r="N40" s="72" t="s">
        <v>76</v>
      </c>
      <c r="O40" s="99"/>
    </row>
    <row r="41" spans="1:15" s="70" customFormat="1" ht="14.25" hidden="1" x14ac:dyDescent="0.2">
      <c r="A41" s="94">
        <v>0</v>
      </c>
      <c r="B41" s="85">
        <v>33.085000000000001</v>
      </c>
      <c r="C41" s="85">
        <v>66.870999999999995</v>
      </c>
      <c r="D41" s="87">
        <f>SUM(A41:C41)</f>
        <v>99.955999999999989</v>
      </c>
      <c r="E41" s="85">
        <v>0</v>
      </c>
      <c r="F41" s="85">
        <v>38.305</v>
      </c>
      <c r="G41" s="85">
        <v>54.984999999999999</v>
      </c>
      <c r="H41" s="87">
        <f>SUM(E41:G41)</f>
        <v>93.289999999999992</v>
      </c>
      <c r="I41" s="84">
        <f>A41+E41</f>
        <v>0</v>
      </c>
      <c r="J41" s="85">
        <f>B41+F41</f>
        <v>71.39</v>
      </c>
      <c r="K41" s="84">
        <f>C41+G41</f>
        <v>121.85599999999999</v>
      </c>
      <c r="L41" s="86">
        <f>D41+H41</f>
        <v>193.24599999999998</v>
      </c>
      <c r="M41" s="71"/>
      <c r="N41" s="72" t="s">
        <v>77</v>
      </c>
      <c r="O41" s="99"/>
    </row>
    <row r="42" spans="1:15" s="70" customFormat="1" ht="12.75" hidden="1" customHeight="1" x14ac:dyDescent="0.2">
      <c r="A42" s="94">
        <f t="shared" ref="A42:K42" si="11">SUM(A39:A41)</f>
        <v>2E-3</v>
      </c>
      <c r="B42" s="85">
        <f t="shared" si="11"/>
        <v>95.229000000000013</v>
      </c>
      <c r="C42" s="85">
        <f t="shared" si="11"/>
        <v>182.44</v>
      </c>
      <c r="D42" s="87">
        <f t="shared" si="11"/>
        <v>277.67099999999999</v>
      </c>
      <c r="E42" s="85">
        <f t="shared" si="11"/>
        <v>0</v>
      </c>
      <c r="F42" s="85">
        <f t="shared" si="11"/>
        <v>107.33799999999999</v>
      </c>
      <c r="G42" s="85">
        <f t="shared" si="11"/>
        <v>159.09199999999998</v>
      </c>
      <c r="H42" s="87">
        <f t="shared" si="11"/>
        <v>266.43</v>
      </c>
      <c r="I42" s="84">
        <f t="shared" si="11"/>
        <v>2E-3</v>
      </c>
      <c r="J42" s="85">
        <f t="shared" si="11"/>
        <v>202.56700000000001</v>
      </c>
      <c r="K42" s="84">
        <f t="shared" si="11"/>
        <v>341.53199999999998</v>
      </c>
      <c r="L42" s="86">
        <f>SUM(L39:L41)</f>
        <v>544.101</v>
      </c>
      <c r="M42" s="71"/>
      <c r="N42" s="72" t="s">
        <v>48</v>
      </c>
      <c r="O42" s="99">
        <v>2008</v>
      </c>
    </row>
    <row r="43" spans="1:15" s="70" customFormat="1" ht="14.25" hidden="1" x14ac:dyDescent="0.2">
      <c r="A43" s="94">
        <v>0</v>
      </c>
      <c r="B43" s="85">
        <v>30.24</v>
      </c>
      <c r="C43" s="85">
        <v>58.454000000000001</v>
      </c>
      <c r="D43" s="87">
        <f>SUM(A43:C43)</f>
        <v>88.694000000000003</v>
      </c>
      <c r="E43" s="85">
        <v>0</v>
      </c>
      <c r="F43" s="85">
        <v>36.756</v>
      </c>
      <c r="G43" s="85">
        <v>58.337000000000003</v>
      </c>
      <c r="H43" s="87">
        <f>SUM(E43:G43)</f>
        <v>95.093000000000004</v>
      </c>
      <c r="I43" s="84">
        <f>A43+E43</f>
        <v>0</v>
      </c>
      <c r="J43" s="85">
        <f>B43+F43</f>
        <v>66.995999999999995</v>
      </c>
      <c r="K43" s="84">
        <f>C43+G43</f>
        <v>116.791</v>
      </c>
      <c r="L43" s="86">
        <f>D43+H43</f>
        <v>183.78700000000001</v>
      </c>
      <c r="M43" s="71"/>
      <c r="N43" s="72" t="s">
        <v>79</v>
      </c>
      <c r="O43" s="99"/>
    </row>
    <row r="44" spans="1:15" s="70" customFormat="1" ht="14.25" hidden="1" x14ac:dyDescent="0.2">
      <c r="A44" s="94">
        <v>8.9999999999999993E-3</v>
      </c>
      <c r="B44" s="85">
        <v>33.201000000000001</v>
      </c>
      <c r="C44" s="85">
        <v>63.402000000000001</v>
      </c>
      <c r="D44" s="87">
        <f>SUM(A44:C44)</f>
        <v>96.611999999999995</v>
      </c>
      <c r="E44" s="85">
        <v>0</v>
      </c>
      <c r="F44" s="85">
        <v>34.073999999999998</v>
      </c>
      <c r="G44" s="85">
        <v>54.506999999999998</v>
      </c>
      <c r="H44" s="87">
        <f>SUM(E44:G44)</f>
        <v>88.580999999999989</v>
      </c>
      <c r="I44" s="84">
        <f>SUM(A44+E44)</f>
        <v>8.9999999999999993E-3</v>
      </c>
      <c r="J44" s="85">
        <f>SUM(B44+F44)</f>
        <v>67.275000000000006</v>
      </c>
      <c r="K44" s="84">
        <f>SUM(C44+G44)</f>
        <v>117.90899999999999</v>
      </c>
      <c r="L44" s="86">
        <f>SUM(D44+H44)</f>
        <v>185.19299999999998</v>
      </c>
      <c r="M44" s="71"/>
      <c r="N44" s="72" t="s">
        <v>80</v>
      </c>
      <c r="O44" s="99"/>
    </row>
    <row r="45" spans="1:15" s="70" customFormat="1" ht="14.25" hidden="1" x14ac:dyDescent="0.2">
      <c r="A45" s="94">
        <v>0</v>
      </c>
      <c r="B45" s="85">
        <v>30.998000000000001</v>
      </c>
      <c r="C45" s="85">
        <v>59.76</v>
      </c>
      <c r="D45" s="87">
        <f>SUM(A45:C45)</f>
        <v>90.757999999999996</v>
      </c>
      <c r="E45" s="85">
        <v>0</v>
      </c>
      <c r="F45" s="85">
        <v>31.797999999999998</v>
      </c>
      <c r="G45" s="85">
        <v>56.552999999999997</v>
      </c>
      <c r="H45" s="87">
        <f>SUM(E45:G45)</f>
        <v>88.350999999999999</v>
      </c>
      <c r="I45" s="84">
        <f>A45+E45</f>
        <v>0</v>
      </c>
      <c r="J45" s="85">
        <f>B45+F45</f>
        <v>62.795999999999999</v>
      </c>
      <c r="K45" s="84">
        <f>C45+G45</f>
        <v>116.31299999999999</v>
      </c>
      <c r="L45" s="86">
        <f>D45+H45</f>
        <v>179.10899999999998</v>
      </c>
      <c r="M45" s="71"/>
      <c r="N45" s="72" t="s">
        <v>81</v>
      </c>
      <c r="O45" s="99"/>
    </row>
    <row r="46" spans="1:15" s="70" customFormat="1" ht="14.25" hidden="1" x14ac:dyDescent="0.2">
      <c r="A46" s="94">
        <f t="shared" ref="A46:I46" si="12">SUM(A43:A45)</f>
        <v>8.9999999999999993E-3</v>
      </c>
      <c r="B46" s="85">
        <f t="shared" si="12"/>
        <v>94.439000000000007</v>
      </c>
      <c r="C46" s="85">
        <f t="shared" si="12"/>
        <v>181.61599999999999</v>
      </c>
      <c r="D46" s="87">
        <f t="shared" si="12"/>
        <v>276.06399999999996</v>
      </c>
      <c r="E46" s="85">
        <f t="shared" si="12"/>
        <v>0</v>
      </c>
      <c r="F46" s="85">
        <f t="shared" si="12"/>
        <v>102.628</v>
      </c>
      <c r="G46" s="85">
        <f t="shared" si="12"/>
        <v>169.39699999999999</v>
      </c>
      <c r="H46" s="87">
        <f>SUM(H43:H45)</f>
        <v>272.02499999999998</v>
      </c>
      <c r="I46" s="84">
        <f t="shared" si="12"/>
        <v>8.9999999999999993E-3</v>
      </c>
      <c r="J46" s="85">
        <f>SUM(J43:J45)</f>
        <v>197.06700000000001</v>
      </c>
      <c r="K46" s="84">
        <f>SUM(K43:K45)</f>
        <v>351.01299999999998</v>
      </c>
      <c r="L46" s="86">
        <f>SUM(L43:L45)</f>
        <v>548.08899999999994</v>
      </c>
      <c r="M46" s="71"/>
      <c r="N46" s="72" t="s">
        <v>49</v>
      </c>
      <c r="O46" s="99"/>
    </row>
    <row r="47" spans="1:15" s="70" customFormat="1" ht="14.25" hidden="1" x14ac:dyDescent="0.2">
      <c r="A47" s="94">
        <v>2E-3</v>
      </c>
      <c r="B47" s="85">
        <v>34.593000000000004</v>
      </c>
      <c r="C47" s="85">
        <v>63.39</v>
      </c>
      <c r="D47" s="87">
        <f>SUM(A47:C47)</f>
        <v>97.985000000000014</v>
      </c>
      <c r="E47" s="85">
        <v>0</v>
      </c>
      <c r="F47" s="85">
        <v>39.67</v>
      </c>
      <c r="G47" s="85">
        <v>58.295999999999999</v>
      </c>
      <c r="H47" s="87">
        <f>SUM(E47:G47)</f>
        <v>97.966000000000008</v>
      </c>
      <c r="I47" s="84">
        <f t="shared" ref="I47:L49" si="13">A47+E47</f>
        <v>2E-3</v>
      </c>
      <c r="J47" s="85">
        <f t="shared" si="13"/>
        <v>74.263000000000005</v>
      </c>
      <c r="K47" s="84">
        <f t="shared" si="13"/>
        <v>121.68600000000001</v>
      </c>
      <c r="L47" s="86">
        <f t="shared" si="13"/>
        <v>195.95100000000002</v>
      </c>
      <c r="M47" s="71"/>
      <c r="N47" s="72" t="s">
        <v>83</v>
      </c>
      <c r="O47" s="99"/>
    </row>
    <row r="48" spans="1:15" s="70" customFormat="1" ht="14.25" hidden="1" x14ac:dyDescent="0.2">
      <c r="A48" s="94">
        <v>0</v>
      </c>
      <c r="B48" s="85">
        <v>24.957999999999998</v>
      </c>
      <c r="C48" s="85">
        <v>49.488999999999997</v>
      </c>
      <c r="D48" s="87">
        <f>SUM(A48:C48)</f>
        <v>74.447000000000003</v>
      </c>
      <c r="E48" s="85">
        <v>0</v>
      </c>
      <c r="F48" s="85">
        <v>34.746000000000002</v>
      </c>
      <c r="G48" s="85">
        <v>47.052</v>
      </c>
      <c r="H48" s="87">
        <f>SUM(E48:G48)</f>
        <v>81.798000000000002</v>
      </c>
      <c r="I48" s="84">
        <f t="shared" si="13"/>
        <v>0</v>
      </c>
      <c r="J48" s="85">
        <f t="shared" si="13"/>
        <v>59.704000000000001</v>
      </c>
      <c r="K48" s="84">
        <f t="shared" si="13"/>
        <v>96.540999999999997</v>
      </c>
      <c r="L48" s="86">
        <f t="shared" si="13"/>
        <v>156.245</v>
      </c>
      <c r="M48" s="71"/>
      <c r="N48" s="72" t="s">
        <v>84</v>
      </c>
      <c r="O48" s="99"/>
    </row>
    <row r="49" spans="1:15" s="70" customFormat="1" ht="14.25" hidden="1" x14ac:dyDescent="0.2">
      <c r="A49" s="94">
        <v>0</v>
      </c>
      <c r="B49" s="85">
        <v>26.922999999999998</v>
      </c>
      <c r="C49" s="85">
        <v>27.811</v>
      </c>
      <c r="D49" s="87">
        <f>SUM(A49:C49)</f>
        <v>54.733999999999995</v>
      </c>
      <c r="E49" s="85">
        <v>1E-3</v>
      </c>
      <c r="F49" s="85">
        <v>33.491</v>
      </c>
      <c r="G49" s="85">
        <v>34.284999999999997</v>
      </c>
      <c r="H49" s="87">
        <f>SUM(E49:G49)</f>
        <v>67.776999999999987</v>
      </c>
      <c r="I49" s="84">
        <f>A49+E49</f>
        <v>1E-3</v>
      </c>
      <c r="J49" s="85">
        <f t="shared" si="13"/>
        <v>60.414000000000001</v>
      </c>
      <c r="K49" s="84">
        <f t="shared" si="13"/>
        <v>62.095999999999997</v>
      </c>
      <c r="L49" s="86">
        <f t="shared" si="13"/>
        <v>122.51099999999998</v>
      </c>
      <c r="M49" s="71"/>
      <c r="N49" s="72" t="s">
        <v>85</v>
      </c>
      <c r="O49" s="99"/>
    </row>
    <row r="50" spans="1:15" s="70" customFormat="1" ht="14.25" hidden="1" x14ac:dyDescent="0.2">
      <c r="A50" s="94">
        <f t="shared" ref="A50:K50" si="14">SUM(A47:A49)</f>
        <v>2E-3</v>
      </c>
      <c r="B50" s="85">
        <f t="shared" si="14"/>
        <v>86.474000000000004</v>
      </c>
      <c r="C50" s="85">
        <f t="shared" si="14"/>
        <v>140.69</v>
      </c>
      <c r="D50" s="87">
        <f t="shared" si="14"/>
        <v>227.166</v>
      </c>
      <c r="E50" s="85">
        <f t="shared" si="14"/>
        <v>1E-3</v>
      </c>
      <c r="F50" s="85">
        <f t="shared" si="14"/>
        <v>107.907</v>
      </c>
      <c r="G50" s="85">
        <f t="shared" si="14"/>
        <v>139.63299999999998</v>
      </c>
      <c r="H50" s="87">
        <f t="shared" si="14"/>
        <v>247.541</v>
      </c>
      <c r="I50" s="84">
        <f t="shared" si="14"/>
        <v>3.0000000000000001E-3</v>
      </c>
      <c r="J50" s="85">
        <f t="shared" si="14"/>
        <v>194.38100000000003</v>
      </c>
      <c r="K50" s="84">
        <f t="shared" si="14"/>
        <v>280.32299999999998</v>
      </c>
      <c r="L50" s="86">
        <f>SUM(L47:L49)</f>
        <v>474.70699999999999</v>
      </c>
      <c r="M50" s="71"/>
      <c r="N50" s="72" t="s">
        <v>50</v>
      </c>
      <c r="O50" s="99"/>
    </row>
    <row r="51" spans="1:15" s="70" customFormat="1" ht="14.25" hidden="1" x14ac:dyDescent="0.2">
      <c r="A51" s="94">
        <v>6.4000000000000001E-2</v>
      </c>
      <c r="B51" s="85">
        <v>36.869999999999997</v>
      </c>
      <c r="C51" s="85">
        <v>44.17</v>
      </c>
      <c r="D51" s="87">
        <f>SUM(A51:C51)</f>
        <v>81.103999999999999</v>
      </c>
      <c r="E51" s="85">
        <v>0</v>
      </c>
      <c r="F51" s="85">
        <v>44.512999999999998</v>
      </c>
      <c r="G51" s="85">
        <v>47.704999999999998</v>
      </c>
      <c r="H51" s="87">
        <f>SUM(E51:G51)</f>
        <v>92.217999999999989</v>
      </c>
      <c r="I51" s="84">
        <f t="shared" ref="I51:L53" si="15">A51+E51</f>
        <v>6.4000000000000001E-2</v>
      </c>
      <c r="J51" s="85">
        <f t="shared" si="15"/>
        <v>81.382999999999996</v>
      </c>
      <c r="K51" s="84">
        <f t="shared" si="15"/>
        <v>91.875</v>
      </c>
      <c r="L51" s="86">
        <f t="shared" si="15"/>
        <v>173.322</v>
      </c>
      <c r="M51" s="71"/>
      <c r="N51" s="72" t="s">
        <v>87</v>
      </c>
      <c r="O51" s="99"/>
    </row>
    <row r="52" spans="1:15" s="70" customFormat="1" ht="14.25" hidden="1" x14ac:dyDescent="0.2">
      <c r="A52" s="94">
        <v>0.35399999999999998</v>
      </c>
      <c r="B52" s="85">
        <v>39.963999999999999</v>
      </c>
      <c r="C52" s="85">
        <v>52.308999999999997</v>
      </c>
      <c r="D52" s="87">
        <f>SUM(A52:C52)</f>
        <v>92.626999999999995</v>
      </c>
      <c r="E52" s="85">
        <v>0.51900000000000002</v>
      </c>
      <c r="F52" s="85">
        <v>38.718000000000004</v>
      </c>
      <c r="G52" s="85">
        <v>48.719000000000001</v>
      </c>
      <c r="H52" s="87">
        <f>SUM(E52:G52)</f>
        <v>87.956000000000003</v>
      </c>
      <c r="I52" s="84">
        <f t="shared" si="15"/>
        <v>0.873</v>
      </c>
      <c r="J52" s="85">
        <f t="shared" si="15"/>
        <v>78.682000000000002</v>
      </c>
      <c r="K52" s="84">
        <f t="shared" si="15"/>
        <v>101.02799999999999</v>
      </c>
      <c r="L52" s="86">
        <f t="shared" si="15"/>
        <v>180.583</v>
      </c>
      <c r="M52" s="71"/>
      <c r="N52" s="72" t="s">
        <v>88</v>
      </c>
      <c r="O52" s="99"/>
    </row>
    <row r="53" spans="1:15" s="70" customFormat="1" ht="14.25" hidden="1" x14ac:dyDescent="0.2">
      <c r="A53" s="94">
        <v>0.48599999999999999</v>
      </c>
      <c r="B53" s="85">
        <v>35.661999999999999</v>
      </c>
      <c r="C53" s="85">
        <v>43.061999999999998</v>
      </c>
      <c r="D53" s="87">
        <f>SUM(A53:C53)</f>
        <v>79.209999999999994</v>
      </c>
      <c r="E53" s="85">
        <v>0.58599999999999997</v>
      </c>
      <c r="F53" s="85">
        <v>38.177999999999997</v>
      </c>
      <c r="G53" s="85">
        <v>42.284999999999997</v>
      </c>
      <c r="H53" s="87">
        <f>SUM(E53:G53)</f>
        <v>81.048999999999992</v>
      </c>
      <c r="I53" s="84">
        <f>A53+E53</f>
        <v>1.0720000000000001</v>
      </c>
      <c r="J53" s="85">
        <f t="shared" si="15"/>
        <v>73.84</v>
      </c>
      <c r="K53" s="84">
        <f t="shared" si="15"/>
        <v>85.346999999999994</v>
      </c>
      <c r="L53" s="86">
        <f t="shared" si="15"/>
        <v>160.25899999999999</v>
      </c>
      <c r="M53" s="71"/>
      <c r="N53" s="72" t="s">
        <v>89</v>
      </c>
      <c r="O53" s="99"/>
    </row>
    <row r="54" spans="1:15" s="70" customFormat="1" ht="14.25" hidden="1" x14ac:dyDescent="0.2">
      <c r="A54" s="94">
        <f t="shared" ref="A54:L54" si="16">SUM(A51:A53)</f>
        <v>0.90399999999999991</v>
      </c>
      <c r="B54" s="85">
        <f t="shared" si="16"/>
        <v>112.49600000000001</v>
      </c>
      <c r="C54" s="85">
        <f t="shared" si="16"/>
        <v>139.541</v>
      </c>
      <c r="D54" s="87">
        <f t="shared" si="16"/>
        <v>252.94099999999997</v>
      </c>
      <c r="E54" s="85">
        <f t="shared" si="16"/>
        <v>1.105</v>
      </c>
      <c r="F54" s="85">
        <f t="shared" si="16"/>
        <v>121.40899999999999</v>
      </c>
      <c r="G54" s="85">
        <f t="shared" si="16"/>
        <v>138.709</v>
      </c>
      <c r="H54" s="87">
        <f t="shared" si="16"/>
        <v>261.22299999999996</v>
      </c>
      <c r="I54" s="93">
        <f t="shared" si="16"/>
        <v>2.0090000000000003</v>
      </c>
      <c r="J54" s="85">
        <f t="shared" si="16"/>
        <v>233.905</v>
      </c>
      <c r="K54" s="84">
        <f t="shared" si="16"/>
        <v>278.25</v>
      </c>
      <c r="L54" s="86">
        <f t="shared" si="16"/>
        <v>514.16399999999999</v>
      </c>
      <c r="M54" s="71"/>
      <c r="N54" s="72" t="s">
        <v>51</v>
      </c>
      <c r="O54" s="99"/>
    </row>
    <row r="55" spans="1:15" s="70" customFormat="1" ht="6.75" hidden="1" customHeight="1" x14ac:dyDescent="0.2">
      <c r="A55" s="94"/>
      <c r="B55" s="85"/>
      <c r="C55" s="85"/>
      <c r="D55" s="87"/>
      <c r="E55" s="85"/>
      <c r="F55" s="85"/>
      <c r="G55" s="85"/>
      <c r="H55" s="85"/>
      <c r="I55" s="93"/>
      <c r="J55" s="85"/>
      <c r="K55" s="84"/>
      <c r="L55" s="86"/>
      <c r="M55" s="71"/>
      <c r="N55" s="72"/>
      <c r="O55" s="99"/>
    </row>
    <row r="56" spans="1:15" s="70" customFormat="1" ht="14.25" hidden="1" x14ac:dyDescent="0.2">
      <c r="A56" s="94">
        <v>0.77</v>
      </c>
      <c r="B56" s="85">
        <v>31.963000000000001</v>
      </c>
      <c r="C56" s="85">
        <v>46.125999999999998</v>
      </c>
      <c r="D56" s="87">
        <f>SUM(A56:C56)</f>
        <v>78.859000000000009</v>
      </c>
      <c r="E56" s="85">
        <v>0.57399999999999995</v>
      </c>
      <c r="F56" s="85">
        <v>30.651</v>
      </c>
      <c r="G56" s="85">
        <v>40.137</v>
      </c>
      <c r="H56" s="85">
        <f>SUM(E56:G56)</f>
        <v>71.361999999999995</v>
      </c>
      <c r="I56" s="93">
        <f t="shared" ref="I56:L58" si="17">A56+E56</f>
        <v>1.3439999999999999</v>
      </c>
      <c r="J56" s="85">
        <f t="shared" si="17"/>
        <v>62.614000000000004</v>
      </c>
      <c r="K56" s="84">
        <f t="shared" si="17"/>
        <v>86.263000000000005</v>
      </c>
      <c r="L56" s="86">
        <f t="shared" si="17"/>
        <v>150.221</v>
      </c>
      <c r="M56" s="71"/>
      <c r="N56" s="72" t="s">
        <v>75</v>
      </c>
      <c r="O56" s="99">
        <v>2009</v>
      </c>
    </row>
    <row r="57" spans="1:15" s="70" customFormat="1" ht="14.25" hidden="1" x14ac:dyDescent="0.2">
      <c r="A57" s="94">
        <v>0.48099999999999998</v>
      </c>
      <c r="B57" s="85">
        <v>30.847999999999999</v>
      </c>
      <c r="C57" s="85">
        <v>43.767000000000003</v>
      </c>
      <c r="D57" s="87">
        <f>SUM(A57:C57)</f>
        <v>75.096000000000004</v>
      </c>
      <c r="E57" s="85">
        <v>1.0649999999999999</v>
      </c>
      <c r="F57" s="85">
        <v>34.628999999999998</v>
      </c>
      <c r="G57" s="85">
        <v>36.130000000000003</v>
      </c>
      <c r="H57" s="85">
        <f>SUM(E57:G57)</f>
        <v>71.823999999999998</v>
      </c>
      <c r="I57" s="93">
        <f t="shared" si="17"/>
        <v>1.5459999999999998</v>
      </c>
      <c r="J57" s="85">
        <f t="shared" si="17"/>
        <v>65.477000000000004</v>
      </c>
      <c r="K57" s="84">
        <f t="shared" si="17"/>
        <v>79.897000000000006</v>
      </c>
      <c r="L57" s="86">
        <f t="shared" si="17"/>
        <v>146.92000000000002</v>
      </c>
      <c r="M57" s="71"/>
      <c r="N57" s="72" t="s">
        <v>76</v>
      </c>
      <c r="O57" s="99"/>
    </row>
    <row r="58" spans="1:15" s="70" customFormat="1" ht="14.25" hidden="1" x14ac:dyDescent="0.2">
      <c r="A58" s="94">
        <v>0.60299999999999998</v>
      </c>
      <c r="B58" s="85">
        <v>38.911999999999999</v>
      </c>
      <c r="C58" s="85">
        <v>46.832999999999998</v>
      </c>
      <c r="D58" s="87">
        <f>SUM(A58:C58)</f>
        <v>86.347999999999999</v>
      </c>
      <c r="E58" s="85">
        <v>0.316</v>
      </c>
      <c r="F58" s="85">
        <v>42.962000000000003</v>
      </c>
      <c r="G58" s="85">
        <v>48.887</v>
      </c>
      <c r="H58" s="85">
        <f>SUM(E58:G58)</f>
        <v>92.165000000000006</v>
      </c>
      <c r="I58" s="93">
        <f>A58+E58</f>
        <v>0.91900000000000004</v>
      </c>
      <c r="J58" s="85">
        <f t="shared" si="17"/>
        <v>81.873999999999995</v>
      </c>
      <c r="K58" s="84">
        <f t="shared" si="17"/>
        <v>95.72</v>
      </c>
      <c r="L58" s="86">
        <f t="shared" si="17"/>
        <v>178.51300000000001</v>
      </c>
      <c r="M58" s="71"/>
      <c r="N58" s="72" t="s">
        <v>77</v>
      </c>
      <c r="O58" s="99"/>
    </row>
    <row r="59" spans="1:15" s="70" customFormat="1" ht="14.25" hidden="1" x14ac:dyDescent="0.2">
      <c r="A59" s="94">
        <f t="shared" ref="A59:J59" si="18">SUM(A56:A58)</f>
        <v>1.8539999999999999</v>
      </c>
      <c r="B59" s="85">
        <f t="shared" si="18"/>
        <v>101.723</v>
      </c>
      <c r="C59" s="85">
        <f t="shared" si="18"/>
        <v>136.726</v>
      </c>
      <c r="D59" s="87">
        <f t="shared" si="18"/>
        <v>240.303</v>
      </c>
      <c r="E59" s="85">
        <f t="shared" si="18"/>
        <v>1.9549999999999998</v>
      </c>
      <c r="F59" s="85">
        <f>SUM(F56:F58)</f>
        <v>108.242</v>
      </c>
      <c r="G59" s="85">
        <f t="shared" si="18"/>
        <v>125.154</v>
      </c>
      <c r="H59" s="85">
        <f t="shared" si="18"/>
        <v>235.351</v>
      </c>
      <c r="I59" s="93">
        <f t="shared" si="18"/>
        <v>3.8089999999999997</v>
      </c>
      <c r="J59" s="85">
        <f t="shared" si="18"/>
        <v>209.965</v>
      </c>
      <c r="K59" s="84">
        <f>SUM(K56:K58)</f>
        <v>261.88</v>
      </c>
      <c r="L59" s="86">
        <f>SUM(L56:L58)</f>
        <v>475.654</v>
      </c>
      <c r="M59" s="71"/>
      <c r="N59" s="72" t="s">
        <v>48</v>
      </c>
      <c r="O59" s="99">
        <v>2009</v>
      </c>
    </row>
    <row r="60" spans="1:15" s="70" customFormat="1" ht="14.25" hidden="1" x14ac:dyDescent="0.2">
      <c r="A60" s="94">
        <v>0.40500000000000003</v>
      </c>
      <c r="B60" s="85">
        <v>33.872999999999998</v>
      </c>
      <c r="C60" s="85">
        <v>50.49</v>
      </c>
      <c r="D60" s="87">
        <f>SUM(A60:C60)</f>
        <v>84.768000000000001</v>
      </c>
      <c r="E60" s="85">
        <v>0.621</v>
      </c>
      <c r="F60" s="85">
        <v>39.244999999999997</v>
      </c>
      <c r="G60" s="85">
        <v>45.192999999999998</v>
      </c>
      <c r="H60" s="85">
        <f>SUM(E60:G60)</f>
        <v>85.058999999999997</v>
      </c>
      <c r="I60" s="93">
        <f t="shared" ref="I60:L62" si="19">A60+E60</f>
        <v>1.026</v>
      </c>
      <c r="J60" s="85">
        <f t="shared" si="19"/>
        <v>73.117999999999995</v>
      </c>
      <c r="K60" s="84">
        <f t="shared" si="19"/>
        <v>95.682999999999993</v>
      </c>
      <c r="L60" s="86">
        <f t="shared" si="19"/>
        <v>169.827</v>
      </c>
      <c r="M60" s="71"/>
      <c r="N60" s="72" t="s">
        <v>79</v>
      </c>
      <c r="O60" s="99"/>
    </row>
    <row r="61" spans="1:15" s="70" customFormat="1" ht="14.25" hidden="1" x14ac:dyDescent="0.2">
      <c r="A61" s="94">
        <v>0</v>
      </c>
      <c r="B61" s="85">
        <v>34.036999999999999</v>
      </c>
      <c r="C61" s="85">
        <v>54.222000000000001</v>
      </c>
      <c r="D61" s="87">
        <f>SUM(A61:C61)</f>
        <v>88.259</v>
      </c>
      <c r="E61" s="85">
        <v>0</v>
      </c>
      <c r="F61" s="85">
        <v>33.475999999999999</v>
      </c>
      <c r="G61" s="85">
        <v>48.125</v>
      </c>
      <c r="H61" s="85">
        <f>SUM(E61:G61)</f>
        <v>81.600999999999999</v>
      </c>
      <c r="I61" s="93">
        <f t="shared" si="19"/>
        <v>0</v>
      </c>
      <c r="J61" s="85">
        <f t="shared" si="19"/>
        <v>67.513000000000005</v>
      </c>
      <c r="K61" s="84">
        <f t="shared" si="19"/>
        <v>102.34700000000001</v>
      </c>
      <c r="L61" s="86">
        <f t="shared" si="19"/>
        <v>169.86</v>
      </c>
      <c r="M61" s="71"/>
      <c r="N61" s="72" t="s">
        <v>80</v>
      </c>
      <c r="O61" s="99"/>
    </row>
    <row r="62" spans="1:15" s="70" customFormat="1" ht="14.25" hidden="1" x14ac:dyDescent="0.2">
      <c r="A62" s="94">
        <v>5.0000000000000001E-3</v>
      </c>
      <c r="B62" s="85">
        <v>35.764000000000003</v>
      </c>
      <c r="C62" s="85">
        <v>50.627000000000002</v>
      </c>
      <c r="D62" s="87">
        <f>SUM(A62:C62)</f>
        <v>86.396000000000015</v>
      </c>
      <c r="E62" s="85">
        <v>1.2999999999999999E-2</v>
      </c>
      <c r="F62" s="85">
        <v>36.203000000000003</v>
      </c>
      <c r="G62" s="85">
        <v>51.293999999999997</v>
      </c>
      <c r="H62" s="85">
        <f>SUM(E62:G62)</f>
        <v>87.509999999999991</v>
      </c>
      <c r="I62" s="93">
        <f t="shared" si="19"/>
        <v>1.7999999999999999E-2</v>
      </c>
      <c r="J62" s="85">
        <f t="shared" si="19"/>
        <v>71.967000000000013</v>
      </c>
      <c r="K62" s="84">
        <f t="shared" si="19"/>
        <v>101.92099999999999</v>
      </c>
      <c r="L62" s="86">
        <f>D62+H62</f>
        <v>173.90600000000001</v>
      </c>
      <c r="M62" s="71"/>
      <c r="N62" s="72" t="s">
        <v>81</v>
      </c>
      <c r="O62" s="99"/>
    </row>
    <row r="63" spans="1:15" s="70" customFormat="1" ht="14.25" hidden="1" x14ac:dyDescent="0.2">
      <c r="A63" s="94">
        <f>SUM(A60:A62)</f>
        <v>0.41000000000000003</v>
      </c>
      <c r="B63" s="85">
        <f t="shared" ref="B63:K63" si="20">SUM(B60:B62)</f>
        <v>103.67400000000001</v>
      </c>
      <c r="C63" s="85">
        <f t="shared" si="20"/>
        <v>155.339</v>
      </c>
      <c r="D63" s="87">
        <f t="shared" si="20"/>
        <v>259.423</v>
      </c>
      <c r="E63" s="85">
        <f t="shared" si="20"/>
        <v>0.63400000000000001</v>
      </c>
      <c r="F63" s="85">
        <f t="shared" si="20"/>
        <v>108.92400000000001</v>
      </c>
      <c r="G63" s="85">
        <f t="shared" si="20"/>
        <v>144.61199999999999</v>
      </c>
      <c r="H63" s="85">
        <f t="shared" si="20"/>
        <v>254.17</v>
      </c>
      <c r="I63" s="93">
        <f t="shared" si="20"/>
        <v>1.044</v>
      </c>
      <c r="J63" s="85">
        <f t="shared" si="20"/>
        <v>212.59800000000001</v>
      </c>
      <c r="K63" s="84">
        <f t="shared" si="20"/>
        <v>299.95100000000002</v>
      </c>
      <c r="L63" s="86">
        <f>SUM(L60:L62)</f>
        <v>513.59300000000007</v>
      </c>
      <c r="M63" s="71"/>
      <c r="N63" s="72" t="s">
        <v>49</v>
      </c>
      <c r="O63" s="99"/>
    </row>
    <row r="64" spans="1:15" s="70" customFormat="1" ht="14.25" hidden="1" x14ac:dyDescent="0.2">
      <c r="A64" s="94">
        <v>8.9999999999999993E-3</v>
      </c>
      <c r="B64" s="85">
        <v>31.667999999999999</v>
      </c>
      <c r="C64" s="85">
        <v>56.305</v>
      </c>
      <c r="D64" s="87">
        <f>SUM(A64:C64)</f>
        <v>87.981999999999999</v>
      </c>
      <c r="E64" s="85">
        <v>1E-3</v>
      </c>
      <c r="F64" s="85">
        <v>39.715000000000003</v>
      </c>
      <c r="G64" s="85">
        <v>44.561</v>
      </c>
      <c r="H64" s="85">
        <f>SUM(E64:G64)</f>
        <v>84.277000000000001</v>
      </c>
      <c r="I64" s="93">
        <f t="shared" ref="I64:L65" si="21">A64+E64</f>
        <v>9.9999999999999985E-3</v>
      </c>
      <c r="J64" s="85">
        <f t="shared" si="21"/>
        <v>71.38300000000001</v>
      </c>
      <c r="K64" s="84">
        <f t="shared" si="21"/>
        <v>100.866</v>
      </c>
      <c r="L64" s="86">
        <f t="shared" si="21"/>
        <v>172.25900000000001</v>
      </c>
      <c r="M64" s="71"/>
      <c r="N64" s="72" t="s">
        <v>83</v>
      </c>
      <c r="O64" s="99"/>
    </row>
    <row r="65" spans="1:15" s="70" customFormat="1" ht="14.25" hidden="1" x14ac:dyDescent="0.2">
      <c r="A65" s="94">
        <v>4.4999999999999998E-2</v>
      </c>
      <c r="B65" s="85">
        <v>39.369999999999997</v>
      </c>
      <c r="C65" s="85">
        <v>47.56</v>
      </c>
      <c r="D65" s="87">
        <f>SUM(A65:C65)</f>
        <v>86.974999999999994</v>
      </c>
      <c r="E65" s="85">
        <v>5.6000000000000001E-2</v>
      </c>
      <c r="F65" s="85">
        <v>43.287999999999997</v>
      </c>
      <c r="G65" s="85">
        <v>47.779000000000003</v>
      </c>
      <c r="H65" s="85">
        <f>SUM(E65:G65)</f>
        <v>91.12299999999999</v>
      </c>
      <c r="I65" s="93">
        <f t="shared" si="21"/>
        <v>0.10100000000000001</v>
      </c>
      <c r="J65" s="85">
        <f t="shared" si="21"/>
        <v>82.657999999999987</v>
      </c>
      <c r="K65" s="84">
        <f t="shared" si="21"/>
        <v>95.338999999999999</v>
      </c>
      <c r="L65" s="86">
        <f t="shared" si="21"/>
        <v>178.09799999999998</v>
      </c>
      <c r="M65" s="71"/>
      <c r="N65" s="72" t="s">
        <v>84</v>
      </c>
      <c r="O65" s="99"/>
    </row>
    <row r="66" spans="1:15" s="70" customFormat="1" ht="14.25" hidden="1" x14ac:dyDescent="0.2">
      <c r="A66" s="94">
        <v>1E-3</v>
      </c>
      <c r="B66" s="85">
        <v>36.231000000000002</v>
      </c>
      <c r="C66" s="85">
        <v>44.658000000000001</v>
      </c>
      <c r="D66" s="87">
        <f>SUM(A66:C66)</f>
        <v>80.89</v>
      </c>
      <c r="E66" s="85">
        <v>8.9999999999999993E-3</v>
      </c>
      <c r="F66" s="85">
        <v>38.94</v>
      </c>
      <c r="G66" s="85">
        <v>39.853999999999999</v>
      </c>
      <c r="H66" s="85">
        <f>SUM(E66:G66)</f>
        <v>78.802999999999997</v>
      </c>
      <c r="I66" s="93">
        <f>A66+E66</f>
        <v>9.9999999999999985E-3</v>
      </c>
      <c r="J66" s="85">
        <f>B66+F66</f>
        <v>75.170999999999992</v>
      </c>
      <c r="K66" s="84">
        <f>C66+G66</f>
        <v>84.512</v>
      </c>
      <c r="L66" s="86">
        <f>D66+H66</f>
        <v>159.69299999999998</v>
      </c>
      <c r="M66" s="71"/>
      <c r="N66" s="72" t="s">
        <v>85</v>
      </c>
      <c r="O66" s="99"/>
    </row>
    <row r="67" spans="1:15" s="70" customFormat="1" ht="14.25" hidden="1" x14ac:dyDescent="0.2">
      <c r="A67" s="94">
        <f t="shared" ref="A67:L67" si="22">SUM(A64:A66)</f>
        <v>5.5E-2</v>
      </c>
      <c r="B67" s="85">
        <f t="shared" si="22"/>
        <v>107.26900000000001</v>
      </c>
      <c r="C67" s="85">
        <f t="shared" si="22"/>
        <v>148.52300000000002</v>
      </c>
      <c r="D67" s="87">
        <f t="shared" si="22"/>
        <v>255.84699999999998</v>
      </c>
      <c r="E67" s="85">
        <f t="shared" si="22"/>
        <v>6.6000000000000003E-2</v>
      </c>
      <c r="F67" s="85">
        <f t="shared" si="22"/>
        <v>121.943</v>
      </c>
      <c r="G67" s="85">
        <f t="shared" si="22"/>
        <v>132.19400000000002</v>
      </c>
      <c r="H67" s="85">
        <f t="shared" si="22"/>
        <v>254.20299999999997</v>
      </c>
      <c r="I67" s="93">
        <f t="shared" si="22"/>
        <v>0.121</v>
      </c>
      <c r="J67" s="85">
        <f t="shared" si="22"/>
        <v>229.21199999999999</v>
      </c>
      <c r="K67" s="84">
        <f t="shared" si="22"/>
        <v>280.71699999999998</v>
      </c>
      <c r="L67" s="86">
        <f t="shared" si="22"/>
        <v>510.04999999999995</v>
      </c>
      <c r="M67" s="71"/>
      <c r="N67" s="72" t="s">
        <v>50</v>
      </c>
      <c r="O67" s="99"/>
    </row>
    <row r="68" spans="1:15" s="70" customFormat="1" ht="14.25" hidden="1" x14ac:dyDescent="0.2">
      <c r="A68" s="94">
        <v>2.7E-2</v>
      </c>
      <c r="B68" s="85">
        <v>37.058999999999997</v>
      </c>
      <c r="C68" s="85">
        <v>47.473999999999997</v>
      </c>
      <c r="D68" s="87">
        <f>SUM(A68:C68)</f>
        <v>84.56</v>
      </c>
      <c r="E68" s="85">
        <v>0</v>
      </c>
      <c r="F68" s="85">
        <v>38.5</v>
      </c>
      <c r="G68" s="85">
        <v>42.752000000000002</v>
      </c>
      <c r="H68" s="85">
        <f>SUM(E68:G68)</f>
        <v>81.25200000000001</v>
      </c>
      <c r="I68" s="93">
        <f t="shared" ref="I68:L70" si="23">A68+E68</f>
        <v>2.7E-2</v>
      </c>
      <c r="J68" s="85">
        <f t="shared" si="23"/>
        <v>75.558999999999997</v>
      </c>
      <c r="K68" s="84">
        <f t="shared" si="23"/>
        <v>90.225999999999999</v>
      </c>
      <c r="L68" s="86">
        <f t="shared" si="23"/>
        <v>165.81200000000001</v>
      </c>
      <c r="M68" s="71"/>
      <c r="N68" s="72" t="s">
        <v>87</v>
      </c>
      <c r="O68" s="99"/>
    </row>
    <row r="69" spans="1:15" s="70" customFormat="1" ht="14.25" hidden="1" x14ac:dyDescent="0.2">
      <c r="A69" s="94">
        <v>0</v>
      </c>
      <c r="B69" s="85">
        <v>39.646999999999998</v>
      </c>
      <c r="C69" s="85">
        <v>48.822000000000003</v>
      </c>
      <c r="D69" s="87">
        <f>SUM(A69:C69)</f>
        <v>88.468999999999994</v>
      </c>
      <c r="E69" s="85">
        <v>0</v>
      </c>
      <c r="F69" s="85">
        <v>39.710999999999999</v>
      </c>
      <c r="G69" s="85">
        <v>46.395000000000003</v>
      </c>
      <c r="H69" s="85">
        <f>SUM(E69:G69)</f>
        <v>86.105999999999995</v>
      </c>
      <c r="I69" s="93">
        <f t="shared" si="23"/>
        <v>0</v>
      </c>
      <c r="J69" s="85">
        <f t="shared" si="23"/>
        <v>79.358000000000004</v>
      </c>
      <c r="K69" s="84">
        <f t="shared" si="23"/>
        <v>95.217000000000013</v>
      </c>
      <c r="L69" s="86">
        <f t="shared" si="23"/>
        <v>174.57499999999999</v>
      </c>
      <c r="M69" s="71"/>
      <c r="N69" s="72" t="s">
        <v>88</v>
      </c>
      <c r="O69" s="99"/>
    </row>
    <row r="70" spans="1:15" s="70" customFormat="1" ht="14.25" hidden="1" x14ac:dyDescent="0.2">
      <c r="A70" s="94">
        <v>0</v>
      </c>
      <c r="B70" s="85">
        <v>41.588000000000001</v>
      </c>
      <c r="C70" s="85">
        <v>54.673999999999999</v>
      </c>
      <c r="D70" s="87">
        <f>SUM(A70:C70)</f>
        <v>96.262</v>
      </c>
      <c r="E70" s="85">
        <v>0</v>
      </c>
      <c r="F70" s="85">
        <v>44.703000000000003</v>
      </c>
      <c r="G70" s="85">
        <v>50.857999999999997</v>
      </c>
      <c r="H70" s="85">
        <f>SUM(E70:G70)</f>
        <v>95.561000000000007</v>
      </c>
      <c r="I70" s="93">
        <f t="shared" si="23"/>
        <v>0</v>
      </c>
      <c r="J70" s="85">
        <f>B70+F70</f>
        <v>86.290999999999997</v>
      </c>
      <c r="K70" s="84">
        <f>C70+G70</f>
        <v>105.532</v>
      </c>
      <c r="L70" s="86">
        <f>D70+H70</f>
        <v>191.82300000000001</v>
      </c>
      <c r="M70" s="71"/>
      <c r="N70" s="72" t="s">
        <v>89</v>
      </c>
      <c r="O70" s="99"/>
    </row>
    <row r="71" spans="1:15" s="70" customFormat="1" ht="14.25" hidden="1" x14ac:dyDescent="0.2">
      <c r="A71" s="94">
        <f t="shared" ref="A71:K71" si="24">SUM(A68:A70)</f>
        <v>2.7E-2</v>
      </c>
      <c r="B71" s="85">
        <f t="shared" si="24"/>
        <v>118.29399999999998</v>
      </c>
      <c r="C71" s="85">
        <f t="shared" si="24"/>
        <v>150.97</v>
      </c>
      <c r="D71" s="87">
        <f t="shared" si="24"/>
        <v>269.291</v>
      </c>
      <c r="E71" s="85">
        <f t="shared" si="24"/>
        <v>0</v>
      </c>
      <c r="F71" s="85">
        <f t="shared" si="24"/>
        <v>122.914</v>
      </c>
      <c r="G71" s="85">
        <f t="shared" si="24"/>
        <v>140.005</v>
      </c>
      <c r="H71" s="85">
        <f t="shared" si="24"/>
        <v>262.91899999999998</v>
      </c>
      <c r="I71" s="93">
        <f t="shared" si="24"/>
        <v>2.7E-2</v>
      </c>
      <c r="J71" s="85">
        <f t="shared" si="24"/>
        <v>241.208</v>
      </c>
      <c r="K71" s="84">
        <f t="shared" si="24"/>
        <v>290.97500000000002</v>
      </c>
      <c r="L71" s="86">
        <f>SUM(L68:L70)</f>
        <v>532.21</v>
      </c>
      <c r="M71" s="71"/>
      <c r="N71" s="72" t="s">
        <v>51</v>
      </c>
      <c r="O71" s="99"/>
    </row>
    <row r="72" spans="1:15" s="70" customFormat="1" ht="5.25" hidden="1" customHeight="1" x14ac:dyDescent="0.2">
      <c r="A72" s="94"/>
      <c r="B72" s="85"/>
      <c r="C72" s="85"/>
      <c r="D72" s="87"/>
      <c r="E72" s="85"/>
      <c r="F72" s="85"/>
      <c r="G72" s="85"/>
      <c r="H72" s="85"/>
      <c r="I72" s="93"/>
      <c r="J72" s="85"/>
      <c r="K72" s="84"/>
      <c r="L72" s="86"/>
      <c r="M72" s="71"/>
      <c r="N72" s="72"/>
      <c r="O72" s="99"/>
    </row>
    <row r="73" spans="1:15" s="70" customFormat="1" ht="14.25" hidden="1" x14ac:dyDescent="0.2">
      <c r="A73" s="94">
        <v>0</v>
      </c>
      <c r="B73" s="85">
        <v>39.067</v>
      </c>
      <c r="C73" s="85">
        <v>46.143999999999998</v>
      </c>
      <c r="D73" s="87">
        <f>SUM(A73:C73)</f>
        <v>85.210999999999999</v>
      </c>
      <c r="E73" s="85">
        <v>0</v>
      </c>
      <c r="F73" s="85">
        <v>42.689</v>
      </c>
      <c r="G73" s="85">
        <v>47.262999999999998</v>
      </c>
      <c r="H73" s="85">
        <f>SUM(E73:G73)</f>
        <v>89.951999999999998</v>
      </c>
      <c r="I73" s="93">
        <f t="shared" ref="I73:L74" si="25">A73+E73</f>
        <v>0</v>
      </c>
      <c r="J73" s="85">
        <f t="shared" si="25"/>
        <v>81.756</v>
      </c>
      <c r="K73" s="84">
        <f t="shared" si="25"/>
        <v>93.406999999999996</v>
      </c>
      <c r="L73" s="86">
        <f t="shared" si="25"/>
        <v>175.16300000000001</v>
      </c>
      <c r="M73" s="71"/>
      <c r="N73" s="72" t="s">
        <v>75</v>
      </c>
      <c r="O73" s="99">
        <v>2010</v>
      </c>
    </row>
    <row r="74" spans="1:15" s="70" customFormat="1" ht="14.25" hidden="1" x14ac:dyDescent="0.2">
      <c r="A74" s="94">
        <v>0</v>
      </c>
      <c r="B74" s="85">
        <v>39.351999999999997</v>
      </c>
      <c r="C74" s="85">
        <v>46.284999999999997</v>
      </c>
      <c r="D74" s="87">
        <f>SUM(A74:C74)</f>
        <v>85.637</v>
      </c>
      <c r="E74" s="85">
        <v>0</v>
      </c>
      <c r="F74" s="85">
        <v>44.618000000000002</v>
      </c>
      <c r="G74" s="85">
        <v>42.34</v>
      </c>
      <c r="H74" s="85">
        <f>SUM(E74:G74)</f>
        <v>86.957999999999998</v>
      </c>
      <c r="I74" s="93">
        <f t="shared" si="25"/>
        <v>0</v>
      </c>
      <c r="J74" s="85">
        <f t="shared" si="25"/>
        <v>83.97</v>
      </c>
      <c r="K74" s="84">
        <f t="shared" si="25"/>
        <v>88.625</v>
      </c>
      <c r="L74" s="86">
        <f t="shared" si="25"/>
        <v>172.595</v>
      </c>
      <c r="M74" s="71"/>
      <c r="N74" s="72" t="s">
        <v>76</v>
      </c>
      <c r="O74" s="99"/>
    </row>
    <row r="75" spans="1:15" s="70" customFormat="1" ht="14.25" hidden="1" x14ac:dyDescent="0.2">
      <c r="A75" s="94">
        <v>0</v>
      </c>
      <c r="B75" s="85">
        <v>43.939</v>
      </c>
      <c r="C75" s="85">
        <v>56.588999999999999</v>
      </c>
      <c r="D75" s="87">
        <f>SUM(A75:C75)</f>
        <v>100.52799999999999</v>
      </c>
      <c r="E75" s="85">
        <v>0</v>
      </c>
      <c r="F75" s="85">
        <v>50.494999999999997</v>
      </c>
      <c r="G75" s="85">
        <v>58.698</v>
      </c>
      <c r="H75" s="85">
        <f>SUM(E75:G75)</f>
        <v>109.193</v>
      </c>
      <c r="I75" s="93">
        <f>A75+E75</f>
        <v>0</v>
      </c>
      <c r="J75" s="85">
        <f>B75+F75</f>
        <v>94.433999999999997</v>
      </c>
      <c r="K75" s="84">
        <f>C75+G75</f>
        <v>115.28700000000001</v>
      </c>
      <c r="L75" s="86">
        <f>D75+H75</f>
        <v>209.721</v>
      </c>
      <c r="M75" s="71"/>
      <c r="N75" s="72" t="s">
        <v>77</v>
      </c>
      <c r="O75" s="99"/>
    </row>
    <row r="76" spans="1:15" s="70" customFormat="1" ht="14.25" x14ac:dyDescent="0.2">
      <c r="A76" s="129">
        <f t="shared" ref="A76:K76" si="26">A153+A157+A161+A165</f>
        <v>0.125</v>
      </c>
      <c r="B76" s="130">
        <f t="shared" si="26"/>
        <v>617.76</v>
      </c>
      <c r="C76" s="130">
        <f t="shared" si="26"/>
        <v>607.101</v>
      </c>
      <c r="D76" s="131">
        <f t="shared" si="26"/>
        <v>1224.9859999999999</v>
      </c>
      <c r="E76" s="130">
        <f t="shared" si="26"/>
        <v>5.4999999999999993E-2</v>
      </c>
      <c r="F76" s="130">
        <f t="shared" si="26"/>
        <v>631.94600000000003</v>
      </c>
      <c r="G76" s="130">
        <f t="shared" si="26"/>
        <v>589.14300000000003</v>
      </c>
      <c r="H76" s="130">
        <f t="shared" si="26"/>
        <v>1221.144</v>
      </c>
      <c r="I76" s="146">
        <f t="shared" si="26"/>
        <v>0.18</v>
      </c>
      <c r="J76" s="130">
        <f t="shared" si="26"/>
        <v>1249.7059999999999</v>
      </c>
      <c r="K76" s="147">
        <f t="shared" si="26"/>
        <v>1196.2439999999999</v>
      </c>
      <c r="L76" s="148">
        <f>L153+L157+L161+L165</f>
        <v>2446.13</v>
      </c>
      <c r="M76" s="132"/>
      <c r="N76" s="133"/>
      <c r="O76" s="136">
        <v>2014</v>
      </c>
    </row>
    <row r="77" spans="1:15" s="70" customFormat="1" ht="14.25" x14ac:dyDescent="0.2">
      <c r="A77" s="129">
        <f t="shared" ref="A77:K77" si="27">A170+A174+A178+A182</f>
        <v>0.21500000000000002</v>
      </c>
      <c r="B77" s="130">
        <f t="shared" si="27"/>
        <v>637.65100000000007</v>
      </c>
      <c r="C77" s="130">
        <f t="shared" si="27"/>
        <v>610.82799999999997</v>
      </c>
      <c r="D77" s="131">
        <f t="shared" si="27"/>
        <v>1248.694</v>
      </c>
      <c r="E77" s="130">
        <f t="shared" si="27"/>
        <v>4.8999999999999995E-2</v>
      </c>
      <c r="F77" s="130">
        <f t="shared" si="27"/>
        <v>669.11599999999999</v>
      </c>
      <c r="G77" s="130">
        <f t="shared" si="27"/>
        <v>603.74699999999996</v>
      </c>
      <c r="H77" s="130">
        <f t="shared" si="27"/>
        <v>1272.9119999999998</v>
      </c>
      <c r="I77" s="146">
        <f t="shared" si="27"/>
        <v>0.26400000000000001</v>
      </c>
      <c r="J77" s="130">
        <f t="shared" si="27"/>
        <v>1306.7670000000001</v>
      </c>
      <c r="K77" s="147">
        <f t="shared" si="27"/>
        <v>1214.575</v>
      </c>
      <c r="L77" s="148">
        <f>L170+L174+L178+L182</f>
        <v>2521.6060000000002</v>
      </c>
      <c r="M77" s="132"/>
      <c r="N77" s="133"/>
      <c r="O77" s="136">
        <v>2015</v>
      </c>
    </row>
    <row r="78" spans="1:15" s="70" customFormat="1" ht="14.25" x14ac:dyDescent="0.2">
      <c r="A78" s="118">
        <f t="shared" ref="A78:I78" si="28">A187+A191+A195+A199</f>
        <v>0.24299999999999999</v>
      </c>
      <c r="B78" s="130">
        <f t="shared" si="28"/>
        <v>715.44499999999994</v>
      </c>
      <c r="C78" s="130">
        <f t="shared" si="28"/>
        <v>634.50399999999991</v>
      </c>
      <c r="D78" s="131">
        <f t="shared" si="28"/>
        <v>1350.192</v>
      </c>
      <c r="E78" s="130">
        <f t="shared" si="28"/>
        <v>5.0999999999999997E-2</v>
      </c>
      <c r="F78" s="130">
        <f t="shared" si="28"/>
        <v>727.63099999999997</v>
      </c>
      <c r="G78" s="130">
        <f t="shared" si="28"/>
        <v>633.43399999999997</v>
      </c>
      <c r="H78" s="130">
        <f t="shared" si="28"/>
        <v>1361.116</v>
      </c>
      <c r="I78" s="146">
        <f t="shared" si="28"/>
        <v>0.29400000000000004</v>
      </c>
      <c r="J78" s="130">
        <f>J187+J191+J195+J199</f>
        <v>1443.076</v>
      </c>
      <c r="K78" s="147">
        <f>K187+K191+K195+K199</f>
        <v>1267.9379999999999</v>
      </c>
      <c r="L78" s="148">
        <f>L187+L191+L195+L199</f>
        <v>2711.308</v>
      </c>
      <c r="M78" s="132"/>
      <c r="N78" s="133"/>
      <c r="O78" s="136">
        <v>2016</v>
      </c>
    </row>
    <row r="79" spans="1:15" s="70" customFormat="1" ht="14.25" x14ac:dyDescent="0.2">
      <c r="A79" s="129">
        <f t="shared" ref="A79:K79" si="29">A204+A208+A212+A216</f>
        <v>0.16099999999999998</v>
      </c>
      <c r="B79" s="130">
        <f t="shared" si="29"/>
        <v>739.29200000000003</v>
      </c>
      <c r="C79" s="130">
        <f t="shared" si="29"/>
        <v>696.57400000000007</v>
      </c>
      <c r="D79" s="131">
        <f t="shared" si="29"/>
        <v>1436.027</v>
      </c>
      <c r="E79" s="130">
        <f t="shared" si="29"/>
        <v>6.3E-2</v>
      </c>
      <c r="F79" s="130">
        <f t="shared" si="29"/>
        <v>786.18</v>
      </c>
      <c r="G79" s="130">
        <f t="shared" si="29"/>
        <v>646.73099999999999</v>
      </c>
      <c r="H79" s="130">
        <f t="shared" si="29"/>
        <v>1432.9739999999999</v>
      </c>
      <c r="I79" s="146">
        <f t="shared" si="29"/>
        <v>0.22399999999999998</v>
      </c>
      <c r="J79" s="130">
        <f t="shared" si="29"/>
        <v>1525.472</v>
      </c>
      <c r="K79" s="147">
        <f t="shared" si="29"/>
        <v>1343.3050000000001</v>
      </c>
      <c r="L79" s="148">
        <f>L204+L208+L212+L216</f>
        <v>2869.0009999999997</v>
      </c>
      <c r="M79" s="132"/>
      <c r="N79" s="133"/>
      <c r="O79" s="136">
        <v>2017</v>
      </c>
    </row>
    <row r="80" spans="1:15" s="70" customFormat="1" ht="14.25" x14ac:dyDescent="0.2">
      <c r="A80" s="129">
        <f t="shared" ref="A80:K80" si="30">A221+A225+A229+A233</f>
        <v>0.21500000000000002</v>
      </c>
      <c r="B80" s="130">
        <f t="shared" si="30"/>
        <v>709.45200000000011</v>
      </c>
      <c r="C80" s="130">
        <f t="shared" si="30"/>
        <v>760.65099999999995</v>
      </c>
      <c r="D80" s="131">
        <f t="shared" si="30"/>
        <v>1470.3180000000002</v>
      </c>
      <c r="E80" s="130">
        <f t="shared" si="30"/>
        <v>5.0000000000000001E-3</v>
      </c>
      <c r="F80" s="130">
        <f t="shared" si="30"/>
        <v>767.75900000000001</v>
      </c>
      <c r="G80" s="130">
        <f t="shared" si="30"/>
        <v>708.49900000000002</v>
      </c>
      <c r="H80" s="130">
        <f t="shared" si="30"/>
        <v>1476.2629999999999</v>
      </c>
      <c r="I80" s="146">
        <f t="shared" si="30"/>
        <v>0.22000000000000003</v>
      </c>
      <c r="J80" s="130">
        <f t="shared" si="30"/>
        <v>1477.2110000000002</v>
      </c>
      <c r="K80" s="147">
        <f t="shared" si="30"/>
        <v>1469.15</v>
      </c>
      <c r="L80" s="148">
        <f>L221+L225+L229+L233</f>
        <v>2946.5810000000001</v>
      </c>
      <c r="M80" s="132"/>
      <c r="N80" s="133"/>
      <c r="O80" s="136">
        <v>2018</v>
      </c>
    </row>
    <row r="81" spans="1:15" s="70" customFormat="1" ht="14.25" x14ac:dyDescent="0.2">
      <c r="A81" s="129">
        <f t="shared" ref="A81:G81" si="31">A238+A242+A246+A250</f>
        <v>0.11699999999999999</v>
      </c>
      <c r="B81" s="130">
        <f t="shared" si="31"/>
        <v>731.93899999999996</v>
      </c>
      <c r="C81" s="162">
        <f t="shared" si="31"/>
        <v>718.34900000000005</v>
      </c>
      <c r="D81" s="131">
        <f t="shared" si="31"/>
        <v>1450.4050000000002</v>
      </c>
      <c r="E81" s="130">
        <f t="shared" si="31"/>
        <v>5.3999999999999992E-2</v>
      </c>
      <c r="F81" s="162">
        <f t="shared" si="31"/>
        <v>805.65700000000004</v>
      </c>
      <c r="G81" s="162">
        <f t="shared" si="31"/>
        <v>660.80600000000004</v>
      </c>
      <c r="H81" s="130">
        <f>H238+H242+H246+H250</f>
        <v>1466.5170000000001</v>
      </c>
      <c r="I81" s="146">
        <f>I238+I242+I246+I250</f>
        <v>0.17099999999999999</v>
      </c>
      <c r="J81" s="130">
        <f>J238+J242+J246+J250</f>
        <v>1537.596</v>
      </c>
      <c r="K81" s="147">
        <f>K238+K242+K246+K250</f>
        <v>1379.155</v>
      </c>
      <c r="L81" s="148">
        <f>L238+L242+L246+L250</f>
        <v>2916.9219999999996</v>
      </c>
      <c r="M81" s="132"/>
      <c r="N81" s="133"/>
      <c r="O81" s="136">
        <v>2019</v>
      </c>
    </row>
    <row r="82" spans="1:15" s="70" customFormat="1" ht="14.25" x14ac:dyDescent="0.2">
      <c r="A82" s="129">
        <f t="shared" ref="A82:J82" si="32">A255+A259+A263+A267</f>
        <v>0.35699999999999998</v>
      </c>
      <c r="B82" s="130">
        <f t="shared" si="32"/>
        <v>767.154</v>
      </c>
      <c r="C82" s="162">
        <f t="shared" si="32"/>
        <v>754.125</v>
      </c>
      <c r="D82" s="131">
        <f t="shared" si="32"/>
        <v>1521.6359999999997</v>
      </c>
      <c r="E82" s="130">
        <f t="shared" si="32"/>
        <v>0.02</v>
      </c>
      <c r="F82" s="162">
        <f t="shared" si="32"/>
        <v>817.34500000000003</v>
      </c>
      <c r="G82" s="162">
        <f t="shared" si="32"/>
        <v>710.30899999999997</v>
      </c>
      <c r="H82" s="130">
        <f t="shared" si="32"/>
        <v>1527.674</v>
      </c>
      <c r="I82" s="146">
        <f t="shared" si="32"/>
        <v>0.377</v>
      </c>
      <c r="J82" s="130">
        <f t="shared" si="32"/>
        <v>1584.499</v>
      </c>
      <c r="K82" s="147">
        <f>K255+K259+K263+K267</f>
        <v>1464.4339999999997</v>
      </c>
      <c r="L82" s="148">
        <f>L255+L259+L263+L267</f>
        <v>3049.31</v>
      </c>
      <c r="M82" s="132"/>
      <c r="N82" s="133"/>
      <c r="O82" s="136">
        <v>2020</v>
      </c>
    </row>
    <row r="83" spans="1:15" s="70" customFormat="1" x14ac:dyDescent="0.25">
      <c r="A83" s="118">
        <f t="shared" ref="A83:J83" si="33">A272+A276+A280+A284</f>
        <v>0.314</v>
      </c>
      <c r="B83" s="119">
        <f t="shared" si="33"/>
        <v>751.28100000000006</v>
      </c>
      <c r="C83" s="161">
        <f t="shared" si="33"/>
        <v>736.63599999999997</v>
      </c>
      <c r="D83" s="120">
        <f t="shared" si="33"/>
        <v>1488.2310000000002</v>
      </c>
      <c r="E83" s="119">
        <f t="shared" si="33"/>
        <v>0.10600000000000001</v>
      </c>
      <c r="F83" s="161">
        <f t="shared" si="33"/>
        <v>861.10899999999992</v>
      </c>
      <c r="G83" s="161">
        <f t="shared" si="33"/>
        <v>726.58299999999997</v>
      </c>
      <c r="H83" s="119">
        <f t="shared" si="33"/>
        <v>1587.798</v>
      </c>
      <c r="I83" s="143">
        <f t="shared" si="33"/>
        <v>0.42000000000000004</v>
      </c>
      <c r="J83" s="119">
        <f t="shared" si="33"/>
        <v>1612.39</v>
      </c>
      <c r="K83" s="144">
        <f>K272+K276+K280+K284</f>
        <v>1463.2190000000001</v>
      </c>
      <c r="L83" s="145">
        <f>L272+L276+L280+L284</f>
        <v>3076.029</v>
      </c>
      <c r="M83" s="121"/>
      <c r="N83" s="122"/>
      <c r="O83" s="123">
        <v>2021</v>
      </c>
    </row>
    <row r="84" spans="1:15" s="70" customFormat="1" ht="8.25" customHeight="1" x14ac:dyDescent="0.2">
      <c r="A84" s="94"/>
      <c r="B84" s="85"/>
      <c r="C84" s="85"/>
      <c r="D84" s="87"/>
      <c r="E84" s="85"/>
      <c r="F84" s="85"/>
      <c r="G84" s="85"/>
      <c r="H84" s="85"/>
      <c r="I84" s="93"/>
      <c r="J84" s="85"/>
      <c r="K84" s="84"/>
      <c r="L84" s="86"/>
      <c r="M84" s="71"/>
      <c r="N84" s="72"/>
      <c r="O84" s="99"/>
    </row>
    <row r="85" spans="1:15" s="70" customFormat="1" ht="14.25" hidden="1" x14ac:dyDescent="0.2">
      <c r="A85" s="94">
        <f t="shared" ref="A85:L85" si="34">SUM(A73:A75)</f>
        <v>0</v>
      </c>
      <c r="B85" s="85">
        <f>SUM(B73:B75)</f>
        <v>122.358</v>
      </c>
      <c r="C85" s="85">
        <f t="shared" si="34"/>
        <v>149.018</v>
      </c>
      <c r="D85" s="87">
        <f t="shared" si="34"/>
        <v>271.37599999999998</v>
      </c>
      <c r="E85" s="85">
        <f t="shared" si="34"/>
        <v>0</v>
      </c>
      <c r="F85" s="85">
        <f t="shared" si="34"/>
        <v>137.80199999999999</v>
      </c>
      <c r="G85" s="85">
        <f>SUM(G73:G75)</f>
        <v>148.30100000000002</v>
      </c>
      <c r="H85" s="85">
        <f>SUM(H73:H75)</f>
        <v>286.10300000000001</v>
      </c>
      <c r="I85" s="93">
        <f t="shared" si="34"/>
        <v>0</v>
      </c>
      <c r="J85" s="85">
        <f t="shared" si="34"/>
        <v>260.15999999999997</v>
      </c>
      <c r="K85" s="84">
        <f t="shared" si="34"/>
        <v>297.31899999999996</v>
      </c>
      <c r="L85" s="86">
        <f t="shared" si="34"/>
        <v>557.47900000000004</v>
      </c>
      <c r="M85" s="71"/>
      <c r="N85" s="72" t="s">
        <v>48</v>
      </c>
      <c r="O85" s="99">
        <v>2010</v>
      </c>
    </row>
    <row r="86" spans="1:15" s="70" customFormat="1" ht="14.25" hidden="1" x14ac:dyDescent="0.2">
      <c r="A86" s="94">
        <v>0</v>
      </c>
      <c r="B86" s="85">
        <v>45.249000000000002</v>
      </c>
      <c r="C86" s="85">
        <v>54.338999999999999</v>
      </c>
      <c r="D86" s="87">
        <f>SUM(A86:C86)</f>
        <v>99.587999999999994</v>
      </c>
      <c r="E86" s="85">
        <v>0</v>
      </c>
      <c r="F86" s="85">
        <v>44.228000000000002</v>
      </c>
      <c r="G86" s="85">
        <v>50.755000000000003</v>
      </c>
      <c r="H86" s="85">
        <f>SUM(E86:G86)</f>
        <v>94.983000000000004</v>
      </c>
      <c r="I86" s="93">
        <f t="shared" ref="I86:L88" si="35">A86+E86</f>
        <v>0</v>
      </c>
      <c r="J86" s="85">
        <f t="shared" si="35"/>
        <v>89.477000000000004</v>
      </c>
      <c r="K86" s="84">
        <f t="shared" si="35"/>
        <v>105.09399999999999</v>
      </c>
      <c r="L86" s="86">
        <f t="shared" si="35"/>
        <v>194.571</v>
      </c>
      <c r="M86" s="71"/>
      <c r="N86" s="72" t="s">
        <v>79</v>
      </c>
      <c r="O86" s="99"/>
    </row>
    <row r="87" spans="1:15" s="70" customFormat="1" ht="14.25" hidden="1" x14ac:dyDescent="0.2">
      <c r="A87" s="94">
        <v>0</v>
      </c>
      <c r="B87" s="85">
        <v>47.098999999999997</v>
      </c>
      <c r="C87" s="85">
        <v>58.496000000000002</v>
      </c>
      <c r="D87" s="87">
        <f>SUM(A87:C87)</f>
        <v>105.595</v>
      </c>
      <c r="E87" s="85">
        <v>0</v>
      </c>
      <c r="F87" s="85">
        <v>42.951999999999998</v>
      </c>
      <c r="G87" s="85">
        <v>55.722000000000001</v>
      </c>
      <c r="H87" s="85">
        <f>SUM(E87:G87)</f>
        <v>98.674000000000007</v>
      </c>
      <c r="I87" s="93">
        <f t="shared" si="35"/>
        <v>0</v>
      </c>
      <c r="J87" s="85">
        <f>B87+F87</f>
        <v>90.050999999999988</v>
      </c>
      <c r="K87" s="84">
        <f t="shared" si="35"/>
        <v>114.218</v>
      </c>
      <c r="L87" s="86">
        <f t="shared" si="35"/>
        <v>204.26900000000001</v>
      </c>
      <c r="M87" s="71"/>
      <c r="N87" s="72" t="s">
        <v>80</v>
      </c>
      <c r="O87" s="99"/>
    </row>
    <row r="88" spans="1:15" s="70" customFormat="1" ht="14.25" hidden="1" x14ac:dyDescent="0.2">
      <c r="A88" s="94">
        <v>0</v>
      </c>
      <c r="B88" s="85">
        <v>42.515000000000001</v>
      </c>
      <c r="C88" s="85">
        <v>61.603000000000002</v>
      </c>
      <c r="D88" s="87">
        <f>SUM(A88:C88)</f>
        <v>104.11799999999999</v>
      </c>
      <c r="E88" s="85">
        <v>0</v>
      </c>
      <c r="F88" s="85">
        <v>44.218000000000004</v>
      </c>
      <c r="G88" s="85">
        <v>52.954999999999998</v>
      </c>
      <c r="H88" s="85">
        <f>SUM(E88:G88)</f>
        <v>97.173000000000002</v>
      </c>
      <c r="I88" s="93">
        <f t="shared" si="35"/>
        <v>0</v>
      </c>
      <c r="J88" s="85">
        <f>B88+F88</f>
        <v>86.733000000000004</v>
      </c>
      <c r="K88" s="84">
        <f>C88+G88</f>
        <v>114.55799999999999</v>
      </c>
      <c r="L88" s="86">
        <f>D88+H88</f>
        <v>201.291</v>
      </c>
      <c r="M88" s="71"/>
      <c r="N88" s="72" t="s">
        <v>81</v>
      </c>
      <c r="O88" s="99"/>
    </row>
    <row r="89" spans="1:15" s="70" customFormat="1" ht="14.25" hidden="1" x14ac:dyDescent="0.2">
      <c r="A89" s="94">
        <f t="shared" ref="A89:L89" si="36">SUM(A86:A88)</f>
        <v>0</v>
      </c>
      <c r="B89" s="85">
        <f t="shared" si="36"/>
        <v>134.863</v>
      </c>
      <c r="C89" s="85">
        <f t="shared" si="36"/>
        <v>174.43800000000002</v>
      </c>
      <c r="D89" s="87">
        <f t="shared" si="36"/>
        <v>309.30099999999999</v>
      </c>
      <c r="E89" s="85">
        <f t="shared" si="36"/>
        <v>0</v>
      </c>
      <c r="F89" s="85">
        <f t="shared" si="36"/>
        <v>131.39800000000002</v>
      </c>
      <c r="G89" s="85">
        <f t="shared" si="36"/>
        <v>159.43200000000002</v>
      </c>
      <c r="H89" s="85">
        <f t="shared" si="36"/>
        <v>290.83000000000004</v>
      </c>
      <c r="I89" s="93">
        <f t="shared" si="36"/>
        <v>0</v>
      </c>
      <c r="J89" s="85">
        <f t="shared" si="36"/>
        <v>266.26099999999997</v>
      </c>
      <c r="K89" s="84">
        <f t="shared" si="36"/>
        <v>333.87</v>
      </c>
      <c r="L89" s="86">
        <f t="shared" si="36"/>
        <v>600.13100000000009</v>
      </c>
      <c r="M89" s="71"/>
      <c r="N89" s="72" t="s">
        <v>49</v>
      </c>
      <c r="O89" s="99"/>
    </row>
    <row r="90" spans="1:15" s="70" customFormat="1" ht="14.25" hidden="1" x14ac:dyDescent="0.2">
      <c r="A90" s="94">
        <v>0</v>
      </c>
      <c r="B90" s="85">
        <v>39.49</v>
      </c>
      <c r="C90" s="85">
        <v>56.021999999999998</v>
      </c>
      <c r="D90" s="87">
        <f>SUM(A90:C90)</f>
        <v>95.512</v>
      </c>
      <c r="E90" s="85">
        <v>0</v>
      </c>
      <c r="F90" s="85">
        <v>44.222999999999999</v>
      </c>
      <c r="G90" s="85">
        <v>54.966000000000001</v>
      </c>
      <c r="H90" s="85">
        <f>SUM(E90:G90)</f>
        <v>99.188999999999993</v>
      </c>
      <c r="I90" s="93">
        <f t="shared" ref="I90:L91" si="37">A90+E90</f>
        <v>0</v>
      </c>
      <c r="J90" s="85">
        <f t="shared" si="37"/>
        <v>83.712999999999994</v>
      </c>
      <c r="K90" s="84">
        <f t="shared" si="37"/>
        <v>110.988</v>
      </c>
      <c r="L90" s="86">
        <f t="shared" si="37"/>
        <v>194.70099999999999</v>
      </c>
      <c r="M90" s="71"/>
      <c r="N90" s="72" t="s">
        <v>83</v>
      </c>
      <c r="O90" s="99"/>
    </row>
    <row r="91" spans="1:15" s="70" customFormat="1" ht="14.25" hidden="1" x14ac:dyDescent="0.2">
      <c r="A91" s="94">
        <v>0</v>
      </c>
      <c r="B91" s="85">
        <v>36.037999999999997</v>
      </c>
      <c r="C91" s="85">
        <v>58.515999999999998</v>
      </c>
      <c r="D91" s="87">
        <f>SUM(A91:C91)</f>
        <v>94.554000000000002</v>
      </c>
      <c r="E91" s="85">
        <v>0</v>
      </c>
      <c r="F91" s="85">
        <v>43.13</v>
      </c>
      <c r="G91" s="85">
        <v>60.161000000000001</v>
      </c>
      <c r="H91" s="85">
        <f>SUM(E91:G91)</f>
        <v>103.291</v>
      </c>
      <c r="I91" s="93">
        <f t="shared" si="37"/>
        <v>0</v>
      </c>
      <c r="J91" s="85">
        <f t="shared" si="37"/>
        <v>79.168000000000006</v>
      </c>
      <c r="K91" s="84">
        <f>C91+G91</f>
        <v>118.67699999999999</v>
      </c>
      <c r="L91" s="86">
        <f t="shared" si="37"/>
        <v>197.845</v>
      </c>
      <c r="M91" s="71"/>
      <c r="N91" s="72" t="s">
        <v>84</v>
      </c>
      <c r="O91" s="99"/>
    </row>
    <row r="92" spans="1:15" s="70" customFormat="1" ht="14.25" hidden="1" x14ac:dyDescent="0.2">
      <c r="A92" s="94">
        <v>0</v>
      </c>
      <c r="B92" s="85">
        <v>36.124000000000002</v>
      </c>
      <c r="C92" s="85">
        <v>51.470999999999997</v>
      </c>
      <c r="D92" s="87">
        <f>SUM(A92:C92)</f>
        <v>87.594999999999999</v>
      </c>
      <c r="E92" s="85">
        <v>0</v>
      </c>
      <c r="F92" s="85">
        <v>33.569000000000003</v>
      </c>
      <c r="G92" s="85">
        <v>53.774999999999999</v>
      </c>
      <c r="H92" s="85">
        <f>SUM(E92:G92)</f>
        <v>87.343999999999994</v>
      </c>
      <c r="I92" s="93">
        <f>A92+E92</f>
        <v>0</v>
      </c>
      <c r="J92" s="85">
        <f>B92+F92</f>
        <v>69.693000000000012</v>
      </c>
      <c r="K92" s="84">
        <f>C92+G92</f>
        <v>105.246</v>
      </c>
      <c r="L92" s="86">
        <f>D92+H92</f>
        <v>174.93899999999999</v>
      </c>
      <c r="M92" s="71"/>
      <c r="N92" s="72" t="s">
        <v>85</v>
      </c>
      <c r="O92" s="99"/>
    </row>
    <row r="93" spans="1:15" s="70" customFormat="1" ht="14.25" hidden="1" x14ac:dyDescent="0.2">
      <c r="A93" s="94">
        <f t="shared" ref="A93:L93" si="38">SUM(A90:A92)</f>
        <v>0</v>
      </c>
      <c r="B93" s="85">
        <f t="shared" si="38"/>
        <v>111.65199999999999</v>
      </c>
      <c r="C93" s="85">
        <f t="shared" si="38"/>
        <v>166.00899999999999</v>
      </c>
      <c r="D93" s="87">
        <f t="shared" si="38"/>
        <v>277.661</v>
      </c>
      <c r="E93" s="85">
        <f t="shared" si="38"/>
        <v>0</v>
      </c>
      <c r="F93" s="85">
        <f t="shared" si="38"/>
        <v>120.92200000000001</v>
      </c>
      <c r="G93" s="85">
        <f t="shared" si="38"/>
        <v>168.90200000000002</v>
      </c>
      <c r="H93" s="85">
        <f t="shared" si="38"/>
        <v>289.82399999999996</v>
      </c>
      <c r="I93" s="93">
        <f t="shared" si="38"/>
        <v>0</v>
      </c>
      <c r="J93" s="85">
        <f t="shared" si="38"/>
        <v>232.57400000000001</v>
      </c>
      <c r="K93" s="84">
        <f t="shared" si="38"/>
        <v>334.911</v>
      </c>
      <c r="L93" s="86">
        <f t="shared" si="38"/>
        <v>567.48500000000001</v>
      </c>
      <c r="M93" s="71"/>
      <c r="N93" s="72" t="s">
        <v>50</v>
      </c>
      <c r="O93" s="99"/>
    </row>
    <row r="94" spans="1:15" s="70" customFormat="1" ht="14.25" hidden="1" x14ac:dyDescent="0.2">
      <c r="A94" s="94">
        <v>0</v>
      </c>
      <c r="B94" s="85">
        <v>42.628999999999998</v>
      </c>
      <c r="C94" s="85">
        <v>51.042999999999999</v>
      </c>
      <c r="D94" s="87">
        <f>SUM(A94:C94)</f>
        <v>93.671999999999997</v>
      </c>
      <c r="E94" s="85">
        <v>0</v>
      </c>
      <c r="F94" s="85">
        <v>39.853999999999999</v>
      </c>
      <c r="G94" s="85">
        <v>49.392000000000003</v>
      </c>
      <c r="H94" s="85">
        <f>SUM(E94:G94)</f>
        <v>89.246000000000009</v>
      </c>
      <c r="I94" s="93">
        <f t="shared" ref="I94:L95" si="39">A94+E94</f>
        <v>0</v>
      </c>
      <c r="J94" s="85">
        <f t="shared" si="39"/>
        <v>82.483000000000004</v>
      </c>
      <c r="K94" s="84">
        <f t="shared" si="39"/>
        <v>100.435</v>
      </c>
      <c r="L94" s="86">
        <f t="shared" si="39"/>
        <v>182.91800000000001</v>
      </c>
      <c r="M94" s="71"/>
      <c r="N94" s="72" t="s">
        <v>87</v>
      </c>
      <c r="O94" s="99"/>
    </row>
    <row r="95" spans="1:15" s="70" customFormat="1" ht="14.25" hidden="1" x14ac:dyDescent="0.2">
      <c r="A95" s="94">
        <v>0</v>
      </c>
      <c r="B95" s="85">
        <v>44.356999999999999</v>
      </c>
      <c r="C95" s="85">
        <v>51.28</v>
      </c>
      <c r="D95" s="87">
        <f>SUM(A95:C95)</f>
        <v>95.637</v>
      </c>
      <c r="E95" s="85">
        <v>0</v>
      </c>
      <c r="F95" s="85">
        <v>44.34</v>
      </c>
      <c r="G95" s="85">
        <v>50.822000000000003</v>
      </c>
      <c r="H95" s="85">
        <f>SUM(E95:G95)</f>
        <v>95.162000000000006</v>
      </c>
      <c r="I95" s="93">
        <f t="shared" si="39"/>
        <v>0</v>
      </c>
      <c r="J95" s="85">
        <f t="shared" si="39"/>
        <v>88.697000000000003</v>
      </c>
      <c r="K95" s="84">
        <f t="shared" si="39"/>
        <v>102.102</v>
      </c>
      <c r="L95" s="86">
        <f t="shared" si="39"/>
        <v>190.79900000000001</v>
      </c>
      <c r="M95" s="71"/>
      <c r="N95" s="72" t="s">
        <v>88</v>
      </c>
      <c r="O95" s="99"/>
    </row>
    <row r="96" spans="1:15" s="70" customFormat="1" ht="14.25" hidden="1" x14ac:dyDescent="0.2">
      <c r="A96" s="94">
        <v>0</v>
      </c>
      <c r="B96" s="85">
        <v>42.058</v>
      </c>
      <c r="C96" s="85">
        <v>47.904000000000003</v>
      </c>
      <c r="D96" s="87">
        <f>SUM(A96:C96)</f>
        <v>89.962000000000003</v>
      </c>
      <c r="E96" s="85">
        <v>0</v>
      </c>
      <c r="F96" s="85">
        <v>45.348999999999997</v>
      </c>
      <c r="G96" s="85">
        <v>49.915999999999997</v>
      </c>
      <c r="H96" s="85">
        <f>SUM(E96:G96)</f>
        <v>95.264999999999986</v>
      </c>
      <c r="I96" s="93">
        <f>A96+E96</f>
        <v>0</v>
      </c>
      <c r="J96" s="85">
        <f>B96+F96</f>
        <v>87.406999999999996</v>
      </c>
      <c r="K96" s="84">
        <f>C96+G96</f>
        <v>97.82</v>
      </c>
      <c r="L96" s="86">
        <f>D96+H96</f>
        <v>185.22699999999998</v>
      </c>
      <c r="M96" s="71"/>
      <c r="N96" s="72" t="s">
        <v>89</v>
      </c>
      <c r="O96" s="99"/>
    </row>
    <row r="97" spans="1:15" s="70" customFormat="1" ht="14.25" hidden="1" x14ac:dyDescent="0.2">
      <c r="A97" s="94">
        <f t="shared" ref="A97:L97" si="40">SUM(A94:A96)</f>
        <v>0</v>
      </c>
      <c r="B97" s="85">
        <f t="shared" si="40"/>
        <v>129.04399999999998</v>
      </c>
      <c r="C97" s="85">
        <f>SUM(C94:C96)</f>
        <v>150.227</v>
      </c>
      <c r="D97" s="87">
        <f t="shared" si="40"/>
        <v>279.27100000000002</v>
      </c>
      <c r="E97" s="85">
        <f t="shared" si="40"/>
        <v>0</v>
      </c>
      <c r="F97" s="85">
        <f t="shared" si="40"/>
        <v>129.54300000000001</v>
      </c>
      <c r="G97" s="85">
        <f t="shared" si="40"/>
        <v>150.13</v>
      </c>
      <c r="H97" s="85">
        <f t="shared" si="40"/>
        <v>279.673</v>
      </c>
      <c r="I97" s="93">
        <f t="shared" si="40"/>
        <v>0</v>
      </c>
      <c r="J97" s="85">
        <f t="shared" si="40"/>
        <v>258.58699999999999</v>
      </c>
      <c r="K97" s="84">
        <f t="shared" si="40"/>
        <v>300.35699999999997</v>
      </c>
      <c r="L97" s="86">
        <f t="shared" si="40"/>
        <v>558.94399999999996</v>
      </c>
      <c r="M97" s="71"/>
      <c r="N97" s="72" t="s">
        <v>51</v>
      </c>
      <c r="O97" s="99"/>
    </row>
    <row r="98" spans="1:15" s="70" customFormat="1" ht="8.25" hidden="1" customHeight="1" x14ac:dyDescent="0.2">
      <c r="A98" s="94"/>
      <c r="B98" s="85"/>
      <c r="C98" s="85"/>
      <c r="D98" s="87"/>
      <c r="E98" s="85"/>
      <c r="F98" s="85"/>
      <c r="G98" s="85"/>
      <c r="H98" s="85"/>
      <c r="I98" s="93"/>
      <c r="J98" s="85"/>
      <c r="K98" s="84"/>
      <c r="L98" s="86"/>
      <c r="M98" s="71"/>
      <c r="N98" s="72"/>
      <c r="O98" s="99"/>
    </row>
    <row r="99" spans="1:15" s="70" customFormat="1" ht="12.75" hidden="1" customHeight="1" x14ac:dyDescent="0.2">
      <c r="A99" s="94">
        <v>0</v>
      </c>
      <c r="B99" s="85">
        <v>41.658000000000001</v>
      </c>
      <c r="C99" s="85">
        <v>42.923000000000002</v>
      </c>
      <c r="D99" s="87">
        <f>SUM(A99:C99)</f>
        <v>84.581000000000003</v>
      </c>
      <c r="E99" s="85">
        <v>0</v>
      </c>
      <c r="F99" s="85">
        <v>45.741</v>
      </c>
      <c r="G99" s="85">
        <v>43.594999999999999</v>
      </c>
      <c r="H99" s="85">
        <f>SUM(E99:G99)</f>
        <v>89.335999999999999</v>
      </c>
      <c r="I99" s="94">
        <f t="shared" ref="I99:L100" si="41">E99+A99</f>
        <v>0</v>
      </c>
      <c r="J99" s="85">
        <f t="shared" si="41"/>
        <v>87.399000000000001</v>
      </c>
      <c r="K99" s="85">
        <f>G99+C99</f>
        <v>86.518000000000001</v>
      </c>
      <c r="L99" s="87">
        <f t="shared" si="41"/>
        <v>173.917</v>
      </c>
      <c r="M99" s="71"/>
      <c r="N99" s="72" t="s">
        <v>75</v>
      </c>
      <c r="O99" s="99">
        <v>2011</v>
      </c>
    </row>
    <row r="100" spans="1:15" s="70" customFormat="1" ht="14.25" hidden="1" x14ac:dyDescent="0.2">
      <c r="A100" s="94">
        <v>0</v>
      </c>
      <c r="B100" s="85">
        <v>44.848999999999997</v>
      </c>
      <c r="C100" s="85">
        <v>50.292999999999999</v>
      </c>
      <c r="D100" s="87">
        <f>SUM(A100:C100)</f>
        <v>95.141999999999996</v>
      </c>
      <c r="E100" s="85">
        <v>0</v>
      </c>
      <c r="F100" s="85">
        <v>49.847999999999999</v>
      </c>
      <c r="G100" s="85">
        <v>49.804000000000002</v>
      </c>
      <c r="H100" s="85">
        <f>SUM(E100:G100)</f>
        <v>99.652000000000001</v>
      </c>
      <c r="I100" s="94">
        <f t="shared" si="41"/>
        <v>0</v>
      </c>
      <c r="J100" s="85">
        <f t="shared" si="41"/>
        <v>94.697000000000003</v>
      </c>
      <c r="K100" s="85">
        <f t="shared" si="41"/>
        <v>100.09700000000001</v>
      </c>
      <c r="L100" s="87">
        <f t="shared" si="41"/>
        <v>194.79399999999998</v>
      </c>
      <c r="M100" s="71"/>
      <c r="N100" s="72" t="s">
        <v>76</v>
      </c>
      <c r="O100" s="99"/>
    </row>
    <row r="101" spans="1:15" s="70" customFormat="1" ht="14.25" hidden="1" x14ac:dyDescent="0.2">
      <c r="A101" s="94">
        <v>0</v>
      </c>
      <c r="B101" s="85">
        <v>56.095999999999997</v>
      </c>
      <c r="C101" s="85">
        <v>58.274000000000001</v>
      </c>
      <c r="D101" s="87">
        <f>SUM(A101:C101)</f>
        <v>114.37</v>
      </c>
      <c r="E101" s="85">
        <v>0</v>
      </c>
      <c r="F101" s="85">
        <v>59.094999999999999</v>
      </c>
      <c r="G101" s="85">
        <v>57.095999999999997</v>
      </c>
      <c r="H101" s="85">
        <f>SUM(E101:G101)</f>
        <v>116.191</v>
      </c>
      <c r="I101" s="94">
        <f>E101+A101</f>
        <v>0</v>
      </c>
      <c r="J101" s="85">
        <f>F101+B101</f>
        <v>115.191</v>
      </c>
      <c r="K101" s="85">
        <f>G101+C101</f>
        <v>115.37</v>
      </c>
      <c r="L101" s="87">
        <f>H101+D101</f>
        <v>230.56100000000001</v>
      </c>
      <c r="M101" s="71"/>
      <c r="N101" s="72" t="s">
        <v>77</v>
      </c>
      <c r="O101" s="99"/>
    </row>
    <row r="102" spans="1:15" s="70" customFormat="1" ht="14.25" hidden="1" x14ac:dyDescent="0.2">
      <c r="A102" s="94">
        <f t="shared" ref="A102:L102" si="42">SUM(A99:A101)</f>
        <v>0</v>
      </c>
      <c r="B102" s="85">
        <f t="shared" si="42"/>
        <v>142.60300000000001</v>
      </c>
      <c r="C102" s="85">
        <f t="shared" si="42"/>
        <v>151.49</v>
      </c>
      <c r="D102" s="87">
        <f t="shared" si="42"/>
        <v>294.09300000000002</v>
      </c>
      <c r="E102" s="85">
        <f t="shared" si="42"/>
        <v>0</v>
      </c>
      <c r="F102" s="85">
        <f t="shared" si="42"/>
        <v>154.684</v>
      </c>
      <c r="G102" s="85">
        <f t="shared" si="42"/>
        <v>150.495</v>
      </c>
      <c r="H102" s="85">
        <f t="shared" si="42"/>
        <v>305.17899999999997</v>
      </c>
      <c r="I102" s="94">
        <f t="shared" si="42"/>
        <v>0</v>
      </c>
      <c r="J102" s="85">
        <f t="shared" si="42"/>
        <v>297.28700000000003</v>
      </c>
      <c r="K102" s="85">
        <f t="shared" si="42"/>
        <v>301.98500000000001</v>
      </c>
      <c r="L102" s="87">
        <f t="shared" si="42"/>
        <v>599.27200000000005</v>
      </c>
      <c r="M102" s="71"/>
      <c r="N102" s="72" t="s">
        <v>48</v>
      </c>
      <c r="O102" s="99">
        <v>2011</v>
      </c>
    </row>
    <row r="103" spans="1:15" s="70" customFormat="1" ht="14.25" hidden="1" x14ac:dyDescent="0.2">
      <c r="A103" s="94">
        <v>0</v>
      </c>
      <c r="B103" s="85">
        <v>52.100999999999999</v>
      </c>
      <c r="C103" s="85">
        <v>49.462000000000003</v>
      </c>
      <c r="D103" s="87">
        <f>SUM(A103:C103)</f>
        <v>101.563</v>
      </c>
      <c r="E103" s="85">
        <v>4.9000000000000002E-2</v>
      </c>
      <c r="F103" s="85">
        <v>53.055999999999997</v>
      </c>
      <c r="G103" s="85">
        <v>53.503</v>
      </c>
      <c r="H103" s="85">
        <f>SUM(E103:G103)</f>
        <v>106.608</v>
      </c>
      <c r="I103" s="94">
        <f>A103+E103</f>
        <v>4.9000000000000002E-2</v>
      </c>
      <c r="J103" s="85">
        <f>B103+F103</f>
        <v>105.157</v>
      </c>
      <c r="K103" s="85">
        <f>C103+G103</f>
        <v>102.965</v>
      </c>
      <c r="L103" s="87">
        <f>D103+H103</f>
        <v>208.17099999999999</v>
      </c>
      <c r="M103" s="71"/>
      <c r="N103" s="72" t="s">
        <v>79</v>
      </c>
      <c r="O103" s="99"/>
    </row>
    <row r="104" spans="1:15" s="70" customFormat="1" ht="14.25" hidden="1" x14ac:dyDescent="0.2">
      <c r="A104" s="94">
        <v>0</v>
      </c>
      <c r="B104" s="85">
        <v>44.328000000000003</v>
      </c>
      <c r="C104" s="85">
        <v>54.168999999999997</v>
      </c>
      <c r="D104" s="87">
        <f>SUM(A104:C104)</f>
        <v>98.497</v>
      </c>
      <c r="E104" s="85">
        <v>0</v>
      </c>
      <c r="F104" s="85">
        <v>45.162999999999997</v>
      </c>
      <c r="G104" s="85">
        <v>63.039000000000001</v>
      </c>
      <c r="H104" s="85">
        <f>SUM(E104:G104)</f>
        <v>108.202</v>
      </c>
      <c r="I104" s="94">
        <f>A104+E104</f>
        <v>0</v>
      </c>
      <c r="J104" s="85">
        <f t="shared" ref="J104:L105" si="43">B104+F104</f>
        <v>89.491</v>
      </c>
      <c r="K104" s="85">
        <f t="shared" si="43"/>
        <v>117.208</v>
      </c>
      <c r="L104" s="87">
        <f t="shared" si="43"/>
        <v>206.69900000000001</v>
      </c>
      <c r="M104" s="71"/>
      <c r="N104" s="72" t="s">
        <v>80</v>
      </c>
      <c r="O104" s="99"/>
    </row>
    <row r="105" spans="1:15" s="70" customFormat="1" ht="14.25" hidden="1" x14ac:dyDescent="0.2">
      <c r="A105" s="94">
        <v>0</v>
      </c>
      <c r="B105" s="85">
        <v>57.098999999999997</v>
      </c>
      <c r="C105" s="85">
        <v>64.569000000000003</v>
      </c>
      <c r="D105" s="87">
        <f>SUM(A105:C105)</f>
        <v>121.66800000000001</v>
      </c>
      <c r="E105" s="85">
        <v>0</v>
      </c>
      <c r="F105" s="85">
        <v>50.66</v>
      </c>
      <c r="G105" s="85">
        <v>53.509</v>
      </c>
      <c r="H105" s="85">
        <f>SUM(E105:G105)</f>
        <v>104.169</v>
      </c>
      <c r="I105" s="94">
        <f>A105+E105</f>
        <v>0</v>
      </c>
      <c r="J105" s="85">
        <f t="shared" si="43"/>
        <v>107.75899999999999</v>
      </c>
      <c r="K105" s="85">
        <f t="shared" si="43"/>
        <v>118.078</v>
      </c>
      <c r="L105" s="87">
        <f t="shared" si="43"/>
        <v>225.83699999999999</v>
      </c>
      <c r="M105" s="71"/>
      <c r="N105" s="72" t="s">
        <v>81</v>
      </c>
      <c r="O105" s="99"/>
    </row>
    <row r="106" spans="1:15" s="70" customFormat="1" ht="14.25" hidden="1" x14ac:dyDescent="0.2">
      <c r="A106" s="94">
        <f t="shared" ref="A106:K106" si="44">SUM(A103:A105)</f>
        <v>0</v>
      </c>
      <c r="B106" s="85">
        <f>SUM(B103:B105)</f>
        <v>153.52799999999999</v>
      </c>
      <c r="C106" s="85">
        <f t="shared" si="44"/>
        <v>168.2</v>
      </c>
      <c r="D106" s="87">
        <f t="shared" si="44"/>
        <v>321.72800000000001</v>
      </c>
      <c r="E106" s="85">
        <f t="shared" si="44"/>
        <v>4.9000000000000002E-2</v>
      </c>
      <c r="F106" s="85">
        <f t="shared" si="44"/>
        <v>148.87899999999999</v>
      </c>
      <c r="G106" s="85">
        <f>SUM(G103:G105)</f>
        <v>170.05099999999999</v>
      </c>
      <c r="H106" s="85">
        <f t="shared" si="44"/>
        <v>318.97899999999998</v>
      </c>
      <c r="I106" s="94">
        <f>SUM(I103:I105)</f>
        <v>4.9000000000000002E-2</v>
      </c>
      <c r="J106" s="85">
        <f t="shared" si="44"/>
        <v>302.40699999999998</v>
      </c>
      <c r="K106" s="85">
        <f t="shared" si="44"/>
        <v>338.25099999999998</v>
      </c>
      <c r="L106" s="87">
        <f>SUM(L103:L105)</f>
        <v>640.70699999999999</v>
      </c>
      <c r="M106" s="71"/>
      <c r="N106" s="72" t="s">
        <v>49</v>
      </c>
      <c r="O106" s="99"/>
    </row>
    <row r="107" spans="1:15" s="70" customFormat="1" ht="14.25" hidden="1" x14ac:dyDescent="0.2">
      <c r="A107" s="94">
        <v>0</v>
      </c>
      <c r="B107" s="85">
        <v>47.563000000000002</v>
      </c>
      <c r="C107" s="85">
        <v>55.548999999999999</v>
      </c>
      <c r="D107" s="87">
        <f>SUM(A107:C107)</f>
        <v>103.11199999999999</v>
      </c>
      <c r="E107" s="85">
        <v>0</v>
      </c>
      <c r="F107" s="85">
        <v>46.966999999999999</v>
      </c>
      <c r="G107" s="85">
        <v>50.262999999999998</v>
      </c>
      <c r="H107" s="85">
        <f>SUM(E107:G107)</f>
        <v>97.22999999999999</v>
      </c>
      <c r="I107" s="94">
        <f>A107+E107</f>
        <v>0</v>
      </c>
      <c r="J107" s="85">
        <f t="shared" ref="J107:L109" si="45">B107+F107</f>
        <v>94.53</v>
      </c>
      <c r="K107" s="85">
        <f t="shared" si="45"/>
        <v>105.812</v>
      </c>
      <c r="L107" s="87">
        <f t="shared" si="45"/>
        <v>200.34199999999998</v>
      </c>
      <c r="M107" s="71"/>
      <c r="N107" s="72" t="s">
        <v>83</v>
      </c>
      <c r="O107" s="99"/>
    </row>
    <row r="108" spans="1:15" s="70" customFormat="1" ht="14.25" hidden="1" x14ac:dyDescent="0.2">
      <c r="A108" s="94">
        <v>0</v>
      </c>
      <c r="B108" s="85">
        <v>48.576000000000001</v>
      </c>
      <c r="C108" s="85">
        <v>55.313000000000002</v>
      </c>
      <c r="D108" s="87">
        <f>SUM(A108:C108)</f>
        <v>103.88900000000001</v>
      </c>
      <c r="E108" s="85">
        <v>0</v>
      </c>
      <c r="F108" s="85">
        <v>54.17</v>
      </c>
      <c r="G108" s="85">
        <v>53.124000000000002</v>
      </c>
      <c r="H108" s="85">
        <f>SUM(E108:G108)</f>
        <v>107.29400000000001</v>
      </c>
      <c r="I108" s="94">
        <f>A108+E108</f>
        <v>0</v>
      </c>
      <c r="J108" s="85">
        <f t="shared" si="45"/>
        <v>102.74600000000001</v>
      </c>
      <c r="K108" s="85">
        <f t="shared" si="45"/>
        <v>108.43700000000001</v>
      </c>
      <c r="L108" s="87">
        <f t="shared" si="45"/>
        <v>211.18300000000002</v>
      </c>
      <c r="M108" s="71"/>
      <c r="N108" s="72" t="s">
        <v>84</v>
      </c>
      <c r="O108" s="99"/>
    </row>
    <row r="109" spans="1:15" s="70" customFormat="1" ht="14.25" hidden="1" x14ac:dyDescent="0.2">
      <c r="A109" s="94">
        <v>0</v>
      </c>
      <c r="B109" s="85">
        <v>46.942</v>
      </c>
      <c r="C109" s="85">
        <v>47.393999999999998</v>
      </c>
      <c r="D109" s="87">
        <f>SUM(A109:C109)</f>
        <v>94.335999999999999</v>
      </c>
      <c r="E109" s="85">
        <v>0</v>
      </c>
      <c r="F109" s="85">
        <v>42.901000000000003</v>
      </c>
      <c r="G109" s="85">
        <v>43.365000000000002</v>
      </c>
      <c r="H109" s="85">
        <f>SUM(E109:G109)</f>
        <v>86.266000000000005</v>
      </c>
      <c r="I109" s="94">
        <f>A109+E109</f>
        <v>0</v>
      </c>
      <c r="J109" s="85">
        <f t="shared" si="45"/>
        <v>89.843000000000004</v>
      </c>
      <c r="K109" s="85">
        <f t="shared" si="45"/>
        <v>90.759</v>
      </c>
      <c r="L109" s="87">
        <f t="shared" si="45"/>
        <v>180.602</v>
      </c>
      <c r="M109" s="71"/>
      <c r="N109" s="72" t="s">
        <v>85</v>
      </c>
      <c r="O109" s="99"/>
    </row>
    <row r="110" spans="1:15" s="70" customFormat="1" ht="14.25" hidden="1" x14ac:dyDescent="0.2">
      <c r="A110" s="94">
        <f t="shared" ref="A110:L110" si="46">SUM(A107:A109)</f>
        <v>0</v>
      </c>
      <c r="B110" s="85">
        <f t="shared" si="46"/>
        <v>143.08100000000002</v>
      </c>
      <c r="C110" s="85">
        <f>SUM(C107:C109)</f>
        <v>158.256</v>
      </c>
      <c r="D110" s="87">
        <f t="shared" si="46"/>
        <v>301.33699999999999</v>
      </c>
      <c r="E110" s="85">
        <f t="shared" si="46"/>
        <v>0</v>
      </c>
      <c r="F110" s="85">
        <f t="shared" si="46"/>
        <v>144.03800000000001</v>
      </c>
      <c r="G110" s="85">
        <f>SUM(G107:G109)</f>
        <v>146.75200000000001</v>
      </c>
      <c r="H110" s="85">
        <f t="shared" si="46"/>
        <v>290.79000000000002</v>
      </c>
      <c r="I110" s="94">
        <f t="shared" si="46"/>
        <v>0</v>
      </c>
      <c r="J110" s="85">
        <f>SUM(J107:J109)</f>
        <v>287.11900000000003</v>
      </c>
      <c r="K110" s="85">
        <f t="shared" si="46"/>
        <v>305.00800000000004</v>
      </c>
      <c r="L110" s="87">
        <f t="shared" si="46"/>
        <v>592.12699999999995</v>
      </c>
      <c r="M110" s="71"/>
      <c r="N110" s="72" t="s">
        <v>50</v>
      </c>
      <c r="O110" s="99"/>
    </row>
    <row r="111" spans="1:15" s="70" customFormat="1" ht="14.25" hidden="1" x14ac:dyDescent="0.2">
      <c r="A111" s="94">
        <v>0</v>
      </c>
      <c r="B111" s="85">
        <v>41.515999999999998</v>
      </c>
      <c r="C111" s="85">
        <v>46.936</v>
      </c>
      <c r="D111" s="87">
        <f>SUM(A111:C111)</f>
        <v>88.451999999999998</v>
      </c>
      <c r="E111" s="85">
        <v>0</v>
      </c>
      <c r="F111" s="85">
        <v>50.723999999999997</v>
      </c>
      <c r="G111" s="85">
        <v>50.3</v>
      </c>
      <c r="H111" s="85">
        <f>SUM(E111:G111)</f>
        <v>101.024</v>
      </c>
      <c r="I111" s="94">
        <f t="shared" ref="I111:L113" si="47">A111+E111</f>
        <v>0</v>
      </c>
      <c r="J111" s="85">
        <f t="shared" si="47"/>
        <v>92.24</v>
      </c>
      <c r="K111" s="85">
        <f t="shared" si="47"/>
        <v>97.23599999999999</v>
      </c>
      <c r="L111" s="87">
        <f t="shared" si="47"/>
        <v>189.476</v>
      </c>
      <c r="M111" s="71"/>
      <c r="N111" s="72" t="s">
        <v>87</v>
      </c>
      <c r="O111" s="99"/>
    </row>
    <row r="112" spans="1:15" s="70" customFormat="1" ht="14.25" hidden="1" x14ac:dyDescent="0.2">
      <c r="A112" s="94">
        <v>0</v>
      </c>
      <c r="B112" s="85">
        <v>45.037999999999997</v>
      </c>
      <c r="C112" s="85">
        <v>50.081000000000003</v>
      </c>
      <c r="D112" s="87">
        <f>SUM(A112:C112)</f>
        <v>95.119</v>
      </c>
      <c r="E112" s="85">
        <v>0</v>
      </c>
      <c r="F112" s="85">
        <v>42.02</v>
      </c>
      <c r="G112" s="85">
        <v>49.994</v>
      </c>
      <c r="H112" s="85">
        <f>SUM(E112:G112)</f>
        <v>92.01400000000001</v>
      </c>
      <c r="I112" s="94">
        <f t="shared" si="47"/>
        <v>0</v>
      </c>
      <c r="J112" s="85">
        <f t="shared" si="47"/>
        <v>87.057999999999993</v>
      </c>
      <c r="K112" s="85">
        <f t="shared" si="47"/>
        <v>100.075</v>
      </c>
      <c r="L112" s="87">
        <f t="shared" si="47"/>
        <v>187.13300000000001</v>
      </c>
      <c r="M112" s="71"/>
      <c r="N112" s="72" t="s">
        <v>88</v>
      </c>
      <c r="O112" s="99"/>
    </row>
    <row r="113" spans="1:15" s="70" customFormat="1" ht="14.25" hidden="1" x14ac:dyDescent="0.2">
      <c r="A113" s="94">
        <v>0</v>
      </c>
      <c r="B113" s="85">
        <v>46.710999999999999</v>
      </c>
      <c r="C113" s="85">
        <v>45.021000000000001</v>
      </c>
      <c r="D113" s="87">
        <f>SUM(A113:C113)</f>
        <v>91.731999999999999</v>
      </c>
      <c r="E113" s="85">
        <v>0</v>
      </c>
      <c r="F113" s="85">
        <v>47.280999999999999</v>
      </c>
      <c r="G113" s="85">
        <v>47.939</v>
      </c>
      <c r="H113" s="85">
        <f>SUM(E113:G113)</f>
        <v>95.22</v>
      </c>
      <c r="I113" s="94">
        <f t="shared" si="47"/>
        <v>0</v>
      </c>
      <c r="J113" s="85">
        <f t="shared" si="47"/>
        <v>93.99199999999999</v>
      </c>
      <c r="K113" s="85">
        <f t="shared" si="47"/>
        <v>92.960000000000008</v>
      </c>
      <c r="L113" s="87">
        <f t="shared" si="47"/>
        <v>186.952</v>
      </c>
      <c r="M113" s="71"/>
      <c r="N113" s="72" t="s">
        <v>89</v>
      </c>
      <c r="O113" s="99"/>
    </row>
    <row r="114" spans="1:15" s="70" customFormat="1" ht="14.25" hidden="1" x14ac:dyDescent="0.2">
      <c r="A114" s="94">
        <f t="shared" ref="A114:L114" si="48">SUM(A111:A113)</f>
        <v>0</v>
      </c>
      <c r="B114" s="85">
        <f t="shared" si="48"/>
        <v>133.26499999999999</v>
      </c>
      <c r="C114" s="85">
        <f>SUM(C111:C113)</f>
        <v>142.03800000000001</v>
      </c>
      <c r="D114" s="87">
        <f t="shared" si="48"/>
        <v>275.303</v>
      </c>
      <c r="E114" s="85">
        <f t="shared" si="48"/>
        <v>0</v>
      </c>
      <c r="F114" s="85">
        <f>SUM(F111:F113)</f>
        <v>140.02500000000001</v>
      </c>
      <c r="G114" s="85">
        <f t="shared" si="48"/>
        <v>148.233</v>
      </c>
      <c r="H114" s="85">
        <f t="shared" si="48"/>
        <v>288.25800000000004</v>
      </c>
      <c r="I114" s="94">
        <f t="shared" si="48"/>
        <v>0</v>
      </c>
      <c r="J114" s="85">
        <f t="shared" si="48"/>
        <v>273.28999999999996</v>
      </c>
      <c r="K114" s="85">
        <f t="shared" si="48"/>
        <v>290.27099999999996</v>
      </c>
      <c r="L114" s="87">
        <f t="shared" si="48"/>
        <v>563.56100000000004</v>
      </c>
      <c r="M114" s="71"/>
      <c r="N114" s="72" t="s">
        <v>51</v>
      </c>
      <c r="O114" s="99"/>
    </row>
    <row r="115" spans="1:15" s="70" customFormat="1" ht="9" hidden="1" customHeight="1" x14ac:dyDescent="0.2">
      <c r="A115" s="94"/>
      <c r="B115" s="85"/>
      <c r="C115" s="85"/>
      <c r="D115" s="87"/>
      <c r="E115" s="85"/>
      <c r="F115" s="85"/>
      <c r="G115" s="85"/>
      <c r="H115" s="85"/>
      <c r="I115" s="94"/>
      <c r="J115" s="85"/>
      <c r="K115" s="85"/>
      <c r="L115" s="87"/>
      <c r="M115" s="71"/>
      <c r="N115" s="72"/>
      <c r="O115" s="99"/>
    </row>
    <row r="116" spans="1:15" s="70" customFormat="1" ht="14.25" hidden="1" x14ac:dyDescent="0.2">
      <c r="A116" s="94">
        <v>0</v>
      </c>
      <c r="B116" s="85">
        <v>46.247</v>
      </c>
      <c r="C116" s="85">
        <v>59.088999999999999</v>
      </c>
      <c r="D116" s="87">
        <f>SUM(A116:C116)</f>
        <v>105.336</v>
      </c>
      <c r="E116" s="85">
        <v>0</v>
      </c>
      <c r="F116" s="85">
        <v>51.46</v>
      </c>
      <c r="G116" s="85">
        <v>60.256</v>
      </c>
      <c r="H116" s="85">
        <f>SUM(E116:G116)</f>
        <v>111.71600000000001</v>
      </c>
      <c r="I116" s="94">
        <f t="shared" ref="I116:L118" si="49">A116+E116</f>
        <v>0</v>
      </c>
      <c r="J116" s="85">
        <f t="shared" si="49"/>
        <v>97.706999999999994</v>
      </c>
      <c r="K116" s="85">
        <f t="shared" si="49"/>
        <v>119.345</v>
      </c>
      <c r="L116" s="87">
        <f t="shared" si="49"/>
        <v>217.05200000000002</v>
      </c>
      <c r="M116" s="71"/>
      <c r="N116" s="72" t="s">
        <v>75</v>
      </c>
      <c r="O116" s="99">
        <v>2012</v>
      </c>
    </row>
    <row r="117" spans="1:15" s="70" customFormat="1" ht="14.25" hidden="1" x14ac:dyDescent="0.2">
      <c r="A117" s="94">
        <v>0</v>
      </c>
      <c r="B117" s="85">
        <v>42.640999999999998</v>
      </c>
      <c r="C117" s="85">
        <v>50.912999999999997</v>
      </c>
      <c r="D117" s="87">
        <f>SUM(A117:C117)</f>
        <v>93.554000000000002</v>
      </c>
      <c r="E117" s="85">
        <v>0</v>
      </c>
      <c r="F117" s="85">
        <v>44.026000000000003</v>
      </c>
      <c r="G117" s="85">
        <v>53.76</v>
      </c>
      <c r="H117" s="85">
        <f>SUM(E117:G117)</f>
        <v>97.786000000000001</v>
      </c>
      <c r="I117" s="94">
        <f t="shared" si="49"/>
        <v>0</v>
      </c>
      <c r="J117" s="85">
        <f t="shared" si="49"/>
        <v>86.667000000000002</v>
      </c>
      <c r="K117" s="85">
        <f t="shared" si="49"/>
        <v>104.673</v>
      </c>
      <c r="L117" s="87">
        <f t="shared" si="49"/>
        <v>191.34</v>
      </c>
      <c r="M117" s="71"/>
      <c r="N117" s="72" t="s">
        <v>76</v>
      </c>
      <c r="O117" s="99"/>
    </row>
    <row r="118" spans="1:15" s="70" customFormat="1" ht="14.25" hidden="1" x14ac:dyDescent="0.2">
      <c r="A118" s="94">
        <v>0</v>
      </c>
      <c r="B118" s="85">
        <v>51.776000000000003</v>
      </c>
      <c r="C118" s="85">
        <v>66.465000000000003</v>
      </c>
      <c r="D118" s="87">
        <f>SUM(A118:C118)</f>
        <v>118.24100000000001</v>
      </c>
      <c r="E118" s="85">
        <v>0</v>
      </c>
      <c r="F118" s="85">
        <v>51.844999999999999</v>
      </c>
      <c r="G118" s="85">
        <v>67.043999999999997</v>
      </c>
      <c r="H118" s="85">
        <f>SUM(E118:G118)</f>
        <v>118.889</v>
      </c>
      <c r="I118" s="94">
        <f t="shared" si="49"/>
        <v>0</v>
      </c>
      <c r="J118" s="85">
        <f t="shared" si="49"/>
        <v>103.62100000000001</v>
      </c>
      <c r="K118" s="85">
        <f t="shared" si="49"/>
        <v>133.50900000000001</v>
      </c>
      <c r="L118" s="87">
        <f t="shared" si="49"/>
        <v>237.13</v>
      </c>
      <c r="M118" s="71"/>
      <c r="N118" s="72" t="s">
        <v>77</v>
      </c>
      <c r="O118" s="99"/>
    </row>
    <row r="119" spans="1:15" s="70" customFormat="1" ht="14.25" hidden="1" x14ac:dyDescent="0.2">
      <c r="A119" s="94">
        <f t="shared" ref="A119:G119" si="50">SUM(A116:A118)</f>
        <v>0</v>
      </c>
      <c r="B119" s="85">
        <f t="shared" si="50"/>
        <v>140.66400000000002</v>
      </c>
      <c r="C119" s="85">
        <f t="shared" si="50"/>
        <v>176.46699999999998</v>
      </c>
      <c r="D119" s="87">
        <f t="shared" si="50"/>
        <v>317.13099999999997</v>
      </c>
      <c r="E119" s="85">
        <f t="shared" si="50"/>
        <v>0</v>
      </c>
      <c r="F119" s="85">
        <f t="shared" si="50"/>
        <v>147.33100000000002</v>
      </c>
      <c r="G119" s="85">
        <f t="shared" si="50"/>
        <v>181.06</v>
      </c>
      <c r="H119" s="85">
        <f>SUM(H116:H118)</f>
        <v>328.39100000000002</v>
      </c>
      <c r="I119" s="94">
        <f>SUM(I116:I118)</f>
        <v>0</v>
      </c>
      <c r="J119" s="85">
        <f>SUM(J116:J118)</f>
        <v>287.995</v>
      </c>
      <c r="K119" s="85">
        <f>SUM(K116:K118)</f>
        <v>357.52700000000004</v>
      </c>
      <c r="L119" s="87">
        <f>SUM(L116:L118)</f>
        <v>645.52200000000005</v>
      </c>
      <c r="M119" s="71"/>
      <c r="N119" s="72" t="s">
        <v>48</v>
      </c>
      <c r="O119" s="99">
        <v>2012</v>
      </c>
    </row>
    <row r="120" spans="1:15" s="70" customFormat="1" ht="14.25" hidden="1" x14ac:dyDescent="0.2">
      <c r="A120" s="94">
        <v>0</v>
      </c>
      <c r="B120" s="85">
        <v>54.996000000000002</v>
      </c>
      <c r="C120" s="85">
        <v>62.41</v>
      </c>
      <c r="D120" s="87">
        <f>SUM(A120:C120)</f>
        <v>117.40600000000001</v>
      </c>
      <c r="E120" s="85">
        <v>0</v>
      </c>
      <c r="F120" s="85">
        <v>51.087000000000003</v>
      </c>
      <c r="G120" s="85">
        <v>64.203999999999994</v>
      </c>
      <c r="H120" s="85">
        <f>SUM(E120:G120)</f>
        <v>115.291</v>
      </c>
      <c r="I120" s="94">
        <f t="shared" ref="I120:L122" si="51">A120+E120</f>
        <v>0</v>
      </c>
      <c r="J120" s="85">
        <f t="shared" si="51"/>
        <v>106.083</v>
      </c>
      <c r="K120" s="85">
        <f t="shared" si="51"/>
        <v>126.61399999999999</v>
      </c>
      <c r="L120" s="87">
        <f t="shared" si="51"/>
        <v>232.697</v>
      </c>
      <c r="M120" s="71"/>
      <c r="N120" s="72" t="s">
        <v>79</v>
      </c>
      <c r="O120" s="99"/>
    </row>
    <row r="121" spans="1:15" s="70" customFormat="1" ht="14.25" hidden="1" x14ac:dyDescent="0.2">
      <c r="A121" s="94">
        <v>0</v>
      </c>
      <c r="B121" s="85">
        <v>57.290999999999997</v>
      </c>
      <c r="C121" s="85">
        <v>63.682000000000002</v>
      </c>
      <c r="D121" s="87">
        <f>SUM(A121:C121)</f>
        <v>120.973</v>
      </c>
      <c r="E121" s="85">
        <v>0</v>
      </c>
      <c r="F121" s="85">
        <v>53.795000000000002</v>
      </c>
      <c r="G121" s="85">
        <v>61.343000000000004</v>
      </c>
      <c r="H121" s="85">
        <f>SUM(E121:G121)</f>
        <v>115.13800000000001</v>
      </c>
      <c r="I121" s="94">
        <f t="shared" si="51"/>
        <v>0</v>
      </c>
      <c r="J121" s="85">
        <f t="shared" si="51"/>
        <v>111.086</v>
      </c>
      <c r="K121" s="85">
        <f t="shared" si="51"/>
        <v>125.02500000000001</v>
      </c>
      <c r="L121" s="87">
        <f t="shared" si="51"/>
        <v>236.11099999999999</v>
      </c>
      <c r="M121" s="71"/>
      <c r="N121" s="72" t="s">
        <v>80</v>
      </c>
      <c r="O121" s="99"/>
    </row>
    <row r="122" spans="1:15" s="70" customFormat="1" ht="14.25" hidden="1" x14ac:dyDescent="0.2">
      <c r="A122" s="94">
        <v>0</v>
      </c>
      <c r="B122" s="85">
        <v>50.841000000000001</v>
      </c>
      <c r="C122" s="85">
        <v>59.984999999999999</v>
      </c>
      <c r="D122" s="87">
        <f>SUM(A122:C122)</f>
        <v>110.82599999999999</v>
      </c>
      <c r="E122" s="85">
        <v>0</v>
      </c>
      <c r="F122" s="85">
        <v>50.012999999999998</v>
      </c>
      <c r="G122" s="85">
        <v>50.566000000000003</v>
      </c>
      <c r="H122" s="85">
        <f>SUM(E122:G122)</f>
        <v>100.57900000000001</v>
      </c>
      <c r="I122" s="94">
        <f t="shared" si="51"/>
        <v>0</v>
      </c>
      <c r="J122" s="85">
        <f t="shared" si="51"/>
        <v>100.854</v>
      </c>
      <c r="K122" s="85">
        <f t="shared" si="51"/>
        <v>110.551</v>
      </c>
      <c r="L122" s="87">
        <f t="shared" si="51"/>
        <v>211.405</v>
      </c>
      <c r="M122" s="71"/>
      <c r="N122" s="72" t="s">
        <v>81</v>
      </c>
      <c r="O122" s="99"/>
    </row>
    <row r="123" spans="1:15" s="70" customFormat="1" ht="14.25" hidden="1" x14ac:dyDescent="0.2">
      <c r="A123" s="94">
        <f t="shared" ref="A123:L123" si="52">SUM(A120:A122)</f>
        <v>0</v>
      </c>
      <c r="B123" s="85">
        <f t="shared" si="52"/>
        <v>163.12800000000001</v>
      </c>
      <c r="C123" s="85">
        <f t="shared" si="52"/>
        <v>186.077</v>
      </c>
      <c r="D123" s="87">
        <f t="shared" si="52"/>
        <v>349.20500000000004</v>
      </c>
      <c r="E123" s="85">
        <f t="shared" si="52"/>
        <v>0</v>
      </c>
      <c r="F123" s="85">
        <f t="shared" si="52"/>
        <v>154.89500000000001</v>
      </c>
      <c r="G123" s="85">
        <f t="shared" si="52"/>
        <v>176.113</v>
      </c>
      <c r="H123" s="85">
        <f t="shared" si="52"/>
        <v>331.00800000000004</v>
      </c>
      <c r="I123" s="94">
        <f t="shared" si="52"/>
        <v>0</v>
      </c>
      <c r="J123" s="85">
        <f t="shared" si="52"/>
        <v>318.02299999999997</v>
      </c>
      <c r="K123" s="85">
        <f t="shared" si="52"/>
        <v>362.19</v>
      </c>
      <c r="L123" s="87">
        <f t="shared" si="52"/>
        <v>680.21299999999997</v>
      </c>
      <c r="M123" s="71"/>
      <c r="N123" s="72" t="s">
        <v>49</v>
      </c>
      <c r="O123" s="99"/>
    </row>
    <row r="124" spans="1:15" s="70" customFormat="1" ht="14.25" hidden="1" x14ac:dyDescent="0.2">
      <c r="A124" s="94">
        <v>0</v>
      </c>
      <c r="B124" s="85">
        <v>52.460999999999999</v>
      </c>
      <c r="C124" s="85">
        <v>58.588000000000001</v>
      </c>
      <c r="D124" s="87">
        <f>SUM(A124:C124)</f>
        <v>111.04900000000001</v>
      </c>
      <c r="E124" s="85">
        <v>0</v>
      </c>
      <c r="F124" s="85">
        <v>58.286999999999999</v>
      </c>
      <c r="G124" s="85">
        <v>56.305</v>
      </c>
      <c r="H124" s="85">
        <f>SUM(E124:G124)</f>
        <v>114.592</v>
      </c>
      <c r="I124" s="94">
        <f t="shared" ref="I124:L126" si="53">A124+E124</f>
        <v>0</v>
      </c>
      <c r="J124" s="85">
        <f t="shared" si="53"/>
        <v>110.74799999999999</v>
      </c>
      <c r="K124" s="85">
        <f t="shared" si="53"/>
        <v>114.893</v>
      </c>
      <c r="L124" s="87">
        <f t="shared" si="53"/>
        <v>225.64100000000002</v>
      </c>
      <c r="M124" s="71"/>
      <c r="N124" s="72" t="s">
        <v>83</v>
      </c>
      <c r="O124" s="99"/>
    </row>
    <row r="125" spans="1:15" s="70" customFormat="1" ht="14.25" hidden="1" x14ac:dyDescent="0.2">
      <c r="A125" s="94">
        <v>0</v>
      </c>
      <c r="B125" s="85">
        <v>49.164999999999999</v>
      </c>
      <c r="C125" s="85">
        <v>56.966000000000001</v>
      </c>
      <c r="D125" s="87">
        <f>SUM(A125:C125)</f>
        <v>106.131</v>
      </c>
      <c r="E125" s="85">
        <v>0</v>
      </c>
      <c r="F125" s="85">
        <v>48.753</v>
      </c>
      <c r="G125" s="85">
        <v>52.533999999999999</v>
      </c>
      <c r="H125" s="85">
        <f>SUM(E125:G125)</f>
        <v>101.28700000000001</v>
      </c>
      <c r="I125" s="94">
        <f t="shared" si="53"/>
        <v>0</v>
      </c>
      <c r="J125" s="85">
        <f t="shared" si="53"/>
        <v>97.918000000000006</v>
      </c>
      <c r="K125" s="85">
        <f t="shared" si="53"/>
        <v>109.5</v>
      </c>
      <c r="L125" s="87">
        <f t="shared" si="53"/>
        <v>207.41800000000001</v>
      </c>
      <c r="M125" s="71"/>
      <c r="N125" s="72" t="s">
        <v>84</v>
      </c>
      <c r="O125" s="99"/>
    </row>
    <row r="126" spans="1:15" s="70" customFormat="1" ht="14.25" hidden="1" x14ac:dyDescent="0.2">
      <c r="A126" s="94">
        <v>0</v>
      </c>
      <c r="B126" s="85">
        <v>39.195999999999998</v>
      </c>
      <c r="C126" s="85">
        <v>49.344999999999999</v>
      </c>
      <c r="D126" s="87">
        <f>SUM(A126:C126)</f>
        <v>88.540999999999997</v>
      </c>
      <c r="E126" s="85">
        <v>0</v>
      </c>
      <c r="F126" s="85">
        <v>43.320999999999998</v>
      </c>
      <c r="G126" s="85">
        <v>48.542999999999999</v>
      </c>
      <c r="H126" s="85">
        <f>SUM(E126:G126)</f>
        <v>91.864000000000004</v>
      </c>
      <c r="I126" s="94">
        <f t="shared" si="53"/>
        <v>0</v>
      </c>
      <c r="J126" s="85">
        <f t="shared" si="53"/>
        <v>82.516999999999996</v>
      </c>
      <c r="K126" s="85">
        <f t="shared" si="53"/>
        <v>97.888000000000005</v>
      </c>
      <c r="L126" s="87">
        <f t="shared" si="53"/>
        <v>180.405</v>
      </c>
      <c r="M126" s="71"/>
      <c r="N126" s="72" t="s">
        <v>85</v>
      </c>
      <c r="O126" s="99"/>
    </row>
    <row r="127" spans="1:15" s="70" customFormat="1" ht="14.25" hidden="1" x14ac:dyDescent="0.2">
      <c r="A127" s="94">
        <f t="shared" ref="A127:L127" si="54">SUM(A124:A126)</f>
        <v>0</v>
      </c>
      <c r="B127" s="85">
        <f t="shared" si="54"/>
        <v>140.822</v>
      </c>
      <c r="C127" s="85">
        <f t="shared" si="54"/>
        <v>164.899</v>
      </c>
      <c r="D127" s="87">
        <f t="shared" si="54"/>
        <v>305.721</v>
      </c>
      <c r="E127" s="85">
        <f t="shared" si="54"/>
        <v>0</v>
      </c>
      <c r="F127" s="85">
        <f t="shared" si="54"/>
        <v>150.36099999999999</v>
      </c>
      <c r="G127" s="85">
        <f t="shared" si="54"/>
        <v>157.38200000000001</v>
      </c>
      <c r="H127" s="85">
        <f t="shared" si="54"/>
        <v>307.74300000000005</v>
      </c>
      <c r="I127" s="94">
        <f t="shared" si="54"/>
        <v>0</v>
      </c>
      <c r="J127" s="85">
        <f t="shared" si="54"/>
        <v>291.18299999999999</v>
      </c>
      <c r="K127" s="85">
        <f t="shared" si="54"/>
        <v>322.28100000000001</v>
      </c>
      <c r="L127" s="87">
        <f t="shared" si="54"/>
        <v>613.46400000000006</v>
      </c>
      <c r="M127" s="71"/>
      <c r="N127" s="72" t="s">
        <v>50</v>
      </c>
      <c r="O127" s="99"/>
    </row>
    <row r="128" spans="1:15" s="70" customFormat="1" ht="14.25" hidden="1" x14ac:dyDescent="0.2">
      <c r="A128" s="94">
        <v>0</v>
      </c>
      <c r="B128" s="85">
        <v>49.066000000000003</v>
      </c>
      <c r="C128" s="85">
        <v>52.308999999999997</v>
      </c>
      <c r="D128" s="87">
        <f>SUM(A128:C128)</f>
        <v>101.375</v>
      </c>
      <c r="E128" s="85">
        <v>0</v>
      </c>
      <c r="F128" s="85">
        <v>48.347999999999999</v>
      </c>
      <c r="G128" s="85">
        <v>53.481000000000002</v>
      </c>
      <c r="H128" s="85">
        <f>SUM(E128:G128)</f>
        <v>101.82900000000001</v>
      </c>
      <c r="I128" s="94">
        <f t="shared" ref="I128:L130" si="55">A128+E128</f>
        <v>0</v>
      </c>
      <c r="J128" s="85">
        <f t="shared" si="55"/>
        <v>97.414000000000001</v>
      </c>
      <c r="K128" s="85">
        <f t="shared" si="55"/>
        <v>105.78999999999999</v>
      </c>
      <c r="L128" s="87">
        <f t="shared" si="55"/>
        <v>203.20400000000001</v>
      </c>
      <c r="M128" s="71"/>
      <c r="N128" s="72" t="s">
        <v>87</v>
      </c>
      <c r="O128" s="99"/>
    </row>
    <row r="129" spans="1:15" s="70" customFormat="1" ht="14.25" hidden="1" x14ac:dyDescent="0.2">
      <c r="A129" s="94">
        <v>1E-3</v>
      </c>
      <c r="B129" s="85">
        <v>43.347999999999999</v>
      </c>
      <c r="C129" s="85">
        <v>53.179000000000002</v>
      </c>
      <c r="D129" s="87">
        <f>SUM(A129:C129)</f>
        <v>96.527999999999992</v>
      </c>
      <c r="E129" s="85">
        <v>0</v>
      </c>
      <c r="F129" s="85">
        <v>42.584000000000003</v>
      </c>
      <c r="G129" s="85">
        <v>53.253999999999998</v>
      </c>
      <c r="H129" s="85">
        <f>SUM(E129:G129)</f>
        <v>95.837999999999994</v>
      </c>
      <c r="I129" s="94">
        <f t="shared" si="55"/>
        <v>1E-3</v>
      </c>
      <c r="J129" s="85">
        <f t="shared" si="55"/>
        <v>85.932000000000002</v>
      </c>
      <c r="K129" s="85">
        <f t="shared" si="55"/>
        <v>106.43299999999999</v>
      </c>
      <c r="L129" s="87">
        <f t="shared" si="55"/>
        <v>192.36599999999999</v>
      </c>
      <c r="M129" s="71"/>
      <c r="N129" s="72" t="s">
        <v>88</v>
      </c>
      <c r="O129" s="99"/>
    </row>
    <row r="130" spans="1:15" s="70" customFormat="1" ht="14.25" hidden="1" x14ac:dyDescent="0.2">
      <c r="A130" s="94">
        <v>0</v>
      </c>
      <c r="B130" s="85">
        <v>43.232999999999997</v>
      </c>
      <c r="C130" s="85">
        <v>57.41</v>
      </c>
      <c r="D130" s="87">
        <f>SUM(A130:C130)</f>
        <v>100.643</v>
      </c>
      <c r="E130" s="85">
        <v>0</v>
      </c>
      <c r="F130" s="85">
        <v>46.670999999999999</v>
      </c>
      <c r="G130" s="85">
        <v>58.99</v>
      </c>
      <c r="H130" s="85">
        <f>SUM(E130:G130)</f>
        <v>105.661</v>
      </c>
      <c r="I130" s="94">
        <f t="shared" si="55"/>
        <v>0</v>
      </c>
      <c r="J130" s="85">
        <f t="shared" si="55"/>
        <v>89.903999999999996</v>
      </c>
      <c r="K130" s="85">
        <f t="shared" si="55"/>
        <v>116.4</v>
      </c>
      <c r="L130" s="87">
        <f t="shared" si="55"/>
        <v>206.304</v>
      </c>
      <c r="M130" s="71"/>
      <c r="N130" s="72" t="s">
        <v>89</v>
      </c>
      <c r="O130" s="99"/>
    </row>
    <row r="131" spans="1:15" s="70" customFormat="1" ht="14.25" hidden="1" x14ac:dyDescent="0.2">
      <c r="A131" s="94">
        <f>SUM(A128:A130)</f>
        <v>1E-3</v>
      </c>
      <c r="B131" s="85">
        <f t="shared" ref="B131:L131" si="56">SUM(B128:B130)</f>
        <v>135.64699999999999</v>
      </c>
      <c r="C131" s="85">
        <f t="shared" si="56"/>
        <v>162.898</v>
      </c>
      <c r="D131" s="87">
        <f t="shared" si="56"/>
        <v>298.54599999999999</v>
      </c>
      <c r="E131" s="85">
        <f t="shared" si="56"/>
        <v>0</v>
      </c>
      <c r="F131" s="85">
        <f t="shared" si="56"/>
        <v>137.60300000000001</v>
      </c>
      <c r="G131" s="85">
        <f t="shared" si="56"/>
        <v>165.72499999999999</v>
      </c>
      <c r="H131" s="85">
        <f t="shared" si="56"/>
        <v>303.32799999999997</v>
      </c>
      <c r="I131" s="94">
        <f t="shared" si="56"/>
        <v>1E-3</v>
      </c>
      <c r="J131" s="85">
        <f>SUM(J128:J130)</f>
        <v>273.25</v>
      </c>
      <c r="K131" s="85">
        <f t="shared" si="56"/>
        <v>328.62299999999999</v>
      </c>
      <c r="L131" s="87">
        <f t="shared" si="56"/>
        <v>601.87400000000002</v>
      </c>
      <c r="M131" s="71"/>
      <c r="N131" s="72" t="s">
        <v>51</v>
      </c>
      <c r="O131" s="99"/>
    </row>
    <row r="132" spans="1:15" s="70" customFormat="1" ht="8.25" hidden="1" customHeight="1" x14ac:dyDescent="0.2">
      <c r="A132" s="94"/>
      <c r="B132" s="85"/>
      <c r="C132" s="85"/>
      <c r="D132" s="87"/>
      <c r="E132" s="85"/>
      <c r="F132" s="85"/>
      <c r="G132" s="85"/>
      <c r="H132" s="85"/>
      <c r="I132" s="94"/>
      <c r="J132" s="85"/>
      <c r="K132" s="85"/>
      <c r="L132" s="87"/>
      <c r="M132" s="71"/>
      <c r="N132" s="72"/>
      <c r="O132" s="99"/>
    </row>
    <row r="133" spans="1:15" s="70" customFormat="1" ht="14.25" hidden="1" x14ac:dyDescent="0.2">
      <c r="A133" s="94">
        <v>0</v>
      </c>
      <c r="B133" s="85">
        <v>43.604999999999997</v>
      </c>
      <c r="C133" s="85">
        <v>64.728999999999999</v>
      </c>
      <c r="D133" s="87">
        <f>SUM(A133:C133)</f>
        <v>108.334</v>
      </c>
      <c r="E133" s="85">
        <v>0</v>
      </c>
      <c r="F133" s="85">
        <v>46.320999999999998</v>
      </c>
      <c r="G133" s="85">
        <v>66.965000000000003</v>
      </c>
      <c r="H133" s="85">
        <f>SUM(E133:G133)</f>
        <v>113.286</v>
      </c>
      <c r="I133" s="94">
        <f t="shared" ref="I133:L135" si="57">A133+E133</f>
        <v>0</v>
      </c>
      <c r="J133" s="85">
        <f t="shared" si="57"/>
        <v>89.925999999999988</v>
      </c>
      <c r="K133" s="85">
        <f t="shared" si="57"/>
        <v>131.69400000000002</v>
      </c>
      <c r="L133" s="87">
        <f t="shared" si="57"/>
        <v>221.62</v>
      </c>
      <c r="M133" s="71"/>
      <c r="N133" s="72" t="s">
        <v>75</v>
      </c>
      <c r="O133" s="99">
        <v>2013</v>
      </c>
    </row>
    <row r="134" spans="1:15" s="70" customFormat="1" ht="14.25" hidden="1" x14ac:dyDescent="0.2">
      <c r="A134" s="94">
        <v>5.0999999999999997E-2</v>
      </c>
      <c r="B134" s="85">
        <v>46.773000000000003</v>
      </c>
      <c r="C134" s="85">
        <v>56.106000000000002</v>
      </c>
      <c r="D134" s="87">
        <f>SUM(A134:C134)</f>
        <v>102.93</v>
      </c>
      <c r="E134" s="85">
        <v>0</v>
      </c>
      <c r="F134" s="85">
        <v>49.755000000000003</v>
      </c>
      <c r="G134" s="85">
        <v>61.805999999999997</v>
      </c>
      <c r="H134" s="85">
        <f>SUM(E134:G134)</f>
        <v>111.56100000000001</v>
      </c>
      <c r="I134" s="94">
        <f t="shared" si="57"/>
        <v>5.0999999999999997E-2</v>
      </c>
      <c r="J134" s="85">
        <f t="shared" si="57"/>
        <v>96.528000000000006</v>
      </c>
      <c r="K134" s="85">
        <f t="shared" si="57"/>
        <v>117.91200000000001</v>
      </c>
      <c r="L134" s="87">
        <f t="shared" si="57"/>
        <v>214.49100000000001</v>
      </c>
      <c r="M134" s="71"/>
      <c r="N134" s="72" t="s">
        <v>76</v>
      </c>
      <c r="O134" s="99"/>
    </row>
    <row r="135" spans="1:15" s="70" customFormat="1" ht="14.25" hidden="1" x14ac:dyDescent="0.2">
      <c r="A135" s="94">
        <v>1.6E-2</v>
      </c>
      <c r="B135" s="85">
        <v>45.936</v>
      </c>
      <c r="C135" s="85">
        <v>69.120999999999995</v>
      </c>
      <c r="D135" s="87">
        <f>SUM(A135:C135)</f>
        <v>115.07299999999999</v>
      </c>
      <c r="E135" s="85">
        <v>5.3999999999999999E-2</v>
      </c>
      <c r="F135" s="85">
        <v>45.945999999999998</v>
      </c>
      <c r="G135" s="85">
        <v>61.768000000000001</v>
      </c>
      <c r="H135" s="85">
        <f>SUM(E135:G135)</f>
        <v>107.768</v>
      </c>
      <c r="I135" s="94">
        <f t="shared" si="57"/>
        <v>7.0000000000000007E-2</v>
      </c>
      <c r="J135" s="85">
        <f t="shared" si="57"/>
        <v>91.882000000000005</v>
      </c>
      <c r="K135" s="85">
        <f t="shared" si="57"/>
        <v>130.88900000000001</v>
      </c>
      <c r="L135" s="87">
        <f t="shared" si="57"/>
        <v>222.84100000000001</v>
      </c>
      <c r="M135" s="71"/>
      <c r="N135" s="72" t="s">
        <v>77</v>
      </c>
      <c r="O135" s="99"/>
    </row>
    <row r="136" spans="1:15" s="70" customFormat="1" ht="14.25" hidden="1" x14ac:dyDescent="0.2">
      <c r="A136" s="129">
        <f>SUM(A133:A135)</f>
        <v>6.7000000000000004E-2</v>
      </c>
      <c r="B136" s="130">
        <f t="shared" ref="B136:L136" si="58">SUM(B133:B135)</f>
        <v>136.31399999999999</v>
      </c>
      <c r="C136" s="130">
        <f t="shared" si="58"/>
        <v>189.95600000000002</v>
      </c>
      <c r="D136" s="131">
        <f>SUM(D133:D135)</f>
        <v>326.33699999999999</v>
      </c>
      <c r="E136" s="130">
        <f>SUM(E133:E135)</f>
        <v>5.3999999999999999E-2</v>
      </c>
      <c r="F136" s="130">
        <f t="shared" si="58"/>
        <v>142.02199999999999</v>
      </c>
      <c r="G136" s="130">
        <f t="shared" si="58"/>
        <v>190.53900000000002</v>
      </c>
      <c r="H136" s="130">
        <f t="shared" si="58"/>
        <v>332.61500000000001</v>
      </c>
      <c r="I136" s="129">
        <f t="shared" si="58"/>
        <v>0.121</v>
      </c>
      <c r="J136" s="130">
        <f t="shared" si="58"/>
        <v>278.33600000000001</v>
      </c>
      <c r="K136" s="130">
        <f t="shared" si="58"/>
        <v>380.495</v>
      </c>
      <c r="L136" s="131">
        <f t="shared" si="58"/>
        <v>658.952</v>
      </c>
      <c r="M136" s="132"/>
      <c r="N136" s="133" t="s">
        <v>48</v>
      </c>
      <c r="O136" s="136">
        <v>2013</v>
      </c>
    </row>
    <row r="137" spans="1:15" s="70" customFormat="1" ht="14.25" hidden="1" x14ac:dyDescent="0.2">
      <c r="A137" s="129">
        <v>3.2000000000000001E-2</v>
      </c>
      <c r="B137" s="130">
        <v>55.204000000000001</v>
      </c>
      <c r="C137" s="130">
        <v>65.516000000000005</v>
      </c>
      <c r="D137" s="131">
        <f>SUM(A137:C137)</f>
        <v>120.75200000000001</v>
      </c>
      <c r="E137" s="130">
        <v>0</v>
      </c>
      <c r="F137" s="130">
        <v>49.075000000000003</v>
      </c>
      <c r="G137" s="130">
        <v>68.275000000000006</v>
      </c>
      <c r="H137" s="130">
        <f>SUM(E137:G137)</f>
        <v>117.35000000000001</v>
      </c>
      <c r="I137" s="129">
        <f t="shared" ref="I137:L139" si="59">A137+E137</f>
        <v>3.2000000000000001E-2</v>
      </c>
      <c r="J137" s="130">
        <f t="shared" si="59"/>
        <v>104.279</v>
      </c>
      <c r="K137" s="130">
        <f t="shared" si="59"/>
        <v>133.791</v>
      </c>
      <c r="L137" s="131">
        <f t="shared" si="59"/>
        <v>238.10200000000003</v>
      </c>
      <c r="M137" s="132"/>
      <c r="N137" s="133" t="s">
        <v>79</v>
      </c>
      <c r="O137" s="136"/>
    </row>
    <row r="138" spans="1:15" s="70" customFormat="1" ht="14.25" hidden="1" x14ac:dyDescent="0.2">
      <c r="A138" s="129">
        <v>0</v>
      </c>
      <c r="B138" s="130">
        <v>56.517000000000003</v>
      </c>
      <c r="C138" s="130">
        <v>67.462000000000003</v>
      </c>
      <c r="D138" s="131">
        <f>SUM(A138:C138)</f>
        <v>123.97900000000001</v>
      </c>
      <c r="E138" s="130">
        <v>0</v>
      </c>
      <c r="F138" s="130">
        <v>55.197000000000003</v>
      </c>
      <c r="G138" s="130">
        <v>65.260999999999996</v>
      </c>
      <c r="H138" s="130">
        <f>SUM(E138:G138)</f>
        <v>120.458</v>
      </c>
      <c r="I138" s="129">
        <f t="shared" si="59"/>
        <v>0</v>
      </c>
      <c r="J138" s="130">
        <f t="shared" si="59"/>
        <v>111.714</v>
      </c>
      <c r="K138" s="130">
        <f t="shared" si="59"/>
        <v>132.72300000000001</v>
      </c>
      <c r="L138" s="131">
        <f t="shared" si="59"/>
        <v>244.43700000000001</v>
      </c>
      <c r="M138" s="132"/>
      <c r="N138" s="133" t="s">
        <v>80</v>
      </c>
      <c r="O138" s="136"/>
    </row>
    <row r="139" spans="1:15" s="70" customFormat="1" ht="14.25" hidden="1" x14ac:dyDescent="0.2">
      <c r="A139" s="129">
        <v>0</v>
      </c>
      <c r="B139" s="130">
        <v>47.948</v>
      </c>
      <c r="C139" s="130">
        <v>59.533999999999999</v>
      </c>
      <c r="D139" s="131">
        <f>SUM(A139:C139)</f>
        <v>107.482</v>
      </c>
      <c r="E139" s="130">
        <v>1E-3</v>
      </c>
      <c r="F139" s="130">
        <v>53.744</v>
      </c>
      <c r="G139" s="130">
        <v>59.850999999999999</v>
      </c>
      <c r="H139" s="130">
        <f>SUM(E139:G139)</f>
        <v>113.596</v>
      </c>
      <c r="I139" s="129">
        <f t="shared" si="59"/>
        <v>1E-3</v>
      </c>
      <c r="J139" s="130">
        <f t="shared" si="59"/>
        <v>101.69200000000001</v>
      </c>
      <c r="K139" s="130">
        <f t="shared" si="59"/>
        <v>119.38499999999999</v>
      </c>
      <c r="L139" s="131">
        <f t="shared" si="59"/>
        <v>221.078</v>
      </c>
      <c r="M139" s="132"/>
      <c r="N139" s="133" t="s">
        <v>81</v>
      </c>
      <c r="O139" s="136"/>
    </row>
    <row r="140" spans="1:15" s="70" customFormat="1" ht="14.25" hidden="1" x14ac:dyDescent="0.2">
      <c r="A140" s="129">
        <f>SUM(A137:A139)</f>
        <v>3.2000000000000001E-2</v>
      </c>
      <c r="B140" s="130">
        <f t="shared" ref="B140:L140" si="60">SUM(B137:B139)</f>
        <v>159.66900000000001</v>
      </c>
      <c r="C140" s="130">
        <f t="shared" si="60"/>
        <v>192.512</v>
      </c>
      <c r="D140" s="131">
        <f t="shared" si="60"/>
        <v>352.21300000000002</v>
      </c>
      <c r="E140" s="130">
        <f>SUM(E137:E139)</f>
        <v>1E-3</v>
      </c>
      <c r="F140" s="130">
        <f t="shared" si="60"/>
        <v>158.01600000000002</v>
      </c>
      <c r="G140" s="130">
        <f t="shared" si="60"/>
        <v>193.387</v>
      </c>
      <c r="H140" s="130">
        <f>SUM(H137:H139)</f>
        <v>351.404</v>
      </c>
      <c r="I140" s="129">
        <f t="shared" si="60"/>
        <v>3.3000000000000002E-2</v>
      </c>
      <c r="J140" s="130">
        <f t="shared" si="60"/>
        <v>317.685</v>
      </c>
      <c r="K140" s="130">
        <f t="shared" si="60"/>
        <v>385.899</v>
      </c>
      <c r="L140" s="131">
        <f t="shared" si="60"/>
        <v>703.61700000000008</v>
      </c>
      <c r="M140" s="132"/>
      <c r="N140" s="133" t="s">
        <v>49</v>
      </c>
      <c r="O140" s="136"/>
    </row>
    <row r="141" spans="1:15" s="70" customFormat="1" ht="14.25" hidden="1" x14ac:dyDescent="0.2">
      <c r="A141" s="129">
        <v>1.4E-2</v>
      </c>
      <c r="B141" s="130">
        <v>51.213000000000001</v>
      </c>
      <c r="C141" s="130">
        <v>65.754999999999995</v>
      </c>
      <c r="D141" s="131">
        <f>SUM(A141:C141)</f>
        <v>116.982</v>
      </c>
      <c r="E141" s="130">
        <v>5.0000000000000001E-3</v>
      </c>
      <c r="F141" s="130">
        <v>57.375999999999998</v>
      </c>
      <c r="G141" s="130">
        <v>59.551000000000002</v>
      </c>
      <c r="H141" s="130">
        <f>SUM(E141:G141)</f>
        <v>116.932</v>
      </c>
      <c r="I141" s="129">
        <f t="shared" ref="I141:L143" si="61">A141+E141</f>
        <v>1.9E-2</v>
      </c>
      <c r="J141" s="130">
        <f t="shared" si="61"/>
        <v>108.589</v>
      </c>
      <c r="K141" s="130">
        <f t="shared" si="61"/>
        <v>125.306</v>
      </c>
      <c r="L141" s="131">
        <f t="shared" si="61"/>
        <v>233.91399999999999</v>
      </c>
      <c r="M141" s="132"/>
      <c r="N141" s="133" t="s">
        <v>83</v>
      </c>
      <c r="O141" s="136"/>
    </row>
    <row r="142" spans="1:15" s="70" customFormat="1" ht="14.25" hidden="1" x14ac:dyDescent="0.2">
      <c r="A142" s="129">
        <v>1.9E-2</v>
      </c>
      <c r="B142" s="130">
        <v>54.393000000000001</v>
      </c>
      <c r="C142" s="130">
        <v>54.674999999999997</v>
      </c>
      <c r="D142" s="131">
        <f>SUM(A142:C142)</f>
        <v>109.08699999999999</v>
      </c>
      <c r="E142" s="130">
        <v>0</v>
      </c>
      <c r="F142" s="130">
        <v>52.912999999999997</v>
      </c>
      <c r="G142" s="130">
        <v>53.529000000000003</v>
      </c>
      <c r="H142" s="130">
        <f>SUM(E142:G142)</f>
        <v>106.44200000000001</v>
      </c>
      <c r="I142" s="129">
        <f t="shared" si="61"/>
        <v>1.9E-2</v>
      </c>
      <c r="J142" s="130">
        <f t="shared" si="61"/>
        <v>107.306</v>
      </c>
      <c r="K142" s="130">
        <f t="shared" si="61"/>
        <v>108.20400000000001</v>
      </c>
      <c r="L142" s="131">
        <f t="shared" si="61"/>
        <v>215.529</v>
      </c>
      <c r="M142" s="132"/>
      <c r="N142" s="133" t="s">
        <v>84</v>
      </c>
      <c r="O142" s="136"/>
    </row>
    <row r="143" spans="1:15" s="70" customFormat="1" ht="14.25" hidden="1" x14ac:dyDescent="0.2">
      <c r="A143" s="129">
        <v>0</v>
      </c>
      <c r="B143" s="130">
        <v>39.698999999999998</v>
      </c>
      <c r="C143" s="130">
        <v>46.045999999999999</v>
      </c>
      <c r="D143" s="131">
        <f>SUM(A143:C143)</f>
        <v>85.745000000000005</v>
      </c>
      <c r="E143" s="130">
        <v>6.0000000000000001E-3</v>
      </c>
      <c r="F143" s="130">
        <v>45.372</v>
      </c>
      <c r="G143" s="130">
        <v>41.765000000000001</v>
      </c>
      <c r="H143" s="130">
        <f>SUM(E143:G143)</f>
        <v>87.143000000000001</v>
      </c>
      <c r="I143" s="129">
        <f t="shared" si="61"/>
        <v>6.0000000000000001E-3</v>
      </c>
      <c r="J143" s="130">
        <f t="shared" si="61"/>
        <v>85.070999999999998</v>
      </c>
      <c r="K143" s="130">
        <f t="shared" si="61"/>
        <v>87.811000000000007</v>
      </c>
      <c r="L143" s="131">
        <f t="shared" si="61"/>
        <v>172.88800000000001</v>
      </c>
      <c r="M143" s="132"/>
      <c r="N143" s="133" t="s">
        <v>85</v>
      </c>
      <c r="O143" s="136"/>
    </row>
    <row r="144" spans="1:15" s="70" customFormat="1" ht="14.25" hidden="1" x14ac:dyDescent="0.2">
      <c r="A144" s="129">
        <f t="shared" ref="A144:L144" si="62">SUM(A141:A143)</f>
        <v>3.3000000000000002E-2</v>
      </c>
      <c r="B144" s="130">
        <f t="shared" si="62"/>
        <v>145.30500000000001</v>
      </c>
      <c r="C144" s="130">
        <f t="shared" si="62"/>
        <v>166.476</v>
      </c>
      <c r="D144" s="131">
        <f t="shared" si="62"/>
        <v>311.81399999999996</v>
      </c>
      <c r="E144" s="130">
        <f t="shared" si="62"/>
        <v>1.0999999999999999E-2</v>
      </c>
      <c r="F144" s="130">
        <f t="shared" si="62"/>
        <v>155.661</v>
      </c>
      <c r="G144" s="130">
        <f t="shared" si="62"/>
        <v>154.84500000000003</v>
      </c>
      <c r="H144" s="130">
        <f t="shared" si="62"/>
        <v>310.51700000000005</v>
      </c>
      <c r="I144" s="129">
        <f t="shared" si="62"/>
        <v>4.3999999999999997E-2</v>
      </c>
      <c r="J144" s="130">
        <f t="shared" si="62"/>
        <v>300.96600000000001</v>
      </c>
      <c r="K144" s="130">
        <f t="shared" si="62"/>
        <v>321.32100000000003</v>
      </c>
      <c r="L144" s="131">
        <f t="shared" si="62"/>
        <v>622.33100000000002</v>
      </c>
      <c r="M144" s="132"/>
      <c r="N144" s="133" t="s">
        <v>50</v>
      </c>
      <c r="O144" s="136"/>
    </row>
    <row r="145" spans="1:15" s="70" customFormat="1" ht="14.25" hidden="1" x14ac:dyDescent="0.2">
      <c r="A145" s="129">
        <v>6.0000000000000001E-3</v>
      </c>
      <c r="B145" s="130">
        <v>51.691000000000003</v>
      </c>
      <c r="C145" s="130">
        <v>42.238</v>
      </c>
      <c r="D145" s="131">
        <f>SUM(A145:C145)</f>
        <v>93.935000000000002</v>
      </c>
      <c r="E145" s="130">
        <v>3.0000000000000001E-3</v>
      </c>
      <c r="F145" s="130">
        <v>49.695</v>
      </c>
      <c r="G145" s="130">
        <v>41.613</v>
      </c>
      <c r="H145" s="130">
        <f>SUM(E145:G145)</f>
        <v>91.311000000000007</v>
      </c>
      <c r="I145" s="129">
        <f t="shared" ref="I145:L147" si="63">A145+E145</f>
        <v>9.0000000000000011E-3</v>
      </c>
      <c r="J145" s="130">
        <f t="shared" si="63"/>
        <v>101.386</v>
      </c>
      <c r="K145" s="130">
        <f t="shared" si="63"/>
        <v>83.850999999999999</v>
      </c>
      <c r="L145" s="131">
        <f t="shared" si="63"/>
        <v>185.24600000000001</v>
      </c>
      <c r="M145" s="132"/>
      <c r="N145" s="133" t="s">
        <v>87</v>
      </c>
      <c r="O145" s="136"/>
    </row>
    <row r="146" spans="1:15" s="70" customFormat="1" ht="14.25" hidden="1" x14ac:dyDescent="0.2">
      <c r="A146" s="129">
        <v>1.4E-2</v>
      </c>
      <c r="B146" s="130">
        <v>44.011000000000003</v>
      </c>
      <c r="C146" s="130">
        <v>40.642000000000003</v>
      </c>
      <c r="D146" s="131">
        <f>SUM(A146:C146)</f>
        <v>84.667000000000002</v>
      </c>
      <c r="E146" s="130">
        <v>0</v>
      </c>
      <c r="F146" s="130">
        <v>45.334000000000003</v>
      </c>
      <c r="G146" s="130">
        <v>41.832000000000001</v>
      </c>
      <c r="H146" s="130">
        <f>SUM(E146:G146)</f>
        <v>87.165999999999997</v>
      </c>
      <c r="I146" s="129">
        <f t="shared" si="63"/>
        <v>1.4E-2</v>
      </c>
      <c r="J146" s="130">
        <f t="shared" si="63"/>
        <v>89.344999999999999</v>
      </c>
      <c r="K146" s="130">
        <f t="shared" si="63"/>
        <v>82.474000000000004</v>
      </c>
      <c r="L146" s="131">
        <f t="shared" si="63"/>
        <v>171.833</v>
      </c>
      <c r="M146" s="132"/>
      <c r="N146" s="133" t="s">
        <v>88</v>
      </c>
      <c r="O146" s="136"/>
    </row>
    <row r="147" spans="1:15" s="70" customFormat="1" ht="14.25" hidden="1" x14ac:dyDescent="0.2">
      <c r="A147" s="129">
        <v>7.0000000000000001E-3</v>
      </c>
      <c r="B147" s="130">
        <v>46.575000000000003</v>
      </c>
      <c r="C147" s="130">
        <v>50.139000000000003</v>
      </c>
      <c r="D147" s="131">
        <f>SUM(A147:C147)</f>
        <v>96.721000000000004</v>
      </c>
      <c r="E147" s="130">
        <v>0</v>
      </c>
      <c r="F147" s="130">
        <v>47.375</v>
      </c>
      <c r="G147" s="130">
        <v>52.81</v>
      </c>
      <c r="H147" s="130">
        <f>SUM(E147:G147)</f>
        <v>100.185</v>
      </c>
      <c r="I147" s="129">
        <f t="shared" si="63"/>
        <v>7.0000000000000001E-3</v>
      </c>
      <c r="J147" s="130">
        <f t="shared" si="63"/>
        <v>93.95</v>
      </c>
      <c r="K147" s="130">
        <f t="shared" si="63"/>
        <v>102.94900000000001</v>
      </c>
      <c r="L147" s="131">
        <f t="shared" si="63"/>
        <v>196.90600000000001</v>
      </c>
      <c r="M147" s="132"/>
      <c r="N147" s="133" t="s">
        <v>89</v>
      </c>
      <c r="O147" s="136"/>
    </row>
    <row r="148" spans="1:15" s="70" customFormat="1" ht="14.25" hidden="1" x14ac:dyDescent="0.2">
      <c r="A148" s="129">
        <f>SUM(A145:A147)</f>
        <v>2.7E-2</v>
      </c>
      <c r="B148" s="130">
        <f t="shared" ref="B148:L148" si="64">SUM(B145:B147)</f>
        <v>142.27699999999999</v>
      </c>
      <c r="C148" s="130">
        <f t="shared" si="64"/>
        <v>133.01900000000001</v>
      </c>
      <c r="D148" s="131">
        <f t="shared" si="64"/>
        <v>275.32299999999998</v>
      </c>
      <c r="E148" s="130">
        <f>SUM(E145:E147)</f>
        <v>3.0000000000000001E-3</v>
      </c>
      <c r="F148" s="130">
        <f t="shared" si="64"/>
        <v>142.404</v>
      </c>
      <c r="G148" s="130">
        <f t="shared" si="64"/>
        <v>136.255</v>
      </c>
      <c r="H148" s="130">
        <f t="shared" si="64"/>
        <v>278.66200000000003</v>
      </c>
      <c r="I148" s="129">
        <f t="shared" si="64"/>
        <v>0.03</v>
      </c>
      <c r="J148" s="130">
        <f t="shared" si="64"/>
        <v>284.68099999999998</v>
      </c>
      <c r="K148" s="130">
        <f t="shared" si="64"/>
        <v>269.274</v>
      </c>
      <c r="L148" s="131">
        <f t="shared" si="64"/>
        <v>553.98500000000001</v>
      </c>
      <c r="M148" s="132"/>
      <c r="N148" s="133" t="s">
        <v>51</v>
      </c>
      <c r="O148" s="136"/>
    </row>
    <row r="149" spans="1:15" s="70" customFormat="1" ht="6.75" hidden="1" customHeight="1" x14ac:dyDescent="0.25">
      <c r="A149" s="118"/>
      <c r="B149" s="119"/>
      <c r="C149" s="119"/>
      <c r="D149" s="120"/>
      <c r="E149" s="119"/>
      <c r="F149" s="119"/>
      <c r="G149" s="119"/>
      <c r="H149" s="119"/>
      <c r="I149" s="118"/>
      <c r="J149" s="119"/>
      <c r="K149" s="119"/>
      <c r="L149" s="120"/>
      <c r="M149" s="121"/>
      <c r="N149" s="122"/>
      <c r="O149" s="99"/>
    </row>
    <row r="150" spans="1:15" s="70" customFormat="1" ht="15.75" hidden="1" customHeight="1" x14ac:dyDescent="0.2">
      <c r="A150" s="129">
        <v>0</v>
      </c>
      <c r="B150" s="130">
        <v>54.097999999999999</v>
      </c>
      <c r="C150" s="130">
        <v>48.834000000000003</v>
      </c>
      <c r="D150" s="131">
        <f>SUM(A150:C150)</f>
        <v>102.932</v>
      </c>
      <c r="E150" s="130">
        <v>0</v>
      </c>
      <c r="F150" s="130">
        <v>53.259</v>
      </c>
      <c r="G150" s="130">
        <v>46.158999999999999</v>
      </c>
      <c r="H150" s="130">
        <f>SUM(E150:G150)</f>
        <v>99.418000000000006</v>
      </c>
      <c r="I150" s="146">
        <f t="shared" ref="I150:L152" si="65">A150+E150</f>
        <v>0</v>
      </c>
      <c r="J150" s="130">
        <f t="shared" si="65"/>
        <v>107.357</v>
      </c>
      <c r="K150" s="147">
        <f t="shared" si="65"/>
        <v>94.992999999999995</v>
      </c>
      <c r="L150" s="148">
        <f t="shared" si="65"/>
        <v>202.35000000000002</v>
      </c>
      <c r="M150" s="132"/>
      <c r="N150" s="133" t="s">
        <v>75</v>
      </c>
      <c r="O150" s="123">
        <v>2014</v>
      </c>
    </row>
    <row r="151" spans="1:15" s="70" customFormat="1" ht="14.25" hidden="1" x14ac:dyDescent="0.2">
      <c r="A151" s="129">
        <v>3.2000000000000001E-2</v>
      </c>
      <c r="B151" s="130">
        <v>51.411999999999999</v>
      </c>
      <c r="C151" s="130">
        <v>45.262</v>
      </c>
      <c r="D151" s="131">
        <f>SUM(A151:C151)</f>
        <v>96.705999999999989</v>
      </c>
      <c r="E151" s="130">
        <v>0</v>
      </c>
      <c r="F151" s="130">
        <v>56.686999999999998</v>
      </c>
      <c r="G151" s="130">
        <v>40.350999999999999</v>
      </c>
      <c r="H151" s="130">
        <f>SUM(E151:G151)</f>
        <v>97.037999999999997</v>
      </c>
      <c r="I151" s="146">
        <f t="shared" si="65"/>
        <v>3.2000000000000001E-2</v>
      </c>
      <c r="J151" s="130">
        <f t="shared" si="65"/>
        <v>108.09899999999999</v>
      </c>
      <c r="K151" s="147">
        <f t="shared" si="65"/>
        <v>85.613</v>
      </c>
      <c r="L151" s="148">
        <f t="shared" si="65"/>
        <v>193.74399999999997</v>
      </c>
      <c r="M151" s="132"/>
      <c r="N151" s="133" t="s">
        <v>76</v>
      </c>
      <c r="O151" s="123"/>
    </row>
    <row r="152" spans="1:15" s="70" customFormat="1" hidden="1" x14ac:dyDescent="0.25">
      <c r="A152" s="118">
        <v>4.4999999999999998E-2</v>
      </c>
      <c r="B152" s="119">
        <v>44.959000000000003</v>
      </c>
      <c r="C152" s="119">
        <v>52.509</v>
      </c>
      <c r="D152" s="131">
        <f>SUM(A152:C152)</f>
        <v>97.513000000000005</v>
      </c>
      <c r="E152" s="119">
        <v>0</v>
      </c>
      <c r="F152" s="119">
        <v>57.667000000000002</v>
      </c>
      <c r="G152" s="119">
        <v>50.411999999999999</v>
      </c>
      <c r="H152" s="130">
        <f>SUM(E152:G152)</f>
        <v>108.07900000000001</v>
      </c>
      <c r="I152" s="146">
        <f t="shared" si="65"/>
        <v>4.4999999999999998E-2</v>
      </c>
      <c r="J152" s="130">
        <f t="shared" si="65"/>
        <v>102.626</v>
      </c>
      <c r="K152" s="147">
        <f t="shared" si="65"/>
        <v>102.92099999999999</v>
      </c>
      <c r="L152" s="148">
        <f t="shared" si="65"/>
        <v>205.59200000000001</v>
      </c>
      <c r="M152" s="121"/>
      <c r="N152" s="122" t="s">
        <v>77</v>
      </c>
      <c r="O152" s="123"/>
    </row>
    <row r="153" spans="1:15" s="70" customFormat="1" ht="14.25" hidden="1" x14ac:dyDescent="0.2">
      <c r="A153" s="129">
        <f t="shared" ref="A153:J153" si="66">SUM(A150:A152)</f>
        <v>7.6999999999999999E-2</v>
      </c>
      <c r="B153" s="130">
        <f t="shared" si="66"/>
        <v>150.46899999999999</v>
      </c>
      <c r="C153" s="130">
        <f t="shared" si="66"/>
        <v>146.60500000000002</v>
      </c>
      <c r="D153" s="131">
        <f t="shared" si="66"/>
        <v>297.15099999999995</v>
      </c>
      <c r="E153" s="130">
        <f t="shared" si="66"/>
        <v>0</v>
      </c>
      <c r="F153" s="130">
        <f t="shared" si="66"/>
        <v>167.613</v>
      </c>
      <c r="G153" s="130">
        <f t="shared" si="66"/>
        <v>136.922</v>
      </c>
      <c r="H153" s="130">
        <f t="shared" si="66"/>
        <v>304.53500000000003</v>
      </c>
      <c r="I153" s="146">
        <f>SUM(I150:I152)</f>
        <v>7.6999999999999999E-2</v>
      </c>
      <c r="J153" s="130">
        <f t="shared" si="66"/>
        <v>318.08199999999999</v>
      </c>
      <c r="K153" s="147">
        <f>SUM(K150:K152)</f>
        <v>283.52699999999999</v>
      </c>
      <c r="L153" s="148">
        <f>SUM(L150:L152)</f>
        <v>601.68600000000004</v>
      </c>
      <c r="M153" s="132"/>
      <c r="N153" s="133" t="s">
        <v>48</v>
      </c>
      <c r="O153" s="136">
        <v>2014</v>
      </c>
    </row>
    <row r="154" spans="1:15" s="70" customFormat="1" ht="14.25" hidden="1" x14ac:dyDescent="0.2">
      <c r="A154" s="129">
        <v>5.0000000000000001E-3</v>
      </c>
      <c r="B154" s="130">
        <v>44.664000000000001</v>
      </c>
      <c r="C154" s="130">
        <v>50.713000000000001</v>
      </c>
      <c r="D154" s="131">
        <f>SUM(A154:C154)</f>
        <v>95.382000000000005</v>
      </c>
      <c r="E154" s="130">
        <v>0</v>
      </c>
      <c r="F154" s="130">
        <v>49.162999999999997</v>
      </c>
      <c r="G154" s="130">
        <v>55.383000000000003</v>
      </c>
      <c r="H154" s="130">
        <f>SUM(E154:G154)</f>
        <v>104.54599999999999</v>
      </c>
      <c r="I154" s="146">
        <f t="shared" ref="I154:L156" si="67">A154+E154</f>
        <v>5.0000000000000001E-3</v>
      </c>
      <c r="J154" s="130">
        <f t="shared" si="67"/>
        <v>93.826999999999998</v>
      </c>
      <c r="K154" s="147">
        <f t="shared" si="67"/>
        <v>106.096</v>
      </c>
      <c r="L154" s="148">
        <f t="shared" si="67"/>
        <v>199.928</v>
      </c>
      <c r="M154" s="132"/>
      <c r="N154" s="133" t="s">
        <v>79</v>
      </c>
      <c r="O154" s="123"/>
    </row>
    <row r="155" spans="1:15" s="70" customFormat="1" ht="14.25" hidden="1" x14ac:dyDescent="0.2">
      <c r="A155" s="129">
        <v>0</v>
      </c>
      <c r="B155" s="130">
        <v>56.344999999999999</v>
      </c>
      <c r="C155" s="130">
        <v>55.302999999999997</v>
      </c>
      <c r="D155" s="131">
        <f>SUM(A155:C155)</f>
        <v>111.648</v>
      </c>
      <c r="E155" s="130">
        <v>2E-3</v>
      </c>
      <c r="F155" s="130">
        <v>52.72</v>
      </c>
      <c r="G155" s="130">
        <v>46.776000000000003</v>
      </c>
      <c r="H155" s="130">
        <f>SUM(E155:G155)</f>
        <v>99.498000000000005</v>
      </c>
      <c r="I155" s="146">
        <f t="shared" si="67"/>
        <v>2E-3</v>
      </c>
      <c r="J155" s="130">
        <f t="shared" si="67"/>
        <v>109.065</v>
      </c>
      <c r="K155" s="147">
        <f t="shared" si="67"/>
        <v>102.07900000000001</v>
      </c>
      <c r="L155" s="148">
        <f t="shared" si="67"/>
        <v>211.14600000000002</v>
      </c>
      <c r="M155" s="132"/>
      <c r="N155" s="133" t="s">
        <v>80</v>
      </c>
      <c r="O155" s="123"/>
    </row>
    <row r="156" spans="1:15" s="70" customFormat="1" ht="14.25" hidden="1" x14ac:dyDescent="0.2">
      <c r="A156" s="129">
        <v>0</v>
      </c>
      <c r="B156" s="130">
        <v>58.287999999999997</v>
      </c>
      <c r="C156" s="130">
        <v>51.332000000000001</v>
      </c>
      <c r="D156" s="131">
        <f>SUM(A156:C156)</f>
        <v>109.62</v>
      </c>
      <c r="E156" s="130">
        <v>3.0000000000000001E-3</v>
      </c>
      <c r="F156" s="130">
        <v>57.953000000000003</v>
      </c>
      <c r="G156" s="130">
        <v>49.566000000000003</v>
      </c>
      <c r="H156" s="130">
        <f>SUM(E156:G156)</f>
        <v>107.52200000000001</v>
      </c>
      <c r="I156" s="146">
        <f t="shared" si="67"/>
        <v>3.0000000000000001E-3</v>
      </c>
      <c r="J156" s="130">
        <f t="shared" si="67"/>
        <v>116.241</v>
      </c>
      <c r="K156" s="147">
        <f t="shared" si="67"/>
        <v>100.898</v>
      </c>
      <c r="L156" s="148">
        <f t="shared" si="67"/>
        <v>217.142</v>
      </c>
      <c r="M156" s="132"/>
      <c r="N156" s="133" t="s">
        <v>81</v>
      </c>
      <c r="O156" s="123"/>
    </row>
    <row r="157" spans="1:15" s="70" customFormat="1" ht="14.25" hidden="1" x14ac:dyDescent="0.2">
      <c r="A157" s="129">
        <f t="shared" ref="A157:J157" si="68">SUM(A154:A156)</f>
        <v>5.0000000000000001E-3</v>
      </c>
      <c r="B157" s="130">
        <f t="shared" si="68"/>
        <v>159.297</v>
      </c>
      <c r="C157" s="130">
        <f t="shared" si="68"/>
        <v>157.34799999999998</v>
      </c>
      <c r="D157" s="131">
        <f t="shared" si="68"/>
        <v>316.64999999999998</v>
      </c>
      <c r="E157" s="130">
        <f t="shared" si="68"/>
        <v>5.0000000000000001E-3</v>
      </c>
      <c r="F157" s="130">
        <f t="shared" si="68"/>
        <v>159.83600000000001</v>
      </c>
      <c r="G157" s="130">
        <f t="shared" si="68"/>
        <v>151.72500000000002</v>
      </c>
      <c r="H157" s="130">
        <f t="shared" si="68"/>
        <v>311.56599999999997</v>
      </c>
      <c r="I157" s="146">
        <f t="shared" si="68"/>
        <v>0.01</v>
      </c>
      <c r="J157" s="130">
        <f t="shared" si="68"/>
        <v>319.13299999999998</v>
      </c>
      <c r="K157" s="147">
        <f>SUM(K154:K156)</f>
        <v>309.07299999999998</v>
      </c>
      <c r="L157" s="148">
        <f>SUM(L154:L156)</f>
        <v>628.21600000000001</v>
      </c>
      <c r="M157" s="132"/>
      <c r="N157" s="133" t="s">
        <v>49</v>
      </c>
      <c r="O157" s="123"/>
    </row>
    <row r="158" spans="1:15" s="70" customFormat="1" ht="14.25" hidden="1" x14ac:dyDescent="0.2">
      <c r="A158" s="129">
        <v>0</v>
      </c>
      <c r="B158" s="130">
        <v>51.124000000000002</v>
      </c>
      <c r="C158" s="130">
        <v>54.66</v>
      </c>
      <c r="D158" s="131">
        <f>SUM(A158:C158)</f>
        <v>105.78399999999999</v>
      </c>
      <c r="E158" s="130">
        <v>2E-3</v>
      </c>
      <c r="F158" s="130">
        <v>49.868000000000002</v>
      </c>
      <c r="G158" s="130">
        <v>61.182000000000002</v>
      </c>
      <c r="H158" s="130">
        <f>SUM(E158:G158)</f>
        <v>111.05200000000001</v>
      </c>
      <c r="I158" s="146">
        <f t="shared" ref="I158:L160" si="69">A158+E158</f>
        <v>2E-3</v>
      </c>
      <c r="J158" s="130">
        <f t="shared" si="69"/>
        <v>100.992</v>
      </c>
      <c r="K158" s="147">
        <f t="shared" si="69"/>
        <v>115.842</v>
      </c>
      <c r="L158" s="148">
        <f t="shared" si="69"/>
        <v>216.83600000000001</v>
      </c>
      <c r="M158" s="132"/>
      <c r="N158" s="133" t="s">
        <v>83</v>
      </c>
      <c r="O158" s="123"/>
    </row>
    <row r="159" spans="1:15" s="70" customFormat="1" ht="14.25" hidden="1" x14ac:dyDescent="0.2">
      <c r="A159" s="129">
        <v>0</v>
      </c>
      <c r="B159" s="130">
        <v>50.756999999999998</v>
      </c>
      <c r="C159" s="130">
        <v>52.064999999999998</v>
      </c>
      <c r="D159" s="131">
        <f>SUM(A159:C159)</f>
        <v>102.822</v>
      </c>
      <c r="E159" s="130">
        <v>2.5999999999999999E-2</v>
      </c>
      <c r="F159" s="130">
        <v>50.05</v>
      </c>
      <c r="G159" s="130">
        <v>49.43</v>
      </c>
      <c r="H159" s="130">
        <f>SUM(E159:G159)</f>
        <v>99.506</v>
      </c>
      <c r="I159" s="146">
        <f t="shared" si="69"/>
        <v>2.5999999999999999E-2</v>
      </c>
      <c r="J159" s="130">
        <f t="shared" si="69"/>
        <v>100.80699999999999</v>
      </c>
      <c r="K159" s="147">
        <f t="shared" si="69"/>
        <v>101.495</v>
      </c>
      <c r="L159" s="148">
        <f t="shared" si="69"/>
        <v>202.328</v>
      </c>
      <c r="M159" s="132"/>
      <c r="N159" s="133" t="s">
        <v>84</v>
      </c>
      <c r="O159" s="123"/>
    </row>
    <row r="160" spans="1:15" s="70" customFormat="1" ht="14.25" hidden="1" x14ac:dyDescent="0.2">
      <c r="A160" s="129">
        <v>0.03</v>
      </c>
      <c r="B160" s="130">
        <v>51.661999999999999</v>
      </c>
      <c r="C160" s="130">
        <v>51.015000000000001</v>
      </c>
      <c r="D160" s="131">
        <f>SUM(A160:C160)</f>
        <v>102.70699999999999</v>
      </c>
      <c r="E160" s="130">
        <v>0</v>
      </c>
      <c r="F160" s="130">
        <v>48.92</v>
      </c>
      <c r="G160" s="130">
        <v>46.085000000000001</v>
      </c>
      <c r="H160" s="130">
        <f>SUM(E160:G160)</f>
        <v>95.004999999999995</v>
      </c>
      <c r="I160" s="146">
        <f t="shared" si="69"/>
        <v>0.03</v>
      </c>
      <c r="J160" s="130">
        <f t="shared" si="69"/>
        <v>100.58199999999999</v>
      </c>
      <c r="K160" s="147">
        <f t="shared" si="69"/>
        <v>97.1</v>
      </c>
      <c r="L160" s="148">
        <f t="shared" si="69"/>
        <v>197.71199999999999</v>
      </c>
      <c r="M160" s="132"/>
      <c r="N160" s="133" t="s">
        <v>85</v>
      </c>
      <c r="O160" s="123"/>
    </row>
    <row r="161" spans="1:15" s="70" customFormat="1" ht="14.25" hidden="1" x14ac:dyDescent="0.2">
      <c r="A161" s="129">
        <f t="shared" ref="A161:K161" si="70">SUM(A158:A160)</f>
        <v>0.03</v>
      </c>
      <c r="B161" s="130">
        <f t="shared" si="70"/>
        <v>153.54300000000001</v>
      </c>
      <c r="C161" s="130">
        <f t="shared" si="70"/>
        <v>157.74</v>
      </c>
      <c r="D161" s="131">
        <f t="shared" si="70"/>
        <v>311.31299999999999</v>
      </c>
      <c r="E161" s="130">
        <f t="shared" si="70"/>
        <v>2.7999999999999997E-2</v>
      </c>
      <c r="F161" s="130">
        <f t="shared" si="70"/>
        <v>148.83800000000002</v>
      </c>
      <c r="G161" s="130">
        <f t="shared" si="70"/>
        <v>156.697</v>
      </c>
      <c r="H161" s="130">
        <f t="shared" si="70"/>
        <v>305.56299999999999</v>
      </c>
      <c r="I161" s="146">
        <f t="shared" si="70"/>
        <v>5.7999999999999996E-2</v>
      </c>
      <c r="J161" s="130">
        <f t="shared" si="70"/>
        <v>302.38099999999997</v>
      </c>
      <c r="K161" s="147">
        <f t="shared" si="70"/>
        <v>314.43700000000001</v>
      </c>
      <c r="L161" s="148">
        <f>SUM(L158:L160)</f>
        <v>616.87599999999998</v>
      </c>
      <c r="M161" s="132"/>
      <c r="N161" s="133" t="s">
        <v>50</v>
      </c>
      <c r="O161" s="123"/>
    </row>
    <row r="162" spans="1:15" s="70" customFormat="1" hidden="1" x14ac:dyDescent="0.25">
      <c r="A162" s="118">
        <v>1.2999999999999999E-2</v>
      </c>
      <c r="B162" s="119">
        <v>47.878999999999998</v>
      </c>
      <c r="C162" s="119">
        <v>50.121000000000002</v>
      </c>
      <c r="D162" s="120">
        <f>SUM(A162:C162)</f>
        <v>98.013000000000005</v>
      </c>
      <c r="E162" s="119">
        <v>0</v>
      </c>
      <c r="F162" s="119">
        <v>50.241999999999997</v>
      </c>
      <c r="G162" s="119">
        <v>49.588000000000001</v>
      </c>
      <c r="H162" s="119">
        <f>SUM(E162:G162)</f>
        <v>99.83</v>
      </c>
      <c r="I162" s="143">
        <f t="shared" ref="I162:L164" si="71">A162+E162</f>
        <v>1.2999999999999999E-2</v>
      </c>
      <c r="J162" s="119">
        <f t="shared" si="71"/>
        <v>98.120999999999995</v>
      </c>
      <c r="K162" s="144">
        <f t="shared" si="71"/>
        <v>99.709000000000003</v>
      </c>
      <c r="L162" s="145">
        <f t="shared" si="71"/>
        <v>197.84300000000002</v>
      </c>
      <c r="M162" s="121"/>
      <c r="N162" s="122" t="s">
        <v>87</v>
      </c>
      <c r="O162" s="123"/>
    </row>
    <row r="163" spans="1:15" s="70" customFormat="1" hidden="1" x14ac:dyDescent="0.25">
      <c r="A163" s="118">
        <v>0</v>
      </c>
      <c r="B163" s="119">
        <v>49.326999999999998</v>
      </c>
      <c r="C163" s="119">
        <v>46.963000000000001</v>
      </c>
      <c r="D163" s="120">
        <f>SUM(A163:C163)</f>
        <v>96.289999999999992</v>
      </c>
      <c r="E163" s="119">
        <v>2E-3</v>
      </c>
      <c r="F163" s="119">
        <v>48.573999999999998</v>
      </c>
      <c r="G163" s="119">
        <v>41.930999999999997</v>
      </c>
      <c r="H163" s="119">
        <f>SUM(E163:G163)</f>
        <v>90.507000000000005</v>
      </c>
      <c r="I163" s="143">
        <f t="shared" si="71"/>
        <v>2E-3</v>
      </c>
      <c r="J163" s="119">
        <f t="shared" si="71"/>
        <v>97.900999999999996</v>
      </c>
      <c r="K163" s="144">
        <f t="shared" si="71"/>
        <v>88.894000000000005</v>
      </c>
      <c r="L163" s="145">
        <f t="shared" si="71"/>
        <v>186.797</v>
      </c>
      <c r="M163" s="121"/>
      <c r="N163" s="122" t="s">
        <v>88</v>
      </c>
      <c r="O163" s="123"/>
    </row>
    <row r="164" spans="1:15" s="70" customFormat="1" hidden="1" x14ac:dyDescent="0.25">
      <c r="A164" s="118">
        <v>0</v>
      </c>
      <c r="B164" s="119">
        <v>57.244999999999997</v>
      </c>
      <c r="C164" s="119">
        <v>48.323999999999998</v>
      </c>
      <c r="D164" s="120">
        <f>SUM(A164:C164)</f>
        <v>105.56899999999999</v>
      </c>
      <c r="E164" s="119">
        <v>0.02</v>
      </c>
      <c r="F164" s="119">
        <v>56.843000000000004</v>
      </c>
      <c r="G164" s="119">
        <v>52.28</v>
      </c>
      <c r="H164" s="119">
        <f>SUM(E164:G164)</f>
        <v>109.143</v>
      </c>
      <c r="I164" s="143">
        <f t="shared" si="71"/>
        <v>0.02</v>
      </c>
      <c r="J164" s="119">
        <f t="shared" si="71"/>
        <v>114.08799999999999</v>
      </c>
      <c r="K164" s="144">
        <f t="shared" si="71"/>
        <v>100.604</v>
      </c>
      <c r="L164" s="145">
        <f t="shared" si="71"/>
        <v>214.71199999999999</v>
      </c>
      <c r="M164" s="121"/>
      <c r="N164" s="122" t="s">
        <v>89</v>
      </c>
      <c r="O164" s="123"/>
    </row>
    <row r="165" spans="1:15" s="70" customFormat="1" ht="14.25" hidden="1" x14ac:dyDescent="0.2">
      <c r="A165" s="129">
        <f t="shared" ref="A165:L165" si="72">SUM(A162:A164)</f>
        <v>1.2999999999999999E-2</v>
      </c>
      <c r="B165" s="130">
        <f t="shared" si="72"/>
        <v>154.45099999999999</v>
      </c>
      <c r="C165" s="130">
        <f t="shared" si="72"/>
        <v>145.40800000000002</v>
      </c>
      <c r="D165" s="131">
        <f t="shared" si="72"/>
        <v>299.87199999999996</v>
      </c>
      <c r="E165" s="130">
        <f t="shared" si="72"/>
        <v>2.1999999999999999E-2</v>
      </c>
      <c r="F165" s="130">
        <f t="shared" si="72"/>
        <v>155.65899999999999</v>
      </c>
      <c r="G165" s="130">
        <f t="shared" si="72"/>
        <v>143.79900000000001</v>
      </c>
      <c r="H165" s="130">
        <f t="shared" si="72"/>
        <v>299.48</v>
      </c>
      <c r="I165" s="146">
        <f t="shared" si="72"/>
        <v>3.5000000000000003E-2</v>
      </c>
      <c r="J165" s="130">
        <f t="shared" si="72"/>
        <v>310.11</v>
      </c>
      <c r="K165" s="147">
        <f t="shared" si="72"/>
        <v>289.20699999999999</v>
      </c>
      <c r="L165" s="148">
        <f t="shared" si="72"/>
        <v>599.35199999999998</v>
      </c>
      <c r="M165" s="132"/>
      <c r="N165" s="133" t="s">
        <v>51</v>
      </c>
      <c r="O165" s="123"/>
    </row>
    <row r="166" spans="1:15" s="70" customFormat="1" ht="9" hidden="1" customHeight="1" x14ac:dyDescent="0.25">
      <c r="A166" s="118"/>
      <c r="D166" s="120"/>
      <c r="E166" s="118"/>
      <c r="H166" s="120"/>
      <c r="I166" s="144"/>
      <c r="J166" s="119"/>
      <c r="K166" s="144"/>
      <c r="L166" s="145"/>
      <c r="M166" s="121"/>
      <c r="N166" s="122"/>
      <c r="O166" s="123"/>
    </row>
    <row r="167" spans="1:15" s="70" customFormat="1" hidden="1" x14ac:dyDescent="0.25">
      <c r="A167" s="118">
        <v>0</v>
      </c>
      <c r="B167" s="119">
        <v>48.591999999999999</v>
      </c>
      <c r="C167" s="119">
        <v>48.527999999999999</v>
      </c>
      <c r="D167" s="120">
        <f>SUM(A167:C167)</f>
        <v>97.12</v>
      </c>
      <c r="E167" s="118">
        <v>0</v>
      </c>
      <c r="F167" s="119">
        <v>47.945</v>
      </c>
      <c r="G167" s="119">
        <v>51.695</v>
      </c>
      <c r="H167" s="120">
        <f>SUM(E167:G167)</f>
        <v>99.64</v>
      </c>
      <c r="I167" s="144">
        <f t="shared" ref="I167:L169" si="73">A167+E167</f>
        <v>0</v>
      </c>
      <c r="J167" s="119">
        <f t="shared" si="73"/>
        <v>96.537000000000006</v>
      </c>
      <c r="K167" s="144">
        <f t="shared" si="73"/>
        <v>100.223</v>
      </c>
      <c r="L167" s="145">
        <f t="shared" si="73"/>
        <v>196.76</v>
      </c>
      <c r="M167" s="121"/>
      <c r="N167" s="122" t="s">
        <v>75</v>
      </c>
      <c r="O167" s="123">
        <v>2015</v>
      </c>
    </row>
    <row r="168" spans="1:15" s="70" customFormat="1" hidden="1" x14ac:dyDescent="0.25">
      <c r="A168" s="118">
        <v>7.6999999999999999E-2</v>
      </c>
      <c r="B168" s="119">
        <v>40.250999999999998</v>
      </c>
      <c r="C168" s="119">
        <v>48.389000000000003</v>
      </c>
      <c r="D168" s="120">
        <f>SUM(A168:C168)</f>
        <v>88.716999999999999</v>
      </c>
      <c r="E168" s="119">
        <v>0</v>
      </c>
      <c r="F168" s="119">
        <v>46.933</v>
      </c>
      <c r="G168" s="119">
        <v>49.238</v>
      </c>
      <c r="H168" s="120">
        <f>SUM(E168:G168)</f>
        <v>96.170999999999992</v>
      </c>
      <c r="I168" s="144">
        <f t="shared" si="73"/>
        <v>7.6999999999999999E-2</v>
      </c>
      <c r="J168" s="119">
        <f t="shared" si="73"/>
        <v>87.183999999999997</v>
      </c>
      <c r="K168" s="144">
        <f t="shared" si="73"/>
        <v>97.62700000000001</v>
      </c>
      <c r="L168" s="145">
        <f t="shared" si="73"/>
        <v>184.88799999999998</v>
      </c>
      <c r="M168" s="121"/>
      <c r="N168" s="122" t="s">
        <v>76</v>
      </c>
      <c r="O168" s="123"/>
    </row>
    <row r="169" spans="1:15" s="70" customFormat="1" hidden="1" x14ac:dyDescent="0.25">
      <c r="A169" s="118">
        <v>0</v>
      </c>
      <c r="B169" s="119">
        <v>58.905999999999999</v>
      </c>
      <c r="C169" s="119">
        <v>62.311</v>
      </c>
      <c r="D169" s="120">
        <f>SUM(A169:C169)</f>
        <v>121.217</v>
      </c>
      <c r="E169" s="119">
        <v>0</v>
      </c>
      <c r="F169" s="119">
        <v>63.534999999999997</v>
      </c>
      <c r="G169" s="119">
        <v>62.884999999999998</v>
      </c>
      <c r="H169" s="120">
        <f>SUM(E169:G169)</f>
        <v>126.41999999999999</v>
      </c>
      <c r="I169" s="144">
        <f t="shared" si="73"/>
        <v>0</v>
      </c>
      <c r="J169" s="119">
        <f t="shared" si="73"/>
        <v>122.441</v>
      </c>
      <c r="K169" s="144">
        <f t="shared" si="73"/>
        <v>125.196</v>
      </c>
      <c r="L169" s="145">
        <f t="shared" si="73"/>
        <v>247.637</v>
      </c>
      <c r="M169" s="121"/>
      <c r="N169" s="122" t="s">
        <v>77</v>
      </c>
      <c r="O169" s="123"/>
    </row>
    <row r="170" spans="1:15" s="70" customFormat="1" ht="14.25" hidden="1" x14ac:dyDescent="0.2">
      <c r="A170" s="129">
        <f t="shared" ref="A170:L170" si="74">SUM(A167:A169)</f>
        <v>7.6999999999999999E-2</v>
      </c>
      <c r="B170" s="130">
        <f t="shared" si="74"/>
        <v>147.749</v>
      </c>
      <c r="C170" s="130">
        <f t="shared" si="74"/>
        <v>159.22800000000001</v>
      </c>
      <c r="D170" s="131">
        <f t="shared" si="74"/>
        <v>307.05399999999997</v>
      </c>
      <c r="E170" s="130">
        <f t="shared" si="74"/>
        <v>0</v>
      </c>
      <c r="F170" s="130">
        <f t="shared" si="74"/>
        <v>158.41300000000001</v>
      </c>
      <c r="G170" s="130">
        <f t="shared" si="74"/>
        <v>163.81799999999998</v>
      </c>
      <c r="H170" s="131">
        <f t="shared" si="74"/>
        <v>322.23099999999999</v>
      </c>
      <c r="I170" s="147">
        <f t="shared" si="74"/>
        <v>7.6999999999999999E-2</v>
      </c>
      <c r="J170" s="130">
        <f t="shared" si="74"/>
        <v>306.16200000000003</v>
      </c>
      <c r="K170" s="147">
        <f t="shared" si="74"/>
        <v>323.04600000000005</v>
      </c>
      <c r="L170" s="148">
        <f t="shared" si="74"/>
        <v>629.28499999999997</v>
      </c>
      <c r="M170" s="132"/>
      <c r="N170" s="133" t="s">
        <v>48</v>
      </c>
      <c r="O170" s="136">
        <v>2015</v>
      </c>
    </row>
    <row r="171" spans="1:15" s="70" customFormat="1" ht="14.25" hidden="1" x14ac:dyDescent="0.2">
      <c r="A171" s="129">
        <v>8.0000000000000002E-3</v>
      </c>
      <c r="B171" s="130">
        <v>54.353999999999999</v>
      </c>
      <c r="C171" s="130">
        <v>51.622</v>
      </c>
      <c r="D171" s="131">
        <f>SUM(A171:C171)</f>
        <v>105.98400000000001</v>
      </c>
      <c r="E171" s="130">
        <v>0</v>
      </c>
      <c r="F171" s="130">
        <v>53.372</v>
      </c>
      <c r="G171" s="130">
        <v>52.33</v>
      </c>
      <c r="H171" s="131">
        <f>SUM(E171:G171)</f>
        <v>105.702</v>
      </c>
      <c r="I171" s="147">
        <f t="shared" ref="I171:L173" si="75">A171+E171</f>
        <v>8.0000000000000002E-3</v>
      </c>
      <c r="J171" s="130">
        <f t="shared" si="75"/>
        <v>107.726</v>
      </c>
      <c r="K171" s="147">
        <f t="shared" si="75"/>
        <v>103.952</v>
      </c>
      <c r="L171" s="148">
        <f t="shared" si="75"/>
        <v>211.68600000000001</v>
      </c>
      <c r="M171" s="132"/>
      <c r="N171" s="133" t="s">
        <v>79</v>
      </c>
      <c r="O171" s="136"/>
    </row>
    <row r="172" spans="1:15" s="70" customFormat="1" ht="14.25" hidden="1" x14ac:dyDescent="0.2">
      <c r="A172" s="129">
        <v>2.7E-2</v>
      </c>
      <c r="B172" s="130">
        <v>54.957999999999998</v>
      </c>
      <c r="C172" s="130">
        <v>51.588000000000001</v>
      </c>
      <c r="D172" s="131">
        <f>SUM(A172:C172)</f>
        <v>106.57300000000001</v>
      </c>
      <c r="E172" s="130">
        <v>0</v>
      </c>
      <c r="F172" s="130">
        <v>55.317</v>
      </c>
      <c r="G172" s="130">
        <v>44.741999999999997</v>
      </c>
      <c r="H172" s="131">
        <f>SUM(E172:G172)</f>
        <v>100.059</v>
      </c>
      <c r="I172" s="147">
        <f t="shared" si="75"/>
        <v>2.7E-2</v>
      </c>
      <c r="J172" s="130">
        <f t="shared" si="75"/>
        <v>110.27500000000001</v>
      </c>
      <c r="K172" s="147">
        <f t="shared" si="75"/>
        <v>96.33</v>
      </c>
      <c r="L172" s="148">
        <f t="shared" si="75"/>
        <v>206.63200000000001</v>
      </c>
      <c r="M172" s="132"/>
      <c r="N172" s="133" t="s">
        <v>80</v>
      </c>
      <c r="O172" s="136"/>
    </row>
    <row r="173" spans="1:15" s="70" customFormat="1" ht="14.25" hidden="1" x14ac:dyDescent="0.2">
      <c r="A173" s="129">
        <v>0</v>
      </c>
      <c r="B173" s="130">
        <v>61.222000000000001</v>
      </c>
      <c r="C173" s="130">
        <v>53.51</v>
      </c>
      <c r="D173" s="131">
        <f>SUM(A173:C173)</f>
        <v>114.732</v>
      </c>
      <c r="E173" s="130">
        <v>0</v>
      </c>
      <c r="F173" s="130">
        <v>61.241</v>
      </c>
      <c r="G173" s="130">
        <v>54.328000000000003</v>
      </c>
      <c r="H173" s="131">
        <f>SUM(E173:G173)</f>
        <v>115.569</v>
      </c>
      <c r="I173" s="147">
        <f t="shared" si="75"/>
        <v>0</v>
      </c>
      <c r="J173" s="130">
        <f t="shared" si="75"/>
        <v>122.46299999999999</v>
      </c>
      <c r="K173" s="147">
        <f t="shared" si="75"/>
        <v>107.83799999999999</v>
      </c>
      <c r="L173" s="148">
        <f t="shared" si="75"/>
        <v>230.30099999999999</v>
      </c>
      <c r="M173" s="132"/>
      <c r="N173" s="133" t="s">
        <v>81</v>
      </c>
      <c r="O173" s="136"/>
    </row>
    <row r="174" spans="1:15" s="70" customFormat="1" ht="14.25" hidden="1" x14ac:dyDescent="0.2">
      <c r="A174" s="129">
        <f t="shared" ref="A174:I174" si="76">SUM(A171:A173)</f>
        <v>3.5000000000000003E-2</v>
      </c>
      <c r="B174" s="130">
        <f t="shared" si="76"/>
        <v>170.53399999999999</v>
      </c>
      <c r="C174" s="130">
        <f t="shared" si="76"/>
        <v>156.72</v>
      </c>
      <c r="D174" s="131">
        <f t="shared" si="76"/>
        <v>327.28899999999999</v>
      </c>
      <c r="E174" s="130">
        <f t="shared" si="76"/>
        <v>0</v>
      </c>
      <c r="F174" s="130">
        <f t="shared" si="76"/>
        <v>169.93</v>
      </c>
      <c r="G174" s="130">
        <f t="shared" si="76"/>
        <v>151.4</v>
      </c>
      <c r="H174" s="131">
        <f t="shared" si="76"/>
        <v>321.33</v>
      </c>
      <c r="I174" s="147">
        <f t="shared" si="76"/>
        <v>3.5000000000000003E-2</v>
      </c>
      <c r="J174" s="130">
        <f>SUM(J171:J173)</f>
        <v>340.464</v>
      </c>
      <c r="K174" s="147">
        <f>SUM(K171:K173)</f>
        <v>308.12</v>
      </c>
      <c r="L174" s="148">
        <f>SUM(L171:L173)</f>
        <v>648.61899999999991</v>
      </c>
      <c r="M174" s="132"/>
      <c r="N174" s="133" t="s">
        <v>49</v>
      </c>
      <c r="O174" s="136"/>
    </row>
    <row r="175" spans="1:15" s="70" customFormat="1" ht="14.25" hidden="1" x14ac:dyDescent="0.2">
      <c r="A175" s="129">
        <v>0</v>
      </c>
      <c r="B175" s="130">
        <v>56.689</v>
      </c>
      <c r="C175" s="130">
        <v>55.603000000000002</v>
      </c>
      <c r="D175" s="131">
        <f>SUM(A175:C175)</f>
        <v>112.292</v>
      </c>
      <c r="E175" s="130">
        <v>7.0000000000000001E-3</v>
      </c>
      <c r="F175" s="130">
        <v>59.926000000000002</v>
      </c>
      <c r="G175" s="130">
        <v>48.268999999999998</v>
      </c>
      <c r="H175" s="131">
        <f>SUM(E175:G175)</f>
        <v>108.202</v>
      </c>
      <c r="I175" s="147">
        <f t="shared" ref="I175:L177" si="77">A175+E175</f>
        <v>7.0000000000000001E-3</v>
      </c>
      <c r="J175" s="130">
        <f t="shared" si="77"/>
        <v>116.61500000000001</v>
      </c>
      <c r="K175" s="147">
        <f t="shared" si="77"/>
        <v>103.872</v>
      </c>
      <c r="L175" s="148">
        <f t="shared" si="77"/>
        <v>220.494</v>
      </c>
      <c r="M175" s="132"/>
      <c r="N175" s="133" t="s">
        <v>83</v>
      </c>
      <c r="O175" s="136"/>
    </row>
    <row r="176" spans="1:15" s="70" customFormat="1" ht="14.25" hidden="1" x14ac:dyDescent="0.2">
      <c r="A176" s="129">
        <v>0</v>
      </c>
      <c r="B176" s="130">
        <v>53.371000000000002</v>
      </c>
      <c r="C176" s="130">
        <v>42.171999999999997</v>
      </c>
      <c r="D176" s="131">
        <f>SUM(A176:C176)</f>
        <v>95.543000000000006</v>
      </c>
      <c r="E176" s="130">
        <v>0</v>
      </c>
      <c r="F176" s="130">
        <v>62.378999999999998</v>
      </c>
      <c r="G176" s="130">
        <v>43.386000000000003</v>
      </c>
      <c r="H176" s="131">
        <f>SUM(E176:G176)</f>
        <v>105.765</v>
      </c>
      <c r="I176" s="147">
        <f t="shared" si="77"/>
        <v>0</v>
      </c>
      <c r="J176" s="130">
        <f t="shared" si="77"/>
        <v>115.75</v>
      </c>
      <c r="K176" s="147">
        <f t="shared" si="77"/>
        <v>85.557999999999993</v>
      </c>
      <c r="L176" s="148">
        <f t="shared" si="77"/>
        <v>201.30799999999999</v>
      </c>
      <c r="M176" s="132"/>
      <c r="N176" s="133" t="s">
        <v>84</v>
      </c>
      <c r="O176" s="136"/>
    </row>
    <row r="177" spans="1:15" s="70" customFormat="1" ht="14.25" hidden="1" x14ac:dyDescent="0.2">
      <c r="A177" s="129">
        <v>0</v>
      </c>
      <c r="B177" s="130">
        <v>46.317</v>
      </c>
      <c r="C177" s="130">
        <v>44.981000000000002</v>
      </c>
      <c r="D177" s="131">
        <f>SUM(A177:C177)</f>
        <v>91.298000000000002</v>
      </c>
      <c r="E177" s="130">
        <v>0</v>
      </c>
      <c r="F177" s="130">
        <v>49.529000000000003</v>
      </c>
      <c r="G177" s="130">
        <v>47.999000000000002</v>
      </c>
      <c r="H177" s="131">
        <f>SUM(E177:G177)</f>
        <v>97.528000000000006</v>
      </c>
      <c r="I177" s="147">
        <f t="shared" si="77"/>
        <v>0</v>
      </c>
      <c r="J177" s="130">
        <f t="shared" si="77"/>
        <v>95.846000000000004</v>
      </c>
      <c r="K177" s="147">
        <f t="shared" si="77"/>
        <v>92.98</v>
      </c>
      <c r="L177" s="148">
        <f t="shared" si="77"/>
        <v>188.82600000000002</v>
      </c>
      <c r="M177" s="132"/>
      <c r="N177" s="133" t="s">
        <v>85</v>
      </c>
      <c r="O177" s="136"/>
    </row>
    <row r="178" spans="1:15" s="70" customFormat="1" ht="14.25" hidden="1" x14ac:dyDescent="0.2">
      <c r="A178" s="129">
        <f t="shared" ref="A178:L178" si="78">SUM(A175:A177)</f>
        <v>0</v>
      </c>
      <c r="B178" s="130">
        <f t="shared" si="78"/>
        <v>156.37700000000001</v>
      </c>
      <c r="C178" s="130">
        <f t="shared" si="78"/>
        <v>142.756</v>
      </c>
      <c r="D178" s="131">
        <f t="shared" si="78"/>
        <v>299.13300000000004</v>
      </c>
      <c r="E178" s="130">
        <f t="shared" si="78"/>
        <v>7.0000000000000001E-3</v>
      </c>
      <c r="F178" s="130">
        <f t="shared" si="78"/>
        <v>171.834</v>
      </c>
      <c r="G178" s="130">
        <f t="shared" si="78"/>
        <v>139.654</v>
      </c>
      <c r="H178" s="131">
        <f t="shared" si="78"/>
        <v>311.495</v>
      </c>
      <c r="I178" s="147">
        <f t="shared" si="78"/>
        <v>7.0000000000000001E-3</v>
      </c>
      <c r="J178" s="130">
        <f t="shared" si="78"/>
        <v>328.21100000000001</v>
      </c>
      <c r="K178" s="147">
        <f t="shared" si="78"/>
        <v>282.41000000000003</v>
      </c>
      <c r="L178" s="148">
        <f t="shared" si="78"/>
        <v>610.62800000000004</v>
      </c>
      <c r="M178" s="132"/>
      <c r="N178" s="133" t="s">
        <v>50</v>
      </c>
      <c r="O178" s="136"/>
    </row>
    <row r="179" spans="1:15" s="70" customFormat="1" ht="14.25" hidden="1" x14ac:dyDescent="0.2">
      <c r="A179" s="129">
        <v>6.8000000000000005E-2</v>
      </c>
      <c r="B179" s="130">
        <v>56.893000000000001</v>
      </c>
      <c r="C179" s="130">
        <v>50.762999999999998</v>
      </c>
      <c r="D179" s="131">
        <f>SUM(A179:C179)</f>
        <v>107.72399999999999</v>
      </c>
      <c r="E179" s="130">
        <v>2.5999999999999999E-2</v>
      </c>
      <c r="F179" s="130">
        <v>57.290999999999997</v>
      </c>
      <c r="G179" s="130">
        <v>49.523000000000003</v>
      </c>
      <c r="H179" s="131">
        <f>SUM(E179:G179)</f>
        <v>106.84</v>
      </c>
      <c r="I179" s="147">
        <f t="shared" ref="I179:L181" si="79">A179+E179</f>
        <v>9.4E-2</v>
      </c>
      <c r="J179" s="130">
        <f t="shared" si="79"/>
        <v>114.184</v>
      </c>
      <c r="K179" s="147">
        <f t="shared" si="79"/>
        <v>100.286</v>
      </c>
      <c r="L179" s="148">
        <f t="shared" si="79"/>
        <v>214.56399999999999</v>
      </c>
      <c r="M179" s="132"/>
      <c r="N179" s="133" t="s">
        <v>87</v>
      </c>
      <c r="O179" s="136"/>
    </row>
    <row r="180" spans="1:15" s="70" customFormat="1" ht="14.25" hidden="1" x14ac:dyDescent="0.2">
      <c r="A180" s="129">
        <v>0</v>
      </c>
      <c r="B180" s="130">
        <v>52.031999999999996</v>
      </c>
      <c r="C180" s="130">
        <v>50.079000000000001</v>
      </c>
      <c r="D180" s="131">
        <f>SUM(A180:C180)</f>
        <v>102.11099999999999</v>
      </c>
      <c r="E180" s="130">
        <v>0</v>
      </c>
      <c r="F180" s="130">
        <v>52.960999999999999</v>
      </c>
      <c r="G180" s="130">
        <v>49.103999999999999</v>
      </c>
      <c r="H180" s="131">
        <f>SUM(E180:G180)</f>
        <v>102.065</v>
      </c>
      <c r="I180" s="147">
        <f t="shared" si="79"/>
        <v>0</v>
      </c>
      <c r="J180" s="130">
        <f t="shared" si="79"/>
        <v>104.99299999999999</v>
      </c>
      <c r="K180" s="147">
        <f t="shared" si="79"/>
        <v>99.182999999999993</v>
      </c>
      <c r="L180" s="148">
        <f t="shared" si="79"/>
        <v>204.17599999999999</v>
      </c>
      <c r="M180" s="132"/>
      <c r="N180" s="133" t="s">
        <v>88</v>
      </c>
      <c r="O180" s="136"/>
    </row>
    <row r="181" spans="1:15" s="70" customFormat="1" ht="14.25" hidden="1" x14ac:dyDescent="0.2">
      <c r="A181" s="129">
        <v>3.5000000000000003E-2</v>
      </c>
      <c r="B181" s="130">
        <v>54.066000000000003</v>
      </c>
      <c r="C181" s="130">
        <v>51.281999999999996</v>
      </c>
      <c r="D181" s="131">
        <f>SUM(A181:C181)</f>
        <v>105.383</v>
      </c>
      <c r="E181" s="130">
        <v>1.6E-2</v>
      </c>
      <c r="F181" s="130">
        <v>58.686999999999998</v>
      </c>
      <c r="G181" s="130">
        <v>50.247999999999998</v>
      </c>
      <c r="H181" s="131">
        <f>SUM(E181:G181)</f>
        <v>108.95099999999999</v>
      </c>
      <c r="I181" s="147">
        <f t="shared" si="79"/>
        <v>5.1000000000000004E-2</v>
      </c>
      <c r="J181" s="130">
        <f t="shared" si="79"/>
        <v>112.753</v>
      </c>
      <c r="K181" s="147">
        <f t="shared" si="79"/>
        <v>101.53</v>
      </c>
      <c r="L181" s="148">
        <f t="shared" si="79"/>
        <v>214.334</v>
      </c>
      <c r="M181" s="132"/>
      <c r="N181" s="133" t="s">
        <v>89</v>
      </c>
      <c r="O181" s="136"/>
    </row>
    <row r="182" spans="1:15" s="70" customFormat="1" ht="14.25" hidden="1" x14ac:dyDescent="0.2">
      <c r="A182" s="129">
        <f t="shared" ref="A182:K182" si="80">SUM(A179:A181)</f>
        <v>0.10300000000000001</v>
      </c>
      <c r="B182" s="130">
        <f t="shared" si="80"/>
        <v>162.99099999999999</v>
      </c>
      <c r="C182" s="130">
        <f t="shared" si="80"/>
        <v>152.124</v>
      </c>
      <c r="D182" s="131">
        <f t="shared" si="80"/>
        <v>315.21799999999996</v>
      </c>
      <c r="E182" s="130">
        <f t="shared" si="80"/>
        <v>4.1999999999999996E-2</v>
      </c>
      <c r="F182" s="130">
        <f t="shared" si="80"/>
        <v>168.93899999999999</v>
      </c>
      <c r="G182" s="130">
        <f t="shared" si="80"/>
        <v>148.875</v>
      </c>
      <c r="H182" s="131">
        <f t="shared" si="80"/>
        <v>317.85599999999999</v>
      </c>
      <c r="I182" s="147">
        <f t="shared" si="80"/>
        <v>0.14500000000000002</v>
      </c>
      <c r="J182" s="130">
        <f t="shared" si="80"/>
        <v>331.93</v>
      </c>
      <c r="K182" s="147">
        <f t="shared" si="80"/>
        <v>300.99900000000002</v>
      </c>
      <c r="L182" s="148">
        <f>SUM(L179:L181)</f>
        <v>633.07400000000007</v>
      </c>
      <c r="M182" s="132"/>
      <c r="N182" s="133" t="s">
        <v>51</v>
      </c>
      <c r="O182" s="136"/>
    </row>
    <row r="183" spans="1:15" s="70" customFormat="1" ht="7.5" hidden="1" customHeight="1" x14ac:dyDescent="0.25">
      <c r="A183" s="118"/>
      <c r="B183" s="119"/>
      <c r="C183" s="119"/>
      <c r="D183" s="120"/>
      <c r="E183" s="119"/>
      <c r="F183" s="119"/>
      <c r="G183" s="119"/>
      <c r="H183" s="120"/>
      <c r="I183" s="144"/>
      <c r="J183" s="119"/>
      <c r="K183" s="144"/>
      <c r="L183" s="145"/>
      <c r="M183" s="121"/>
      <c r="N183" s="122"/>
      <c r="O183" s="123"/>
    </row>
    <row r="184" spans="1:15" s="70" customFormat="1" ht="13.5" hidden="1" customHeight="1" x14ac:dyDescent="0.25">
      <c r="A184" s="118">
        <v>0</v>
      </c>
      <c r="B184" s="119">
        <v>52.545000000000002</v>
      </c>
      <c r="C184" s="119">
        <v>50.3</v>
      </c>
      <c r="D184" s="120">
        <f>SUM(A184:C184)</f>
        <v>102.845</v>
      </c>
      <c r="E184" s="119">
        <v>0</v>
      </c>
      <c r="F184" s="119">
        <v>55.04</v>
      </c>
      <c r="G184" s="119">
        <v>53.128999999999998</v>
      </c>
      <c r="H184" s="120">
        <f>SUM(E184:G184)</f>
        <v>108.169</v>
      </c>
      <c r="I184" s="144">
        <f t="shared" ref="I184:L186" si="81">A184+E184</f>
        <v>0</v>
      </c>
      <c r="J184" s="119">
        <f t="shared" si="81"/>
        <v>107.58500000000001</v>
      </c>
      <c r="K184" s="144">
        <f t="shared" si="81"/>
        <v>103.429</v>
      </c>
      <c r="L184" s="145">
        <f t="shared" si="81"/>
        <v>211.01400000000001</v>
      </c>
      <c r="M184" s="121"/>
      <c r="N184" s="122" t="s">
        <v>75</v>
      </c>
      <c r="O184" s="123">
        <v>2016</v>
      </c>
    </row>
    <row r="185" spans="1:15" s="70" customFormat="1" ht="13.5" hidden="1" customHeight="1" x14ac:dyDescent="0.25">
      <c r="A185" s="118">
        <v>0</v>
      </c>
      <c r="B185" s="119">
        <v>57.067999999999998</v>
      </c>
      <c r="C185" s="119">
        <v>56.112000000000002</v>
      </c>
      <c r="D185" s="120">
        <f>SUM(A185:C185)</f>
        <v>113.18</v>
      </c>
      <c r="E185" s="119">
        <v>0</v>
      </c>
      <c r="F185" s="119">
        <v>61.472999999999999</v>
      </c>
      <c r="G185" s="119">
        <v>53.707999999999998</v>
      </c>
      <c r="H185" s="120">
        <f>SUM(E185:G185)</f>
        <v>115.181</v>
      </c>
      <c r="I185" s="144">
        <f t="shared" si="81"/>
        <v>0</v>
      </c>
      <c r="J185" s="119">
        <f t="shared" si="81"/>
        <v>118.541</v>
      </c>
      <c r="K185" s="144">
        <f t="shared" si="81"/>
        <v>109.82</v>
      </c>
      <c r="L185" s="145">
        <f t="shared" si="81"/>
        <v>228.36099999999999</v>
      </c>
      <c r="M185" s="121"/>
      <c r="N185" s="122" t="s">
        <v>76</v>
      </c>
      <c r="O185" s="123"/>
    </row>
    <row r="186" spans="1:15" s="70" customFormat="1" ht="13.5" hidden="1" customHeight="1" x14ac:dyDescent="0.25">
      <c r="A186" s="118">
        <v>0</v>
      </c>
      <c r="B186" s="119">
        <v>63.853999999999999</v>
      </c>
      <c r="C186" s="119">
        <v>61.709000000000003</v>
      </c>
      <c r="D186" s="120">
        <f>SUM(A186:C186)</f>
        <v>125.563</v>
      </c>
      <c r="E186" s="119">
        <v>2.4E-2</v>
      </c>
      <c r="F186" s="119">
        <v>63.192999999999998</v>
      </c>
      <c r="G186" s="119">
        <v>62.697000000000003</v>
      </c>
      <c r="H186" s="120">
        <f>SUM(E186:G186)</f>
        <v>125.914</v>
      </c>
      <c r="I186" s="144">
        <f t="shared" si="81"/>
        <v>2.4E-2</v>
      </c>
      <c r="J186" s="119">
        <f t="shared" si="81"/>
        <v>127.047</v>
      </c>
      <c r="K186" s="144">
        <f t="shared" si="81"/>
        <v>124.40600000000001</v>
      </c>
      <c r="L186" s="145">
        <f t="shared" si="81"/>
        <v>251.477</v>
      </c>
      <c r="M186" s="121"/>
      <c r="N186" s="122" t="s">
        <v>77</v>
      </c>
      <c r="O186" s="123"/>
    </row>
    <row r="187" spans="1:15" s="70" customFormat="1" ht="13.5" hidden="1" customHeight="1" x14ac:dyDescent="0.2">
      <c r="A187" s="129">
        <f t="shared" ref="A187:I187" si="82">SUM(A184:A186)</f>
        <v>0</v>
      </c>
      <c r="B187" s="130">
        <f t="shared" si="82"/>
        <v>173.46699999999998</v>
      </c>
      <c r="C187" s="130">
        <f t="shared" si="82"/>
        <v>168.12100000000001</v>
      </c>
      <c r="D187" s="131">
        <f t="shared" si="82"/>
        <v>341.58800000000002</v>
      </c>
      <c r="E187" s="130">
        <f t="shared" si="82"/>
        <v>2.4E-2</v>
      </c>
      <c r="F187" s="130">
        <f t="shared" si="82"/>
        <v>179.70600000000002</v>
      </c>
      <c r="G187" s="130">
        <f>SUM(G184:G186)</f>
        <v>169.53399999999999</v>
      </c>
      <c r="H187" s="131">
        <f t="shared" si="82"/>
        <v>349.26400000000001</v>
      </c>
      <c r="I187" s="147">
        <f t="shared" si="82"/>
        <v>2.4E-2</v>
      </c>
      <c r="J187" s="130">
        <f>SUM(J184:J186)</f>
        <v>353.173</v>
      </c>
      <c r="K187" s="147">
        <f>SUM(K184:K186)</f>
        <v>337.65499999999997</v>
      </c>
      <c r="L187" s="148">
        <f>SUM(L184:L186)</f>
        <v>690.85199999999998</v>
      </c>
      <c r="M187" s="132"/>
      <c r="N187" s="133" t="s">
        <v>48</v>
      </c>
      <c r="O187" s="136">
        <v>2016</v>
      </c>
    </row>
    <row r="188" spans="1:15" s="70" customFormat="1" ht="13.5" hidden="1" customHeight="1" x14ac:dyDescent="0.2">
      <c r="A188" s="129">
        <v>0</v>
      </c>
      <c r="B188" s="130">
        <v>54.606000000000002</v>
      </c>
      <c r="C188" s="130">
        <v>50.173999999999999</v>
      </c>
      <c r="D188" s="131">
        <f>SUM(A188:C188)</f>
        <v>104.78</v>
      </c>
      <c r="E188" s="130">
        <v>0</v>
      </c>
      <c r="F188" s="130">
        <v>58.564</v>
      </c>
      <c r="G188" s="130">
        <v>49.43</v>
      </c>
      <c r="H188" s="131">
        <f>SUM(E188:G188)</f>
        <v>107.994</v>
      </c>
      <c r="I188" s="147">
        <f t="shared" ref="I188:L190" si="83">A188+E188</f>
        <v>0</v>
      </c>
      <c r="J188" s="130">
        <f t="shared" si="83"/>
        <v>113.17</v>
      </c>
      <c r="K188" s="147">
        <f t="shared" si="83"/>
        <v>99.603999999999999</v>
      </c>
      <c r="L188" s="148">
        <f t="shared" si="83"/>
        <v>212.774</v>
      </c>
      <c r="M188" s="132"/>
      <c r="N188" s="133" t="s">
        <v>79</v>
      </c>
      <c r="O188" s="136"/>
    </row>
    <row r="189" spans="1:15" s="70" customFormat="1" ht="13.5" hidden="1" customHeight="1" x14ac:dyDescent="0.2">
      <c r="A189" s="129">
        <v>1.4999999999999999E-2</v>
      </c>
      <c r="B189" s="130">
        <v>64.649000000000001</v>
      </c>
      <c r="C189" s="130">
        <v>53.64</v>
      </c>
      <c r="D189" s="131">
        <f>SUM(A189:C189)</f>
        <v>118.304</v>
      </c>
      <c r="E189" s="130">
        <v>0</v>
      </c>
      <c r="F189" s="130">
        <v>69.927999999999997</v>
      </c>
      <c r="G189" s="130">
        <v>54.021000000000001</v>
      </c>
      <c r="H189" s="131">
        <f>SUM(E189:G189)</f>
        <v>123.949</v>
      </c>
      <c r="I189" s="147">
        <f t="shared" si="83"/>
        <v>1.4999999999999999E-2</v>
      </c>
      <c r="J189" s="130">
        <f t="shared" si="83"/>
        <v>134.577</v>
      </c>
      <c r="K189" s="147">
        <f t="shared" si="83"/>
        <v>107.661</v>
      </c>
      <c r="L189" s="148">
        <f t="shared" si="83"/>
        <v>242.25299999999999</v>
      </c>
      <c r="M189" s="132"/>
      <c r="N189" s="133" t="s">
        <v>80</v>
      </c>
      <c r="O189" s="136"/>
    </row>
    <row r="190" spans="1:15" s="70" customFormat="1" ht="13.5" hidden="1" customHeight="1" x14ac:dyDescent="0.2">
      <c r="A190" s="129">
        <v>8.5999999999999993E-2</v>
      </c>
      <c r="B190" s="130">
        <v>60.896000000000001</v>
      </c>
      <c r="C190" s="130">
        <v>59.061</v>
      </c>
      <c r="D190" s="131">
        <f>SUM(A190:C190)</f>
        <v>120.04300000000001</v>
      </c>
      <c r="E190" s="130">
        <v>0</v>
      </c>
      <c r="F190" s="130">
        <v>64.063000000000002</v>
      </c>
      <c r="G190" s="130">
        <v>52.36</v>
      </c>
      <c r="H190" s="131">
        <f>SUM(E190:G190)</f>
        <v>116.423</v>
      </c>
      <c r="I190" s="147">
        <f t="shared" si="83"/>
        <v>8.5999999999999993E-2</v>
      </c>
      <c r="J190" s="130">
        <f t="shared" si="83"/>
        <v>124.959</v>
      </c>
      <c r="K190" s="147">
        <f t="shared" si="83"/>
        <v>111.42099999999999</v>
      </c>
      <c r="L190" s="148">
        <f t="shared" si="83"/>
        <v>236.46600000000001</v>
      </c>
      <c r="M190" s="132"/>
      <c r="N190" s="133" t="s">
        <v>81</v>
      </c>
      <c r="O190" s="136"/>
    </row>
    <row r="191" spans="1:15" s="70" customFormat="1" ht="13.5" hidden="1" customHeight="1" x14ac:dyDescent="0.2">
      <c r="A191" s="129">
        <f t="shared" ref="A191:K191" si="84">SUM(A188:A190)</f>
        <v>0.10099999999999999</v>
      </c>
      <c r="B191" s="130">
        <f t="shared" si="84"/>
        <v>180.15100000000001</v>
      </c>
      <c r="C191" s="130">
        <f t="shared" si="84"/>
        <v>162.875</v>
      </c>
      <c r="D191" s="131">
        <f t="shared" si="84"/>
        <v>343.12700000000001</v>
      </c>
      <c r="E191" s="130">
        <f t="shared" si="84"/>
        <v>0</v>
      </c>
      <c r="F191" s="130">
        <f t="shared" si="84"/>
        <v>192.55500000000001</v>
      </c>
      <c r="G191" s="130">
        <f t="shared" si="84"/>
        <v>155.81099999999998</v>
      </c>
      <c r="H191" s="131">
        <f t="shared" si="84"/>
        <v>348.36599999999999</v>
      </c>
      <c r="I191" s="147">
        <f t="shared" si="84"/>
        <v>0.10099999999999999</v>
      </c>
      <c r="J191" s="130">
        <f t="shared" si="84"/>
        <v>372.70600000000002</v>
      </c>
      <c r="K191" s="147">
        <f t="shared" si="84"/>
        <v>318.68599999999998</v>
      </c>
      <c r="L191" s="148">
        <f>SUM(L188:L190)</f>
        <v>691.49299999999994</v>
      </c>
      <c r="M191" s="132"/>
      <c r="N191" s="133" t="s">
        <v>49</v>
      </c>
      <c r="O191" s="136"/>
    </row>
    <row r="192" spans="1:15" s="70" customFormat="1" ht="13.5" hidden="1" customHeight="1" x14ac:dyDescent="0.2">
      <c r="A192" s="129">
        <v>0</v>
      </c>
      <c r="B192" s="130">
        <v>73.850999999999999</v>
      </c>
      <c r="C192" s="130">
        <v>49.792000000000002</v>
      </c>
      <c r="D192" s="131">
        <f>SUM(A192:C192)</f>
        <v>123.643</v>
      </c>
      <c r="E192" s="130">
        <v>8.0000000000000002E-3</v>
      </c>
      <c r="F192" s="130">
        <v>58.881999999999998</v>
      </c>
      <c r="G192" s="130">
        <v>52.386000000000003</v>
      </c>
      <c r="H192" s="131">
        <f>SUM(E192:G192)</f>
        <v>111.27600000000001</v>
      </c>
      <c r="I192" s="147">
        <f t="shared" ref="I192:L194" si="85">A192+E192</f>
        <v>8.0000000000000002E-3</v>
      </c>
      <c r="J192" s="130">
        <f t="shared" si="85"/>
        <v>132.733</v>
      </c>
      <c r="K192" s="147">
        <f t="shared" si="85"/>
        <v>102.178</v>
      </c>
      <c r="L192" s="148">
        <f t="shared" si="85"/>
        <v>234.91900000000001</v>
      </c>
      <c r="M192" s="132"/>
      <c r="N192" s="133" t="s">
        <v>83</v>
      </c>
      <c r="O192" s="136"/>
    </row>
    <row r="193" spans="1:15" s="70" customFormat="1" ht="13.5" hidden="1" customHeight="1" x14ac:dyDescent="0.2">
      <c r="A193" s="129">
        <v>0</v>
      </c>
      <c r="B193" s="130">
        <v>64.796000000000006</v>
      </c>
      <c r="C193" s="130">
        <v>53.024999999999999</v>
      </c>
      <c r="D193" s="131">
        <f>SUM(A193:C193)</f>
        <v>117.821</v>
      </c>
      <c r="E193" s="130">
        <v>0</v>
      </c>
      <c r="F193" s="130">
        <v>70.491</v>
      </c>
      <c r="G193" s="130">
        <v>53.527000000000001</v>
      </c>
      <c r="H193" s="131">
        <f>SUM(E193:G193)</f>
        <v>124.018</v>
      </c>
      <c r="I193" s="147">
        <f t="shared" si="85"/>
        <v>0</v>
      </c>
      <c r="J193" s="130">
        <f t="shared" si="85"/>
        <v>135.28700000000001</v>
      </c>
      <c r="K193" s="147">
        <f t="shared" si="85"/>
        <v>106.55199999999999</v>
      </c>
      <c r="L193" s="148">
        <f t="shared" si="85"/>
        <v>241.839</v>
      </c>
      <c r="M193" s="132"/>
      <c r="N193" s="133" t="s">
        <v>84</v>
      </c>
      <c r="O193" s="136"/>
    </row>
    <row r="194" spans="1:15" s="70" customFormat="1" ht="13.5" hidden="1" customHeight="1" x14ac:dyDescent="0.2">
      <c r="A194" s="129">
        <v>1.2E-2</v>
      </c>
      <c r="B194" s="130">
        <v>63.142000000000003</v>
      </c>
      <c r="C194" s="130">
        <v>53.601999999999997</v>
      </c>
      <c r="D194" s="131">
        <f>SUM(A194:C194)</f>
        <v>116.756</v>
      </c>
      <c r="E194" s="130">
        <v>1.2999999999999999E-2</v>
      </c>
      <c r="F194" s="130">
        <v>56.386000000000003</v>
      </c>
      <c r="G194" s="130">
        <v>51.274999999999999</v>
      </c>
      <c r="H194" s="131">
        <f>SUM(E194:G194)</f>
        <v>107.67400000000001</v>
      </c>
      <c r="I194" s="147">
        <f t="shared" si="85"/>
        <v>2.5000000000000001E-2</v>
      </c>
      <c r="J194" s="130">
        <f t="shared" si="85"/>
        <v>119.52800000000001</v>
      </c>
      <c r="K194" s="147">
        <f t="shared" si="85"/>
        <v>104.877</v>
      </c>
      <c r="L194" s="148">
        <f t="shared" si="85"/>
        <v>224.43</v>
      </c>
      <c r="M194" s="132"/>
      <c r="N194" s="133" t="s">
        <v>85</v>
      </c>
      <c r="O194" s="136"/>
    </row>
    <row r="195" spans="1:15" s="70" customFormat="1" ht="13.5" hidden="1" customHeight="1" x14ac:dyDescent="0.2">
      <c r="A195" s="129">
        <f t="shared" ref="A195:J195" si="86">SUM(A192:A194)</f>
        <v>1.2E-2</v>
      </c>
      <c r="B195" s="130">
        <f t="shared" si="86"/>
        <v>201.78899999999999</v>
      </c>
      <c r="C195" s="130">
        <f t="shared" si="86"/>
        <v>156.41900000000001</v>
      </c>
      <c r="D195" s="131">
        <f t="shared" si="86"/>
        <v>358.22</v>
      </c>
      <c r="E195" s="130">
        <f>SUM(E192:E194)</f>
        <v>2.0999999999999998E-2</v>
      </c>
      <c r="F195" s="130">
        <f t="shared" si="86"/>
        <v>185.75899999999999</v>
      </c>
      <c r="G195" s="130">
        <f t="shared" si="86"/>
        <v>157.18800000000002</v>
      </c>
      <c r="H195" s="131">
        <f t="shared" si="86"/>
        <v>342.96800000000002</v>
      </c>
      <c r="I195" s="147">
        <f t="shared" si="86"/>
        <v>3.3000000000000002E-2</v>
      </c>
      <c r="J195" s="130">
        <f t="shared" si="86"/>
        <v>387.548</v>
      </c>
      <c r="K195" s="147">
        <f>SUM(K192:K194)</f>
        <v>313.60699999999997</v>
      </c>
      <c r="L195" s="148">
        <f>SUM(L192:L194)</f>
        <v>701.1880000000001</v>
      </c>
      <c r="M195" s="132"/>
      <c r="N195" s="133" t="s">
        <v>50</v>
      </c>
      <c r="O195" s="136"/>
    </row>
    <row r="196" spans="1:15" s="70" customFormat="1" ht="13.5" hidden="1" customHeight="1" x14ac:dyDescent="0.2">
      <c r="A196" s="129">
        <v>3.5999999999999997E-2</v>
      </c>
      <c r="B196" s="130">
        <v>40.61</v>
      </c>
      <c r="C196" s="130">
        <v>42.853999999999999</v>
      </c>
      <c r="D196" s="131">
        <f>SUM(A196:C196)</f>
        <v>83.5</v>
      </c>
      <c r="E196" s="130">
        <v>0</v>
      </c>
      <c r="F196" s="130">
        <v>54.807000000000002</v>
      </c>
      <c r="G196" s="130">
        <v>52.012</v>
      </c>
      <c r="H196" s="131">
        <f>SUM(E196:G196)</f>
        <v>106.819</v>
      </c>
      <c r="I196" s="147">
        <f t="shared" ref="I196:L198" si="87">A196+E196</f>
        <v>3.5999999999999997E-2</v>
      </c>
      <c r="J196" s="130">
        <f t="shared" si="87"/>
        <v>95.417000000000002</v>
      </c>
      <c r="K196" s="147">
        <f t="shared" si="87"/>
        <v>94.866</v>
      </c>
      <c r="L196" s="148">
        <f t="shared" si="87"/>
        <v>190.31900000000002</v>
      </c>
      <c r="M196" s="132"/>
      <c r="N196" s="133" t="s">
        <v>87</v>
      </c>
      <c r="O196" s="136"/>
    </row>
    <row r="197" spans="1:15" s="70" customFormat="1" ht="13.5" hidden="1" customHeight="1" x14ac:dyDescent="0.2">
      <c r="A197" s="129">
        <v>0</v>
      </c>
      <c r="B197" s="130">
        <v>65.040999999999997</v>
      </c>
      <c r="C197" s="130">
        <v>52.795000000000002</v>
      </c>
      <c r="D197" s="131">
        <f>SUM(A197:C197)</f>
        <v>117.836</v>
      </c>
      <c r="E197" s="130">
        <v>0</v>
      </c>
      <c r="F197" s="130">
        <v>55.536999999999999</v>
      </c>
      <c r="G197" s="130">
        <v>48.082999999999998</v>
      </c>
      <c r="H197" s="131">
        <f>SUM(E197:G197)</f>
        <v>103.62</v>
      </c>
      <c r="I197" s="147">
        <f t="shared" si="87"/>
        <v>0</v>
      </c>
      <c r="J197" s="130">
        <f t="shared" si="87"/>
        <v>120.578</v>
      </c>
      <c r="K197" s="147">
        <f t="shared" si="87"/>
        <v>100.878</v>
      </c>
      <c r="L197" s="148">
        <f t="shared" si="87"/>
        <v>221.45600000000002</v>
      </c>
      <c r="M197" s="132"/>
      <c r="N197" s="133" t="s">
        <v>88</v>
      </c>
      <c r="O197" s="136"/>
    </row>
    <row r="198" spans="1:15" s="70" customFormat="1" ht="13.5" hidden="1" customHeight="1" x14ac:dyDescent="0.2">
      <c r="A198" s="129">
        <v>9.4E-2</v>
      </c>
      <c r="B198" s="130">
        <v>54.387</v>
      </c>
      <c r="C198" s="130">
        <v>51.44</v>
      </c>
      <c r="D198" s="131">
        <f>SUM(A198:C198)</f>
        <v>105.92099999999999</v>
      </c>
      <c r="E198" s="130">
        <v>6.0000000000000001E-3</v>
      </c>
      <c r="F198" s="130">
        <v>59.267000000000003</v>
      </c>
      <c r="G198" s="130">
        <v>50.805999999999997</v>
      </c>
      <c r="H198" s="131">
        <f>SUM(E198:G198)</f>
        <v>110.07900000000001</v>
      </c>
      <c r="I198" s="147">
        <f t="shared" si="87"/>
        <v>0.1</v>
      </c>
      <c r="J198" s="130">
        <f t="shared" si="87"/>
        <v>113.654</v>
      </c>
      <c r="K198" s="147">
        <f t="shared" si="87"/>
        <v>102.246</v>
      </c>
      <c r="L198" s="148">
        <f t="shared" si="87"/>
        <v>216</v>
      </c>
      <c r="M198" s="132"/>
      <c r="N198" s="133" t="s">
        <v>89</v>
      </c>
      <c r="O198" s="136"/>
    </row>
    <row r="199" spans="1:15" s="70" customFormat="1" ht="13.5" hidden="1" customHeight="1" x14ac:dyDescent="0.2">
      <c r="A199" s="129">
        <f t="shared" ref="A199:J199" si="88">SUM(A196:A198)</f>
        <v>0.13</v>
      </c>
      <c r="B199" s="130">
        <f t="shared" si="88"/>
        <v>160.03800000000001</v>
      </c>
      <c r="C199" s="130">
        <f t="shared" si="88"/>
        <v>147.089</v>
      </c>
      <c r="D199" s="131">
        <f t="shared" si="88"/>
        <v>307.25700000000001</v>
      </c>
      <c r="E199" s="130">
        <f t="shared" si="88"/>
        <v>6.0000000000000001E-3</v>
      </c>
      <c r="F199" s="130">
        <f t="shared" si="88"/>
        <v>169.61099999999999</v>
      </c>
      <c r="G199" s="130">
        <f>SUM(G196:G198)</f>
        <v>150.90100000000001</v>
      </c>
      <c r="H199" s="131">
        <f>SUM(H196:H198)</f>
        <v>320.51800000000003</v>
      </c>
      <c r="I199" s="147">
        <f>SUM(I196:I198)</f>
        <v>0.13600000000000001</v>
      </c>
      <c r="J199" s="130">
        <f t="shared" si="88"/>
        <v>329.649</v>
      </c>
      <c r="K199" s="147">
        <f>SUM(K196:K198)</f>
        <v>297.99</v>
      </c>
      <c r="L199" s="148">
        <f>SUM(L196:L198)</f>
        <v>627.77500000000009</v>
      </c>
      <c r="M199" s="132"/>
      <c r="N199" s="133" t="s">
        <v>51</v>
      </c>
      <c r="O199" s="136"/>
    </row>
    <row r="200" spans="1:15" s="70" customFormat="1" ht="13.5" hidden="1" customHeight="1" x14ac:dyDescent="0.25">
      <c r="A200" s="118"/>
      <c r="B200" s="119"/>
      <c r="C200" s="119"/>
      <c r="D200" s="120"/>
      <c r="E200" s="119"/>
      <c r="F200" s="119"/>
      <c r="G200" s="119"/>
      <c r="H200" s="120"/>
      <c r="I200" s="144"/>
      <c r="J200" s="119"/>
      <c r="K200" s="144"/>
      <c r="L200" s="145"/>
      <c r="M200" s="121"/>
      <c r="N200" s="122"/>
      <c r="O200" s="123"/>
    </row>
    <row r="201" spans="1:15" s="70" customFormat="1" ht="13.5" hidden="1" customHeight="1" x14ac:dyDescent="0.25">
      <c r="A201" s="118">
        <v>0</v>
      </c>
      <c r="B201" s="119">
        <v>61.784999999999997</v>
      </c>
      <c r="C201" s="119">
        <v>59.289000000000001</v>
      </c>
      <c r="D201" s="120">
        <f>SUM(A201:C201)</f>
        <v>121.074</v>
      </c>
      <c r="E201" s="119">
        <v>3.6999999999999998E-2</v>
      </c>
      <c r="F201" s="119">
        <v>65.197999999999993</v>
      </c>
      <c r="G201" s="119">
        <v>57.512999999999998</v>
      </c>
      <c r="H201" s="120">
        <f>SUM(E201:G201)</f>
        <v>122.74799999999999</v>
      </c>
      <c r="I201" s="144">
        <f t="shared" ref="I201:L203" si="89">A201+E201</f>
        <v>3.6999999999999998E-2</v>
      </c>
      <c r="J201" s="119">
        <f t="shared" si="89"/>
        <v>126.98299999999999</v>
      </c>
      <c r="K201" s="144">
        <f t="shared" si="89"/>
        <v>116.80199999999999</v>
      </c>
      <c r="L201" s="145">
        <f t="shared" si="89"/>
        <v>243.822</v>
      </c>
      <c r="M201" s="121"/>
      <c r="N201" s="122" t="s">
        <v>75</v>
      </c>
      <c r="O201" s="123">
        <v>2017</v>
      </c>
    </row>
    <row r="202" spans="1:15" s="70" customFormat="1" ht="13.5" hidden="1" customHeight="1" x14ac:dyDescent="0.25">
      <c r="A202" s="118">
        <v>0.02</v>
      </c>
      <c r="B202" s="119">
        <v>56.738</v>
      </c>
      <c r="C202" s="119">
        <v>57.113999999999997</v>
      </c>
      <c r="D202" s="120">
        <f>SUM(A202:C202)</f>
        <v>113.872</v>
      </c>
      <c r="E202" s="119">
        <v>4.0000000000000001E-3</v>
      </c>
      <c r="F202" s="119">
        <v>60.905000000000001</v>
      </c>
      <c r="G202" s="119">
        <v>51.923000000000002</v>
      </c>
      <c r="H202" s="120">
        <f>SUM(E202:G202)</f>
        <v>112.83199999999999</v>
      </c>
      <c r="I202" s="144">
        <f t="shared" si="89"/>
        <v>2.4E-2</v>
      </c>
      <c r="J202" s="119">
        <f t="shared" si="89"/>
        <v>117.643</v>
      </c>
      <c r="K202" s="144">
        <f t="shared" si="89"/>
        <v>109.03700000000001</v>
      </c>
      <c r="L202" s="145">
        <f t="shared" si="89"/>
        <v>226.70400000000001</v>
      </c>
      <c r="M202" s="121"/>
      <c r="N202" s="122" t="s">
        <v>76</v>
      </c>
      <c r="O202" s="123"/>
    </row>
    <row r="203" spans="1:15" s="70" customFormat="1" ht="13.5" hidden="1" customHeight="1" x14ac:dyDescent="0.25">
      <c r="A203" s="118">
        <v>0</v>
      </c>
      <c r="B203" s="119">
        <v>62.97</v>
      </c>
      <c r="C203" s="119">
        <v>60.869</v>
      </c>
      <c r="D203" s="120">
        <f>SUM(A203:C203)</f>
        <v>123.839</v>
      </c>
      <c r="E203" s="119">
        <v>0</v>
      </c>
      <c r="F203" s="119">
        <v>63.817</v>
      </c>
      <c r="G203" s="119">
        <v>63.478000000000002</v>
      </c>
      <c r="H203" s="120">
        <f>SUM(E203:G203)</f>
        <v>127.295</v>
      </c>
      <c r="I203" s="144">
        <f t="shared" si="89"/>
        <v>0</v>
      </c>
      <c r="J203" s="119">
        <f t="shared" si="89"/>
        <v>126.78700000000001</v>
      </c>
      <c r="K203" s="144">
        <f t="shared" si="89"/>
        <v>124.34700000000001</v>
      </c>
      <c r="L203" s="145">
        <f t="shared" si="89"/>
        <v>251.13400000000001</v>
      </c>
      <c r="M203" s="121"/>
      <c r="N203" s="122" t="s">
        <v>77</v>
      </c>
      <c r="O203" s="123"/>
    </row>
    <row r="204" spans="1:15" s="70" customFormat="1" ht="13.5" customHeight="1" x14ac:dyDescent="0.2">
      <c r="A204" s="129">
        <f t="shared" ref="A204:K204" si="90">SUM(A201:A203)</f>
        <v>0.02</v>
      </c>
      <c r="B204" s="130">
        <f t="shared" si="90"/>
        <v>181.49299999999999</v>
      </c>
      <c r="C204" s="130">
        <f t="shared" si="90"/>
        <v>177.27199999999999</v>
      </c>
      <c r="D204" s="131">
        <f t="shared" si="90"/>
        <v>358.78499999999997</v>
      </c>
      <c r="E204" s="130">
        <f t="shared" si="90"/>
        <v>4.0999999999999995E-2</v>
      </c>
      <c r="F204" s="130">
        <f t="shared" si="90"/>
        <v>189.92</v>
      </c>
      <c r="G204" s="130">
        <f t="shared" si="90"/>
        <v>172.91400000000002</v>
      </c>
      <c r="H204" s="131">
        <f t="shared" si="90"/>
        <v>362.875</v>
      </c>
      <c r="I204" s="147">
        <f t="shared" si="90"/>
        <v>6.0999999999999999E-2</v>
      </c>
      <c r="J204" s="130">
        <f t="shared" si="90"/>
        <v>371.41300000000001</v>
      </c>
      <c r="K204" s="147">
        <f t="shared" si="90"/>
        <v>350.18600000000004</v>
      </c>
      <c r="L204" s="148">
        <f>SUM(L201:L203)</f>
        <v>721.66000000000008</v>
      </c>
      <c r="M204" s="132"/>
      <c r="N204" s="133" t="s">
        <v>48</v>
      </c>
      <c r="O204" s="136">
        <v>2017</v>
      </c>
    </row>
    <row r="205" spans="1:15" s="70" customFormat="1" ht="13.5" hidden="1" customHeight="1" x14ac:dyDescent="0.2">
      <c r="A205" s="129">
        <v>0</v>
      </c>
      <c r="B205" s="130">
        <v>54.335999999999999</v>
      </c>
      <c r="C205" s="130">
        <v>62.82</v>
      </c>
      <c r="D205" s="131">
        <f>SUM(A205:C205)</f>
        <v>117.15600000000001</v>
      </c>
      <c r="E205" s="130">
        <v>0</v>
      </c>
      <c r="F205" s="130">
        <v>67.003</v>
      </c>
      <c r="G205" s="130">
        <v>58.084000000000003</v>
      </c>
      <c r="H205" s="131">
        <f>SUM(E205:G205)</f>
        <v>125.087</v>
      </c>
      <c r="I205" s="147">
        <f t="shared" ref="I205:L207" si="91">A205+E205</f>
        <v>0</v>
      </c>
      <c r="J205" s="130">
        <f t="shared" si="91"/>
        <v>121.339</v>
      </c>
      <c r="K205" s="147">
        <f t="shared" si="91"/>
        <v>120.904</v>
      </c>
      <c r="L205" s="148">
        <f t="shared" si="91"/>
        <v>242.24299999999999</v>
      </c>
      <c r="M205" s="132"/>
      <c r="N205" s="133" t="s">
        <v>79</v>
      </c>
      <c r="O205" s="136"/>
    </row>
    <row r="206" spans="1:15" s="70" customFormat="1" ht="13.5" hidden="1" customHeight="1" x14ac:dyDescent="0.2">
      <c r="A206" s="129">
        <v>1.2E-2</v>
      </c>
      <c r="B206" s="130">
        <v>66.387</v>
      </c>
      <c r="C206" s="130">
        <v>63.582000000000001</v>
      </c>
      <c r="D206" s="131">
        <f>SUM(A206:C206)</f>
        <v>129.98099999999999</v>
      </c>
      <c r="E206" s="130">
        <v>0</v>
      </c>
      <c r="F206" s="130">
        <v>73.349999999999994</v>
      </c>
      <c r="G206" s="130">
        <v>57.993000000000002</v>
      </c>
      <c r="H206" s="131">
        <f>SUM(E206:G206)</f>
        <v>131.34299999999999</v>
      </c>
      <c r="I206" s="147">
        <f t="shared" si="91"/>
        <v>1.2E-2</v>
      </c>
      <c r="J206" s="130">
        <f t="shared" si="91"/>
        <v>139.73699999999999</v>
      </c>
      <c r="K206" s="147">
        <f t="shared" si="91"/>
        <v>121.575</v>
      </c>
      <c r="L206" s="148">
        <f t="shared" si="91"/>
        <v>261.32399999999996</v>
      </c>
      <c r="M206" s="132"/>
      <c r="N206" s="133" t="s">
        <v>80</v>
      </c>
      <c r="O206" s="136"/>
    </row>
    <row r="207" spans="1:15" s="70" customFormat="1" ht="13.5" hidden="1" customHeight="1" x14ac:dyDescent="0.2">
      <c r="A207" s="129">
        <v>0</v>
      </c>
      <c r="B207" s="130">
        <v>72.262</v>
      </c>
      <c r="C207" s="130">
        <v>65.253</v>
      </c>
      <c r="D207" s="131">
        <f>SUM(A207:C207)</f>
        <v>137.51499999999999</v>
      </c>
      <c r="E207" s="130">
        <v>0</v>
      </c>
      <c r="F207" s="130">
        <v>68.724999999999994</v>
      </c>
      <c r="G207" s="130">
        <v>56.006999999999998</v>
      </c>
      <c r="H207" s="131">
        <f>SUM(E207:G207)</f>
        <v>124.732</v>
      </c>
      <c r="I207" s="147">
        <f t="shared" si="91"/>
        <v>0</v>
      </c>
      <c r="J207" s="130">
        <f t="shared" si="91"/>
        <v>140.98699999999999</v>
      </c>
      <c r="K207" s="147">
        <f t="shared" si="91"/>
        <v>121.25999999999999</v>
      </c>
      <c r="L207" s="148">
        <f t="shared" si="91"/>
        <v>262.24699999999996</v>
      </c>
      <c r="M207" s="132"/>
      <c r="N207" s="133" t="s">
        <v>81</v>
      </c>
      <c r="O207" s="136"/>
    </row>
    <row r="208" spans="1:15" s="70" customFormat="1" ht="13.5" customHeight="1" x14ac:dyDescent="0.2">
      <c r="A208" s="129">
        <f t="shared" ref="A208:K208" si="92">SUM(A205:A207)</f>
        <v>1.2E-2</v>
      </c>
      <c r="B208" s="130">
        <f t="shared" si="92"/>
        <v>192.98500000000001</v>
      </c>
      <c r="C208" s="130">
        <f t="shared" si="92"/>
        <v>191.655</v>
      </c>
      <c r="D208" s="131">
        <f t="shared" si="92"/>
        <v>384.65199999999999</v>
      </c>
      <c r="E208" s="130">
        <f t="shared" si="92"/>
        <v>0</v>
      </c>
      <c r="F208" s="130">
        <f t="shared" si="92"/>
        <v>209.078</v>
      </c>
      <c r="G208" s="130">
        <f t="shared" si="92"/>
        <v>172.084</v>
      </c>
      <c r="H208" s="131">
        <f t="shared" si="92"/>
        <v>381.16200000000003</v>
      </c>
      <c r="I208" s="147">
        <f t="shared" si="92"/>
        <v>1.2E-2</v>
      </c>
      <c r="J208" s="130">
        <f t="shared" si="92"/>
        <v>402.06299999999999</v>
      </c>
      <c r="K208" s="147">
        <f t="shared" si="92"/>
        <v>363.73899999999998</v>
      </c>
      <c r="L208" s="148">
        <f>SUM(L205:L207)</f>
        <v>765.81399999999985</v>
      </c>
      <c r="M208" s="132"/>
      <c r="N208" s="133" t="s">
        <v>49</v>
      </c>
      <c r="O208" s="136"/>
    </row>
    <row r="209" spans="1:15" s="70" customFormat="1" ht="13.5" hidden="1" customHeight="1" x14ac:dyDescent="0.2">
      <c r="A209" s="129">
        <v>0</v>
      </c>
      <c r="B209" s="130">
        <v>67.763999999999996</v>
      </c>
      <c r="C209" s="130">
        <v>57.012999999999998</v>
      </c>
      <c r="D209" s="131">
        <f>SUM(A209:C209)</f>
        <v>124.77699999999999</v>
      </c>
      <c r="E209" s="130">
        <v>0</v>
      </c>
      <c r="F209" s="130">
        <v>65.44</v>
      </c>
      <c r="G209" s="130">
        <v>52.38</v>
      </c>
      <c r="H209" s="131">
        <f>SUM(E209:G209)</f>
        <v>117.82</v>
      </c>
      <c r="I209" s="147">
        <f t="shared" ref="I209:L211" si="93">A209+E209</f>
        <v>0</v>
      </c>
      <c r="J209" s="130">
        <f t="shared" si="93"/>
        <v>133.20400000000001</v>
      </c>
      <c r="K209" s="147">
        <f t="shared" si="93"/>
        <v>109.393</v>
      </c>
      <c r="L209" s="148">
        <f t="shared" si="93"/>
        <v>242.59699999999998</v>
      </c>
      <c r="M209" s="132"/>
      <c r="N209" s="133" t="s">
        <v>83</v>
      </c>
      <c r="O209" s="136"/>
    </row>
    <row r="210" spans="1:15" s="70" customFormat="1" ht="13.5" hidden="1" customHeight="1" x14ac:dyDescent="0.2">
      <c r="A210" s="129">
        <v>1.2999999999999999E-2</v>
      </c>
      <c r="B210" s="130">
        <v>60.402999999999999</v>
      </c>
      <c r="C210" s="130">
        <v>58.249000000000002</v>
      </c>
      <c r="D210" s="131">
        <f>SUM(A210:C210)</f>
        <v>118.66499999999999</v>
      </c>
      <c r="E210" s="130">
        <v>0</v>
      </c>
      <c r="F210" s="130">
        <v>70.191999999999993</v>
      </c>
      <c r="G210" s="130">
        <v>52.201000000000001</v>
      </c>
      <c r="H210" s="131">
        <f>SUM(E210:G210)</f>
        <v>122.393</v>
      </c>
      <c r="I210" s="147">
        <f t="shared" si="93"/>
        <v>1.2999999999999999E-2</v>
      </c>
      <c r="J210" s="130">
        <f t="shared" si="93"/>
        <v>130.595</v>
      </c>
      <c r="K210" s="147">
        <f t="shared" si="93"/>
        <v>110.45</v>
      </c>
      <c r="L210" s="148">
        <f t="shared" si="93"/>
        <v>241.05799999999999</v>
      </c>
      <c r="M210" s="132"/>
      <c r="N210" s="133" t="s">
        <v>84</v>
      </c>
      <c r="O210" s="136"/>
    </row>
    <row r="211" spans="1:15" s="70" customFormat="1" ht="13.5" hidden="1" customHeight="1" x14ac:dyDescent="0.2">
      <c r="A211" s="129">
        <v>1.4E-2</v>
      </c>
      <c r="B211" s="130">
        <v>56.915999999999997</v>
      </c>
      <c r="C211" s="130">
        <v>51.637</v>
      </c>
      <c r="D211" s="131">
        <f>SUM(A211:C211)</f>
        <v>108.56700000000001</v>
      </c>
      <c r="E211" s="130">
        <v>0</v>
      </c>
      <c r="F211" s="130">
        <v>58.491</v>
      </c>
      <c r="G211" s="130">
        <v>46.936999999999998</v>
      </c>
      <c r="H211" s="131">
        <f>SUM(E211:G211)</f>
        <v>105.428</v>
      </c>
      <c r="I211" s="147">
        <f t="shared" si="93"/>
        <v>1.4E-2</v>
      </c>
      <c r="J211" s="130">
        <f t="shared" si="93"/>
        <v>115.407</v>
      </c>
      <c r="K211" s="147">
        <f t="shared" si="93"/>
        <v>98.573999999999998</v>
      </c>
      <c r="L211" s="148">
        <f t="shared" si="93"/>
        <v>213.995</v>
      </c>
      <c r="M211" s="132"/>
      <c r="N211" s="133" t="s">
        <v>85</v>
      </c>
      <c r="O211" s="136"/>
    </row>
    <row r="212" spans="1:15" s="70" customFormat="1" ht="13.5" customHeight="1" x14ac:dyDescent="0.2">
      <c r="A212" s="129">
        <f>SUM(A209:A211)</f>
        <v>2.7E-2</v>
      </c>
      <c r="B212" s="130">
        <f t="shared" ref="B212:J212" si="94">SUM(B209:B211)</f>
        <v>185.083</v>
      </c>
      <c r="C212" s="130">
        <f t="shared" si="94"/>
        <v>166.899</v>
      </c>
      <c r="D212" s="131">
        <f t="shared" si="94"/>
        <v>352.00900000000001</v>
      </c>
      <c r="E212" s="130">
        <f t="shared" si="94"/>
        <v>0</v>
      </c>
      <c r="F212" s="130">
        <f t="shared" si="94"/>
        <v>194.12299999999999</v>
      </c>
      <c r="G212" s="130">
        <f t="shared" si="94"/>
        <v>151.518</v>
      </c>
      <c r="H212" s="131">
        <f t="shared" si="94"/>
        <v>345.64099999999996</v>
      </c>
      <c r="I212" s="147">
        <f t="shared" si="94"/>
        <v>2.7E-2</v>
      </c>
      <c r="J212" s="130">
        <f t="shared" si="94"/>
        <v>379.20599999999996</v>
      </c>
      <c r="K212" s="147">
        <f>SUM(K209:K211)</f>
        <v>318.41700000000003</v>
      </c>
      <c r="L212" s="148">
        <f>SUM(L209:L211)</f>
        <v>697.65</v>
      </c>
      <c r="M212" s="132"/>
      <c r="N212" s="133" t="s">
        <v>50</v>
      </c>
      <c r="O212" s="136"/>
    </row>
    <row r="213" spans="1:15" s="70" customFormat="1" ht="13.5" hidden="1" customHeight="1" x14ac:dyDescent="0.2">
      <c r="A213" s="129">
        <v>6.0999999999999999E-2</v>
      </c>
      <c r="B213" s="130">
        <v>57.627000000000002</v>
      </c>
      <c r="C213" s="130">
        <v>54.168999999999997</v>
      </c>
      <c r="D213" s="131">
        <f>SUM(A213:C213)</f>
        <v>111.857</v>
      </c>
      <c r="E213" s="130">
        <v>0</v>
      </c>
      <c r="F213" s="130">
        <v>64.447000000000003</v>
      </c>
      <c r="G213" s="130">
        <v>49.052999999999997</v>
      </c>
      <c r="H213" s="131">
        <f>SUM(E213:G213)</f>
        <v>113.5</v>
      </c>
      <c r="I213" s="147">
        <f t="shared" ref="I213:L215" si="95">A213+E213</f>
        <v>6.0999999999999999E-2</v>
      </c>
      <c r="J213" s="130">
        <f t="shared" si="95"/>
        <v>122.07400000000001</v>
      </c>
      <c r="K213" s="147">
        <f t="shared" si="95"/>
        <v>103.22199999999999</v>
      </c>
      <c r="L213" s="148">
        <f t="shared" si="95"/>
        <v>225.357</v>
      </c>
      <c r="M213" s="132"/>
      <c r="N213" s="133" t="s">
        <v>87</v>
      </c>
      <c r="O213" s="136"/>
    </row>
    <row r="214" spans="1:15" s="70" customFormat="1" ht="13.5" hidden="1" customHeight="1" x14ac:dyDescent="0.2">
      <c r="A214" s="129">
        <v>1.4999999999999999E-2</v>
      </c>
      <c r="B214" s="130">
        <v>63.210999999999999</v>
      </c>
      <c r="C214" s="130">
        <v>53.872</v>
      </c>
      <c r="D214" s="131">
        <f>SUM(A214:C214)</f>
        <v>117.098</v>
      </c>
      <c r="E214" s="130">
        <v>1.2999999999999999E-2</v>
      </c>
      <c r="F214" s="130">
        <v>60.756</v>
      </c>
      <c r="G214" s="130">
        <v>50.558</v>
      </c>
      <c r="H214" s="131">
        <f>SUM(E214:G214)</f>
        <v>111.327</v>
      </c>
      <c r="I214" s="147">
        <f t="shared" si="95"/>
        <v>2.7999999999999997E-2</v>
      </c>
      <c r="J214" s="130">
        <f t="shared" si="95"/>
        <v>123.967</v>
      </c>
      <c r="K214" s="147">
        <f t="shared" si="95"/>
        <v>104.43</v>
      </c>
      <c r="L214" s="148">
        <f t="shared" si="95"/>
        <v>228.42500000000001</v>
      </c>
      <c r="M214" s="132"/>
      <c r="N214" s="133" t="s">
        <v>88</v>
      </c>
      <c r="O214" s="136"/>
    </row>
    <row r="215" spans="1:15" s="70" customFormat="1" ht="13.5" hidden="1" customHeight="1" x14ac:dyDescent="0.2">
      <c r="A215" s="129">
        <v>2.5999999999999999E-2</v>
      </c>
      <c r="B215" s="130">
        <v>58.893000000000001</v>
      </c>
      <c r="C215" s="130">
        <v>52.707000000000001</v>
      </c>
      <c r="D215" s="131">
        <f>SUM(A215:C215)</f>
        <v>111.626</v>
      </c>
      <c r="E215" s="130">
        <v>8.9999999999999993E-3</v>
      </c>
      <c r="F215" s="130">
        <v>67.855999999999995</v>
      </c>
      <c r="G215" s="130">
        <v>50.603999999999999</v>
      </c>
      <c r="H215" s="131">
        <f>SUM(E215:G215)</f>
        <v>118.46899999999999</v>
      </c>
      <c r="I215" s="147">
        <f t="shared" si="95"/>
        <v>3.4999999999999996E-2</v>
      </c>
      <c r="J215" s="130">
        <f t="shared" si="95"/>
        <v>126.749</v>
      </c>
      <c r="K215" s="147">
        <f t="shared" si="95"/>
        <v>103.31100000000001</v>
      </c>
      <c r="L215" s="148">
        <f t="shared" si="95"/>
        <v>230.095</v>
      </c>
      <c r="M215" s="132"/>
      <c r="N215" s="133" t="s">
        <v>89</v>
      </c>
      <c r="O215" s="136"/>
    </row>
    <row r="216" spans="1:15" s="70" customFormat="1" ht="13.5" customHeight="1" x14ac:dyDescent="0.2">
      <c r="A216" s="129">
        <f t="shared" ref="A216:L216" si="96">SUM(A213:A215)</f>
        <v>0.10199999999999999</v>
      </c>
      <c r="B216" s="130">
        <f t="shared" si="96"/>
        <v>179.73099999999999</v>
      </c>
      <c r="C216" s="130">
        <f t="shared" si="96"/>
        <v>160.74799999999999</v>
      </c>
      <c r="D216" s="131">
        <f t="shared" si="96"/>
        <v>340.58100000000002</v>
      </c>
      <c r="E216" s="130">
        <f t="shared" si="96"/>
        <v>2.1999999999999999E-2</v>
      </c>
      <c r="F216" s="130">
        <f t="shared" si="96"/>
        <v>193.059</v>
      </c>
      <c r="G216" s="130">
        <f t="shared" si="96"/>
        <v>150.21499999999997</v>
      </c>
      <c r="H216" s="131">
        <f t="shared" si="96"/>
        <v>343.29599999999999</v>
      </c>
      <c r="I216" s="147">
        <f t="shared" si="96"/>
        <v>0.124</v>
      </c>
      <c r="J216" s="130">
        <f t="shared" si="96"/>
        <v>372.78999999999996</v>
      </c>
      <c r="K216" s="147">
        <f t="shared" si="96"/>
        <v>310.96299999999997</v>
      </c>
      <c r="L216" s="148">
        <f t="shared" si="96"/>
        <v>683.87700000000007</v>
      </c>
      <c r="M216" s="132"/>
      <c r="N216" s="133" t="s">
        <v>51</v>
      </c>
      <c r="O216" s="136"/>
    </row>
    <row r="217" spans="1:15" s="70" customFormat="1" ht="9" customHeight="1" x14ac:dyDescent="0.25">
      <c r="A217" s="118"/>
      <c r="B217" s="119"/>
      <c r="C217" s="119"/>
      <c r="D217" s="120"/>
      <c r="E217" s="119"/>
      <c r="F217" s="119"/>
      <c r="G217" s="119"/>
      <c r="H217" s="120"/>
      <c r="I217" s="144"/>
      <c r="J217" s="119"/>
      <c r="K217" s="144"/>
      <c r="L217" s="145"/>
      <c r="M217" s="121"/>
      <c r="N217" s="122"/>
      <c r="O217" s="123"/>
    </row>
    <row r="218" spans="1:15" s="70" customFormat="1" ht="13.5" hidden="1" customHeight="1" x14ac:dyDescent="0.2">
      <c r="A218" s="129">
        <v>0</v>
      </c>
      <c r="B218" s="130">
        <v>54.944000000000003</v>
      </c>
      <c r="C218" s="130">
        <v>58.411999999999999</v>
      </c>
      <c r="D218" s="131">
        <f>SUM(A218:C218)</f>
        <v>113.35599999999999</v>
      </c>
      <c r="E218" s="130">
        <v>0</v>
      </c>
      <c r="F218" s="130">
        <v>66.84</v>
      </c>
      <c r="G218" s="130">
        <v>53.991</v>
      </c>
      <c r="H218" s="131">
        <f>SUM(E218:G218)</f>
        <v>120.831</v>
      </c>
      <c r="I218" s="147">
        <f t="shared" ref="I218:L219" si="97">A218+E218</f>
        <v>0</v>
      </c>
      <c r="J218" s="147">
        <f t="shared" si="97"/>
        <v>121.78400000000001</v>
      </c>
      <c r="K218" s="147">
        <f t="shared" si="97"/>
        <v>112.40299999999999</v>
      </c>
      <c r="L218" s="148">
        <f t="shared" si="97"/>
        <v>234.18700000000001</v>
      </c>
      <c r="M218" s="132"/>
      <c r="N218" s="133" t="s">
        <v>75</v>
      </c>
      <c r="O218" s="136">
        <v>2018</v>
      </c>
    </row>
    <row r="219" spans="1:15" s="70" customFormat="1" ht="13.5" hidden="1" customHeight="1" x14ac:dyDescent="0.2">
      <c r="A219" s="129">
        <v>0</v>
      </c>
      <c r="B219" s="130">
        <v>47.941000000000003</v>
      </c>
      <c r="C219" s="130">
        <v>58.192</v>
      </c>
      <c r="D219" s="131">
        <f>SUM(A219:C219)</f>
        <v>106.13300000000001</v>
      </c>
      <c r="E219" s="130">
        <v>0</v>
      </c>
      <c r="F219" s="160">
        <v>60.944000000000003</v>
      </c>
      <c r="G219" s="130">
        <v>54.445999999999998</v>
      </c>
      <c r="H219" s="131">
        <f>SUM(E219:G219)</f>
        <v>115.39</v>
      </c>
      <c r="I219" s="147">
        <f t="shared" si="97"/>
        <v>0</v>
      </c>
      <c r="J219" s="147">
        <f t="shared" si="97"/>
        <v>108.88500000000001</v>
      </c>
      <c r="K219" s="147">
        <f t="shared" si="97"/>
        <v>112.63800000000001</v>
      </c>
      <c r="L219" s="148">
        <f t="shared" si="97"/>
        <v>221.52300000000002</v>
      </c>
      <c r="M219" s="132"/>
      <c r="N219" s="133" t="s">
        <v>76</v>
      </c>
      <c r="O219" s="136"/>
    </row>
    <row r="220" spans="1:15" s="70" customFormat="1" ht="13.5" hidden="1" customHeight="1" x14ac:dyDescent="0.2">
      <c r="A220" s="129">
        <v>1.4999999999999999E-2</v>
      </c>
      <c r="B220" s="130">
        <v>57.613999999999997</v>
      </c>
      <c r="C220" s="130">
        <v>64.394999999999996</v>
      </c>
      <c r="D220" s="131">
        <f>SUM(A220:C220)</f>
        <v>122.024</v>
      </c>
      <c r="E220" s="130">
        <v>0</v>
      </c>
      <c r="F220" s="130">
        <v>65.052000000000007</v>
      </c>
      <c r="G220" s="130">
        <v>62.404000000000003</v>
      </c>
      <c r="H220" s="131">
        <f>SUM(E220:G220)</f>
        <v>127.45600000000002</v>
      </c>
      <c r="I220" s="147">
        <f>A220+E220</f>
        <v>1.4999999999999999E-2</v>
      </c>
      <c r="J220" s="147">
        <f>B220+F220</f>
        <v>122.666</v>
      </c>
      <c r="K220" s="147">
        <f>C220+G220</f>
        <v>126.79900000000001</v>
      </c>
      <c r="L220" s="148">
        <f>D220+H220</f>
        <v>249.48000000000002</v>
      </c>
      <c r="M220" s="132"/>
      <c r="N220" s="133" t="s">
        <v>77</v>
      </c>
      <c r="O220" s="136"/>
    </row>
    <row r="221" spans="1:15" s="70" customFormat="1" ht="13.5" customHeight="1" x14ac:dyDescent="0.2">
      <c r="A221" s="129">
        <f t="shared" ref="A221:L221" si="98">SUM(A218:A220)</f>
        <v>1.4999999999999999E-2</v>
      </c>
      <c r="B221" s="147">
        <f t="shared" si="98"/>
        <v>160.499</v>
      </c>
      <c r="C221" s="147">
        <f t="shared" si="98"/>
        <v>180.999</v>
      </c>
      <c r="D221" s="131">
        <f t="shared" si="98"/>
        <v>341.51300000000003</v>
      </c>
      <c r="E221" s="130">
        <f t="shared" si="98"/>
        <v>0</v>
      </c>
      <c r="F221" s="147">
        <f>SUM(F218:F220)</f>
        <v>192.83600000000001</v>
      </c>
      <c r="G221" s="147">
        <f>SUM(G218:G220)</f>
        <v>170.84100000000001</v>
      </c>
      <c r="H221" s="131">
        <f t="shared" si="98"/>
        <v>363.67700000000002</v>
      </c>
      <c r="I221" s="147">
        <f t="shared" si="98"/>
        <v>1.4999999999999999E-2</v>
      </c>
      <c r="J221" s="147">
        <f t="shared" si="98"/>
        <v>353.33500000000004</v>
      </c>
      <c r="K221" s="147">
        <f t="shared" si="98"/>
        <v>351.84000000000003</v>
      </c>
      <c r="L221" s="148">
        <f t="shared" si="98"/>
        <v>705.19</v>
      </c>
      <c r="M221" s="132"/>
      <c r="N221" s="133" t="s">
        <v>48</v>
      </c>
      <c r="O221" s="136">
        <v>2018</v>
      </c>
    </row>
    <row r="222" spans="1:15" s="70" customFormat="1" ht="13.5" hidden="1" customHeight="1" x14ac:dyDescent="0.2">
      <c r="A222" s="129">
        <v>0</v>
      </c>
      <c r="B222" s="147">
        <v>55.61</v>
      </c>
      <c r="C222" s="147">
        <v>65.403999999999996</v>
      </c>
      <c r="D222" s="131">
        <f>SUM(A222:C222)</f>
        <v>121.014</v>
      </c>
      <c r="E222" s="130">
        <v>2E-3</v>
      </c>
      <c r="F222" s="147">
        <v>61.534999999999997</v>
      </c>
      <c r="G222" s="147">
        <v>65.278999999999996</v>
      </c>
      <c r="H222" s="131">
        <f>SUM(E222:G222)</f>
        <v>126.816</v>
      </c>
      <c r="I222" s="147">
        <f t="shared" ref="I222:L224" si="99">A222+E222</f>
        <v>2E-3</v>
      </c>
      <c r="J222" s="147">
        <f t="shared" si="99"/>
        <v>117.145</v>
      </c>
      <c r="K222" s="147">
        <f t="shared" si="99"/>
        <v>130.68299999999999</v>
      </c>
      <c r="L222" s="148">
        <f t="shared" si="99"/>
        <v>247.82999999999998</v>
      </c>
      <c r="M222" s="132"/>
      <c r="N222" s="133" t="s">
        <v>79</v>
      </c>
      <c r="O222" s="136"/>
    </row>
    <row r="223" spans="1:15" s="70" customFormat="1" ht="13.5" hidden="1" customHeight="1" x14ac:dyDescent="0.2">
      <c r="A223" s="129">
        <v>0</v>
      </c>
      <c r="B223" s="147">
        <v>46.749000000000002</v>
      </c>
      <c r="C223" s="147">
        <v>65.394000000000005</v>
      </c>
      <c r="D223" s="131">
        <f>SUM(A223:C223)</f>
        <v>112.143</v>
      </c>
      <c r="E223" s="130">
        <v>0</v>
      </c>
      <c r="F223" s="147">
        <v>62.689</v>
      </c>
      <c r="G223" s="147">
        <v>62.484999999999999</v>
      </c>
      <c r="H223" s="131">
        <f>SUM(E223:G223)</f>
        <v>125.17400000000001</v>
      </c>
      <c r="I223" s="147">
        <f t="shared" si="99"/>
        <v>0</v>
      </c>
      <c r="J223" s="147">
        <f t="shared" si="99"/>
        <v>109.438</v>
      </c>
      <c r="K223" s="147">
        <f t="shared" si="99"/>
        <v>127.879</v>
      </c>
      <c r="L223" s="148">
        <f t="shared" si="99"/>
        <v>237.31700000000001</v>
      </c>
      <c r="M223" s="132"/>
      <c r="N223" s="133" t="s">
        <v>80</v>
      </c>
      <c r="O223" s="136"/>
    </row>
    <row r="224" spans="1:15" s="70" customFormat="1" ht="13.5" hidden="1" customHeight="1" x14ac:dyDescent="0.2">
      <c r="A224" s="129">
        <v>0</v>
      </c>
      <c r="B224" s="147">
        <v>66.063000000000002</v>
      </c>
      <c r="C224" s="147">
        <v>68.510000000000005</v>
      </c>
      <c r="D224" s="131">
        <f>SUM(A224:C224)</f>
        <v>134.57300000000001</v>
      </c>
      <c r="E224" s="130">
        <v>0</v>
      </c>
      <c r="F224" s="147">
        <v>66.153999999999996</v>
      </c>
      <c r="G224" s="147">
        <v>63.048000000000002</v>
      </c>
      <c r="H224" s="131">
        <f>SUM(E224:G224)</f>
        <v>129.202</v>
      </c>
      <c r="I224" s="147">
        <f t="shared" si="99"/>
        <v>0</v>
      </c>
      <c r="J224" s="147">
        <f t="shared" si="99"/>
        <v>132.21699999999998</v>
      </c>
      <c r="K224" s="147">
        <f t="shared" si="99"/>
        <v>131.55799999999999</v>
      </c>
      <c r="L224" s="148">
        <f t="shared" si="99"/>
        <v>263.77499999999998</v>
      </c>
      <c r="M224" s="132"/>
      <c r="N224" s="133" t="s">
        <v>81</v>
      </c>
      <c r="O224" s="136"/>
    </row>
    <row r="225" spans="1:15" s="70" customFormat="1" ht="13.5" customHeight="1" x14ac:dyDescent="0.2">
      <c r="A225" s="147">
        <f t="shared" ref="A225:L225" si="100">SUM(A222:A224)</f>
        <v>0</v>
      </c>
      <c r="B225" s="147">
        <f t="shared" si="100"/>
        <v>168.42200000000003</v>
      </c>
      <c r="C225" s="147">
        <f t="shared" si="100"/>
        <v>199.30799999999999</v>
      </c>
      <c r="D225" s="131">
        <f t="shared" si="100"/>
        <v>367.73</v>
      </c>
      <c r="E225" s="130">
        <f t="shared" si="100"/>
        <v>2E-3</v>
      </c>
      <c r="F225" s="147">
        <f t="shared" si="100"/>
        <v>190.37799999999999</v>
      </c>
      <c r="G225" s="147">
        <f t="shared" si="100"/>
        <v>190.81200000000001</v>
      </c>
      <c r="H225" s="131">
        <f t="shared" si="100"/>
        <v>381.19200000000001</v>
      </c>
      <c r="I225" s="147">
        <f t="shared" si="100"/>
        <v>2E-3</v>
      </c>
      <c r="J225" s="147">
        <f t="shared" si="100"/>
        <v>358.79999999999995</v>
      </c>
      <c r="K225" s="147">
        <f t="shared" si="100"/>
        <v>390.12</v>
      </c>
      <c r="L225" s="148">
        <f t="shared" si="100"/>
        <v>748.92200000000003</v>
      </c>
      <c r="M225" s="132"/>
      <c r="N225" s="133" t="s">
        <v>49</v>
      </c>
      <c r="O225" s="136"/>
    </row>
    <row r="226" spans="1:15" s="70" customFormat="1" ht="13.5" hidden="1" customHeight="1" x14ac:dyDescent="0.2">
      <c r="A226" s="147">
        <v>1.7999999999999999E-2</v>
      </c>
      <c r="B226" s="147">
        <v>73.403000000000006</v>
      </c>
      <c r="C226" s="147">
        <v>72.957999999999998</v>
      </c>
      <c r="D226" s="131">
        <f>SUM(A226:C226)</f>
        <v>146.37900000000002</v>
      </c>
      <c r="E226" s="130">
        <v>0</v>
      </c>
      <c r="F226" s="147">
        <v>68.915000000000006</v>
      </c>
      <c r="G226" s="147">
        <v>62.956000000000003</v>
      </c>
      <c r="H226" s="131">
        <f>SUM(E226:G226)</f>
        <v>131.87100000000001</v>
      </c>
      <c r="I226" s="147">
        <f>A226+E226</f>
        <v>1.7999999999999999E-2</v>
      </c>
      <c r="J226" s="147">
        <f t="shared" ref="J226:L228" si="101">B226+F226</f>
        <v>142.31800000000001</v>
      </c>
      <c r="K226" s="147">
        <f t="shared" si="101"/>
        <v>135.91399999999999</v>
      </c>
      <c r="L226" s="148">
        <f t="shared" si="101"/>
        <v>278.25</v>
      </c>
      <c r="M226" s="132"/>
      <c r="N226" s="133" t="s">
        <v>83</v>
      </c>
      <c r="O226" s="136"/>
    </row>
    <row r="227" spans="1:15" s="70" customFormat="1" ht="13.5" hidden="1" customHeight="1" x14ac:dyDescent="0.2">
      <c r="A227" s="147">
        <v>0.1</v>
      </c>
      <c r="B227" s="147">
        <v>70.147000000000006</v>
      </c>
      <c r="C227" s="147">
        <v>64.843000000000004</v>
      </c>
      <c r="D227" s="131">
        <f>SUM(A227:C227)</f>
        <v>135.09</v>
      </c>
      <c r="E227" s="130">
        <v>1E-3</v>
      </c>
      <c r="F227" s="147">
        <v>66.494</v>
      </c>
      <c r="G227" s="147">
        <v>62.857999999999997</v>
      </c>
      <c r="H227" s="131">
        <f>SUM(E227:G227)</f>
        <v>129.35300000000001</v>
      </c>
      <c r="I227" s="147">
        <f>A227+E227</f>
        <v>0.10100000000000001</v>
      </c>
      <c r="J227" s="147">
        <f t="shared" si="101"/>
        <v>136.64100000000002</v>
      </c>
      <c r="K227" s="147">
        <f t="shared" si="101"/>
        <v>127.70099999999999</v>
      </c>
      <c r="L227" s="148">
        <f t="shared" si="101"/>
        <v>264.44299999999998</v>
      </c>
      <c r="M227" s="132"/>
      <c r="N227" s="133" t="s">
        <v>84</v>
      </c>
      <c r="O227" s="136"/>
    </row>
    <row r="228" spans="1:15" s="70" customFormat="1" ht="13.5" hidden="1" customHeight="1" x14ac:dyDescent="0.2">
      <c r="A228" s="147">
        <v>2.7E-2</v>
      </c>
      <c r="B228" s="147">
        <v>44.237000000000002</v>
      </c>
      <c r="C228" s="147">
        <v>55.527000000000001</v>
      </c>
      <c r="D228" s="131">
        <f>SUM(A228:C228)</f>
        <v>99.790999999999997</v>
      </c>
      <c r="E228" s="130">
        <v>0</v>
      </c>
      <c r="F228" s="147">
        <v>51.719000000000001</v>
      </c>
      <c r="G228" s="147">
        <v>55.524999999999999</v>
      </c>
      <c r="H228" s="131">
        <f>SUM(E228:G228)</f>
        <v>107.244</v>
      </c>
      <c r="I228" s="147">
        <f>A228+E228</f>
        <v>2.7E-2</v>
      </c>
      <c r="J228" s="147">
        <f t="shared" si="101"/>
        <v>95.956000000000003</v>
      </c>
      <c r="K228" s="147">
        <f t="shared" si="101"/>
        <v>111.05199999999999</v>
      </c>
      <c r="L228" s="148">
        <f t="shared" si="101"/>
        <v>207.035</v>
      </c>
      <c r="M228" s="132"/>
      <c r="N228" s="133" t="s">
        <v>85</v>
      </c>
      <c r="O228" s="136"/>
    </row>
    <row r="229" spans="1:15" s="70" customFormat="1" ht="13.5" customHeight="1" x14ac:dyDescent="0.2">
      <c r="A229" s="147">
        <f t="shared" ref="A229:L229" si="102">SUM(A226:A228)</f>
        <v>0.14500000000000002</v>
      </c>
      <c r="B229" s="147">
        <f t="shared" si="102"/>
        <v>187.78700000000001</v>
      </c>
      <c r="C229" s="147">
        <f t="shared" si="102"/>
        <v>193.32799999999997</v>
      </c>
      <c r="D229" s="131">
        <f t="shared" si="102"/>
        <v>381.26000000000005</v>
      </c>
      <c r="E229" s="130">
        <f t="shared" si="102"/>
        <v>1E-3</v>
      </c>
      <c r="F229" s="147">
        <f t="shared" si="102"/>
        <v>187.12799999999999</v>
      </c>
      <c r="G229" s="147">
        <f t="shared" si="102"/>
        <v>181.339</v>
      </c>
      <c r="H229" s="131">
        <f t="shared" si="102"/>
        <v>368.46800000000007</v>
      </c>
      <c r="I229" s="147">
        <f t="shared" si="102"/>
        <v>0.14600000000000002</v>
      </c>
      <c r="J229" s="147">
        <f t="shared" si="102"/>
        <v>374.91500000000008</v>
      </c>
      <c r="K229" s="147">
        <f t="shared" si="102"/>
        <v>374.66700000000003</v>
      </c>
      <c r="L229" s="148">
        <f t="shared" si="102"/>
        <v>749.72799999999995</v>
      </c>
      <c r="M229" s="132"/>
      <c r="N229" s="133" t="s">
        <v>50</v>
      </c>
      <c r="O229" s="136"/>
    </row>
    <row r="230" spans="1:15" s="70" customFormat="1" ht="13.5" hidden="1" customHeight="1" x14ac:dyDescent="0.2">
      <c r="A230" s="147">
        <v>0</v>
      </c>
      <c r="B230" s="147">
        <v>67.313999999999993</v>
      </c>
      <c r="C230" s="147">
        <v>64.552000000000007</v>
      </c>
      <c r="D230" s="131">
        <f>SUM(A230:C230)</f>
        <v>131.86599999999999</v>
      </c>
      <c r="E230" s="130">
        <v>2E-3</v>
      </c>
      <c r="F230" s="147">
        <v>69.793999999999997</v>
      </c>
      <c r="G230" s="147">
        <v>57</v>
      </c>
      <c r="H230" s="131">
        <f>SUM(E230:G230)</f>
        <v>126.79599999999999</v>
      </c>
      <c r="I230" s="147">
        <f>A230+E230</f>
        <v>2E-3</v>
      </c>
      <c r="J230" s="147">
        <f t="shared" ref="J230:L232" si="103">B230+F230</f>
        <v>137.108</v>
      </c>
      <c r="K230" s="147">
        <f t="shared" si="103"/>
        <v>121.55200000000001</v>
      </c>
      <c r="L230" s="148">
        <f t="shared" si="103"/>
        <v>258.66199999999998</v>
      </c>
      <c r="M230" s="132"/>
      <c r="N230" s="133" t="s">
        <v>87</v>
      </c>
      <c r="O230" s="136"/>
    </row>
    <row r="231" spans="1:15" s="70" customFormat="1" ht="13.5" hidden="1" customHeight="1" x14ac:dyDescent="0.2">
      <c r="A231" s="147">
        <v>0</v>
      </c>
      <c r="B231" s="147">
        <v>68.626000000000005</v>
      </c>
      <c r="C231" s="147">
        <v>63.481999999999999</v>
      </c>
      <c r="D231" s="131">
        <f>SUM(A231:C231)</f>
        <v>132.108</v>
      </c>
      <c r="E231" s="130">
        <v>0</v>
      </c>
      <c r="F231" s="147">
        <v>61.945999999999998</v>
      </c>
      <c r="G231" s="147">
        <v>55.542000000000002</v>
      </c>
      <c r="H231" s="131">
        <f>SUM(E231:G231)</f>
        <v>117.488</v>
      </c>
      <c r="I231" s="147">
        <f>A231+E231</f>
        <v>0</v>
      </c>
      <c r="J231" s="147">
        <f t="shared" si="103"/>
        <v>130.572</v>
      </c>
      <c r="K231" s="147">
        <f t="shared" si="103"/>
        <v>119.024</v>
      </c>
      <c r="L231" s="148">
        <f>D231+H231</f>
        <v>249.596</v>
      </c>
      <c r="M231" s="132"/>
      <c r="N231" s="133" t="s">
        <v>88</v>
      </c>
      <c r="O231" s="136"/>
    </row>
    <row r="232" spans="1:15" s="70" customFormat="1" ht="13.5" hidden="1" customHeight="1" x14ac:dyDescent="0.2">
      <c r="A232" s="147">
        <v>5.5E-2</v>
      </c>
      <c r="B232" s="147">
        <v>56.804000000000002</v>
      </c>
      <c r="C232" s="147">
        <v>58.981999999999999</v>
      </c>
      <c r="D232" s="131">
        <f>SUM(A232:C232)</f>
        <v>115.84100000000001</v>
      </c>
      <c r="E232" s="130">
        <v>0</v>
      </c>
      <c r="F232" s="147">
        <v>65.677000000000007</v>
      </c>
      <c r="G232" s="147">
        <v>52.965000000000003</v>
      </c>
      <c r="H232" s="131">
        <f>SUM(E232:G232)</f>
        <v>118.64200000000001</v>
      </c>
      <c r="I232" s="147">
        <f>A232+E232</f>
        <v>5.5E-2</v>
      </c>
      <c r="J232" s="147">
        <f t="shared" si="103"/>
        <v>122.48100000000001</v>
      </c>
      <c r="K232" s="147">
        <f t="shared" si="103"/>
        <v>111.947</v>
      </c>
      <c r="L232" s="148">
        <f>D232+H232</f>
        <v>234.483</v>
      </c>
      <c r="M232" s="132"/>
      <c r="N232" s="133" t="s">
        <v>89</v>
      </c>
      <c r="O232" s="136"/>
    </row>
    <row r="233" spans="1:15" s="70" customFormat="1" ht="13.5" customHeight="1" x14ac:dyDescent="0.2">
      <c r="A233" s="147">
        <f t="shared" ref="A233:K233" si="104">SUM(A230:A232)</f>
        <v>5.5E-2</v>
      </c>
      <c r="B233" s="147">
        <f t="shared" si="104"/>
        <v>192.744</v>
      </c>
      <c r="C233" s="147">
        <f t="shared" si="104"/>
        <v>187.01599999999999</v>
      </c>
      <c r="D233" s="131">
        <f t="shared" si="104"/>
        <v>379.815</v>
      </c>
      <c r="E233" s="130">
        <f t="shared" si="104"/>
        <v>2E-3</v>
      </c>
      <c r="F233" s="147">
        <f t="shared" si="104"/>
        <v>197.41700000000003</v>
      </c>
      <c r="G233" s="147">
        <f t="shared" si="104"/>
        <v>165.50700000000001</v>
      </c>
      <c r="H233" s="131">
        <f t="shared" si="104"/>
        <v>362.92599999999999</v>
      </c>
      <c r="I233" s="147">
        <f t="shared" si="104"/>
        <v>5.7000000000000002E-2</v>
      </c>
      <c r="J233" s="147">
        <f t="shared" si="104"/>
        <v>390.161</v>
      </c>
      <c r="K233" s="147">
        <f t="shared" si="104"/>
        <v>352.52300000000002</v>
      </c>
      <c r="L233" s="148">
        <f>SUM(L230:L232)</f>
        <v>742.74099999999999</v>
      </c>
      <c r="M233" s="132"/>
      <c r="N233" s="133" t="s">
        <v>51</v>
      </c>
      <c r="O233" s="136"/>
    </row>
    <row r="234" spans="1:15" s="70" customFormat="1" ht="13.5" customHeight="1" x14ac:dyDescent="0.25">
      <c r="A234" s="144"/>
      <c r="B234" s="144"/>
      <c r="C234" s="144"/>
      <c r="D234" s="120"/>
      <c r="E234" s="119"/>
      <c r="F234" s="144"/>
      <c r="G234" s="144"/>
      <c r="H234" s="120"/>
      <c r="I234" s="144"/>
      <c r="J234" s="144"/>
      <c r="K234" s="144"/>
      <c r="L234" s="145"/>
      <c r="M234" s="121"/>
      <c r="N234" s="122"/>
      <c r="O234" s="123"/>
    </row>
    <row r="235" spans="1:15" s="70" customFormat="1" ht="13.5" hidden="1" customHeight="1" x14ac:dyDescent="0.25">
      <c r="A235" s="144">
        <v>1.6E-2</v>
      </c>
      <c r="B235" s="144">
        <v>57.286999999999999</v>
      </c>
      <c r="C235" s="144">
        <v>63.491999999999997</v>
      </c>
      <c r="D235" s="120">
        <f>SUM(A235:C235)</f>
        <v>120.79499999999999</v>
      </c>
      <c r="E235" s="119">
        <v>0</v>
      </c>
      <c r="F235" s="144">
        <v>65.695999999999998</v>
      </c>
      <c r="G235" s="144">
        <v>59.521000000000001</v>
      </c>
      <c r="H235" s="120">
        <f>SUM(E235:G235)</f>
        <v>125.217</v>
      </c>
      <c r="I235" s="144">
        <f>A235+E235</f>
        <v>1.6E-2</v>
      </c>
      <c r="J235" s="144">
        <f t="shared" ref="J235:L237" si="105">B235+F235</f>
        <v>122.983</v>
      </c>
      <c r="K235" s="144">
        <f t="shared" si="105"/>
        <v>123.01300000000001</v>
      </c>
      <c r="L235" s="145">
        <f t="shared" si="105"/>
        <v>246.012</v>
      </c>
      <c r="M235" s="121"/>
      <c r="N235" s="122" t="s">
        <v>75</v>
      </c>
      <c r="O235" s="123">
        <v>2019</v>
      </c>
    </row>
    <row r="236" spans="1:15" s="70" customFormat="1" ht="13.5" hidden="1" customHeight="1" x14ac:dyDescent="0.25">
      <c r="A236" s="144">
        <v>0</v>
      </c>
      <c r="B236" s="144">
        <v>65.084999999999994</v>
      </c>
      <c r="C236" s="144">
        <v>58.509</v>
      </c>
      <c r="D236" s="120">
        <f>SUM(A236:C236)</f>
        <v>123.59399999999999</v>
      </c>
      <c r="E236" s="119">
        <v>0</v>
      </c>
      <c r="F236" s="144">
        <v>69.715000000000003</v>
      </c>
      <c r="G236" s="144">
        <v>47.933999999999997</v>
      </c>
      <c r="H236" s="120">
        <f>SUM(E236:G236)</f>
        <v>117.649</v>
      </c>
      <c r="I236" s="144">
        <f>A236+E236</f>
        <v>0</v>
      </c>
      <c r="J236" s="144">
        <f t="shared" si="105"/>
        <v>134.80000000000001</v>
      </c>
      <c r="K236" s="144">
        <f t="shared" si="105"/>
        <v>106.443</v>
      </c>
      <c r="L236" s="145">
        <f t="shared" si="105"/>
        <v>241.24299999999999</v>
      </c>
      <c r="M236" s="121"/>
      <c r="N236" s="122" t="s">
        <v>76</v>
      </c>
      <c r="O236" s="123"/>
    </row>
    <row r="237" spans="1:15" s="70" customFormat="1" ht="13.5" hidden="1" customHeight="1" x14ac:dyDescent="0.25">
      <c r="A237" s="144">
        <v>0</v>
      </c>
      <c r="B237" s="144">
        <v>54.773000000000003</v>
      </c>
      <c r="C237" s="144">
        <v>62.515000000000001</v>
      </c>
      <c r="D237" s="120">
        <f>SUM(A237:C237)</f>
        <v>117.28800000000001</v>
      </c>
      <c r="E237" s="119">
        <v>0.01</v>
      </c>
      <c r="F237" s="144">
        <v>63.19</v>
      </c>
      <c r="G237" s="144">
        <v>63.231000000000002</v>
      </c>
      <c r="H237" s="120">
        <f>SUM(E237:G237)</f>
        <v>126.431</v>
      </c>
      <c r="I237" s="144">
        <f>A237+E237</f>
        <v>0.01</v>
      </c>
      <c r="J237" s="144">
        <f t="shared" si="105"/>
        <v>117.96299999999999</v>
      </c>
      <c r="K237" s="144">
        <f t="shared" si="105"/>
        <v>125.74600000000001</v>
      </c>
      <c r="L237" s="145">
        <f t="shared" si="105"/>
        <v>243.71899999999999</v>
      </c>
      <c r="M237" s="121"/>
      <c r="N237" s="122" t="s">
        <v>77</v>
      </c>
      <c r="O237" s="123"/>
    </row>
    <row r="238" spans="1:15" s="70" customFormat="1" ht="13.5" customHeight="1" x14ac:dyDescent="0.2">
      <c r="A238" s="147">
        <f t="shared" ref="A238:L238" si="106">SUM(A235:A237)</f>
        <v>1.6E-2</v>
      </c>
      <c r="B238" s="147">
        <f t="shared" si="106"/>
        <v>177.14499999999998</v>
      </c>
      <c r="C238" s="147">
        <f t="shared" si="106"/>
        <v>184.51600000000002</v>
      </c>
      <c r="D238" s="131">
        <f t="shared" si="106"/>
        <v>361.67700000000002</v>
      </c>
      <c r="E238" s="130">
        <f t="shared" si="106"/>
        <v>0.01</v>
      </c>
      <c r="F238" s="147">
        <f t="shared" si="106"/>
        <v>198.601</v>
      </c>
      <c r="G238" s="147">
        <f t="shared" si="106"/>
        <v>170.68600000000001</v>
      </c>
      <c r="H238" s="131">
        <f t="shared" si="106"/>
        <v>369.29699999999997</v>
      </c>
      <c r="I238" s="147">
        <f t="shared" si="106"/>
        <v>2.6000000000000002E-2</v>
      </c>
      <c r="J238" s="147">
        <f t="shared" si="106"/>
        <v>375.74599999999998</v>
      </c>
      <c r="K238" s="147">
        <f t="shared" si="106"/>
        <v>355.202</v>
      </c>
      <c r="L238" s="148">
        <f t="shared" si="106"/>
        <v>730.97399999999993</v>
      </c>
      <c r="M238" s="132"/>
      <c r="N238" s="133" t="s">
        <v>48</v>
      </c>
      <c r="O238" s="136">
        <v>2019</v>
      </c>
    </row>
    <row r="239" spans="1:15" s="70" customFormat="1" ht="13.5" hidden="1" customHeight="1" x14ac:dyDescent="0.2">
      <c r="A239" s="147">
        <v>0</v>
      </c>
      <c r="B239" s="147">
        <v>64.361000000000004</v>
      </c>
      <c r="C239" s="147">
        <v>63.572000000000003</v>
      </c>
      <c r="D239" s="131">
        <f>SUM(A239:C239)</f>
        <v>127.93300000000001</v>
      </c>
      <c r="E239" s="130">
        <v>0</v>
      </c>
      <c r="F239" s="147">
        <v>70.162000000000006</v>
      </c>
      <c r="G239" s="147">
        <v>63.744</v>
      </c>
      <c r="H239" s="131">
        <f>SUM(E239:G239)</f>
        <v>133.90600000000001</v>
      </c>
      <c r="I239" s="147">
        <f>A239+E239</f>
        <v>0</v>
      </c>
      <c r="J239" s="147">
        <f t="shared" ref="J239:L241" si="107">B239+F239</f>
        <v>134.52300000000002</v>
      </c>
      <c r="K239" s="147">
        <f t="shared" si="107"/>
        <v>127.316</v>
      </c>
      <c r="L239" s="148">
        <f t="shared" si="107"/>
        <v>261.839</v>
      </c>
      <c r="M239" s="132"/>
      <c r="N239" s="133" t="s">
        <v>79</v>
      </c>
      <c r="O239" s="136"/>
    </row>
    <row r="240" spans="1:15" s="70" customFormat="1" ht="13.5" hidden="1" customHeight="1" x14ac:dyDescent="0.2">
      <c r="A240" s="147">
        <v>0</v>
      </c>
      <c r="B240" s="147">
        <v>65.756</v>
      </c>
      <c r="C240" s="147">
        <v>62.807000000000002</v>
      </c>
      <c r="D240" s="131">
        <f>SUM(A240:C240)</f>
        <v>128.56299999999999</v>
      </c>
      <c r="E240" s="130">
        <v>0</v>
      </c>
      <c r="F240" s="147">
        <v>63.801000000000002</v>
      </c>
      <c r="G240" s="147">
        <v>55.323999999999998</v>
      </c>
      <c r="H240" s="131">
        <f>SUM(E240:G240)</f>
        <v>119.125</v>
      </c>
      <c r="I240" s="147">
        <f>A240+E240</f>
        <v>0</v>
      </c>
      <c r="J240" s="147">
        <f>B240+F240</f>
        <v>129.55700000000002</v>
      </c>
      <c r="K240" s="147">
        <f>C240+G240</f>
        <v>118.131</v>
      </c>
      <c r="L240" s="148">
        <f t="shared" si="107"/>
        <v>247.68799999999999</v>
      </c>
      <c r="M240" s="132"/>
      <c r="N240" s="133" t="s">
        <v>80</v>
      </c>
      <c r="O240" s="136"/>
    </row>
    <row r="241" spans="1:15" s="70" customFormat="1" ht="13.5" hidden="1" customHeight="1" x14ac:dyDescent="0.2">
      <c r="A241" s="147">
        <v>4.0000000000000001E-3</v>
      </c>
      <c r="B241" s="147">
        <v>71.225999999999999</v>
      </c>
      <c r="C241" s="147">
        <v>58.88</v>
      </c>
      <c r="D241" s="131">
        <f>SUM(A241:C241)</f>
        <v>130.11000000000001</v>
      </c>
      <c r="E241" s="130">
        <v>1E-3</v>
      </c>
      <c r="F241" s="147">
        <v>67.667000000000002</v>
      </c>
      <c r="G241" s="147">
        <v>53.146999999999998</v>
      </c>
      <c r="H241" s="131">
        <f>SUM(E241:G241)</f>
        <v>120.815</v>
      </c>
      <c r="I241" s="147">
        <f>A241+E241</f>
        <v>5.0000000000000001E-3</v>
      </c>
      <c r="J241" s="147">
        <f>B241+F241</f>
        <v>138.893</v>
      </c>
      <c r="K241" s="147">
        <f>C241+G241</f>
        <v>112.027</v>
      </c>
      <c r="L241" s="148">
        <f t="shared" si="107"/>
        <v>250.92500000000001</v>
      </c>
      <c r="M241" s="132"/>
      <c r="N241" s="133" t="s">
        <v>81</v>
      </c>
      <c r="O241" s="136"/>
    </row>
    <row r="242" spans="1:15" s="70" customFormat="1" ht="13.5" customHeight="1" x14ac:dyDescent="0.2">
      <c r="A242" s="147">
        <f t="shared" ref="A242:K242" si="108">SUM(A239:A241)</f>
        <v>4.0000000000000001E-3</v>
      </c>
      <c r="B242" s="147">
        <f t="shared" si="108"/>
        <v>201.34300000000002</v>
      </c>
      <c r="C242" s="147">
        <f t="shared" si="108"/>
        <v>185.25900000000001</v>
      </c>
      <c r="D242" s="131">
        <f t="shared" si="108"/>
        <v>386.60599999999999</v>
      </c>
      <c r="E242" s="130">
        <f t="shared" si="108"/>
        <v>1E-3</v>
      </c>
      <c r="F242" s="147">
        <f t="shared" si="108"/>
        <v>201.63000000000002</v>
      </c>
      <c r="G242" s="147">
        <f t="shared" si="108"/>
        <v>172.215</v>
      </c>
      <c r="H242" s="131">
        <f t="shared" si="108"/>
        <v>373.846</v>
      </c>
      <c r="I242" s="147">
        <f t="shared" si="108"/>
        <v>5.0000000000000001E-3</v>
      </c>
      <c r="J242" s="147">
        <f t="shared" si="108"/>
        <v>402.97300000000007</v>
      </c>
      <c r="K242" s="147">
        <f t="shared" si="108"/>
        <v>357.47399999999999</v>
      </c>
      <c r="L242" s="148">
        <f>SUM(L239:L241)</f>
        <v>760.452</v>
      </c>
      <c r="M242" s="132"/>
      <c r="N242" s="133" t="s">
        <v>49</v>
      </c>
      <c r="O242" s="136"/>
    </row>
    <row r="243" spans="1:15" s="70" customFormat="1" ht="13.5" hidden="1" customHeight="1" x14ac:dyDescent="0.2">
      <c r="A243" s="147">
        <v>3.7999999999999999E-2</v>
      </c>
      <c r="B243" s="147">
        <v>73.661000000000001</v>
      </c>
      <c r="C243" s="147">
        <v>61.716000000000001</v>
      </c>
      <c r="D243" s="131">
        <f>SUM(A243:C243)</f>
        <v>135.41499999999999</v>
      </c>
      <c r="E243" s="130">
        <v>0</v>
      </c>
      <c r="F243" s="147">
        <v>75.906999999999996</v>
      </c>
      <c r="G243" s="147">
        <v>54.548999999999999</v>
      </c>
      <c r="H243" s="131">
        <f>SUM(E243:G243)</f>
        <v>130.45599999999999</v>
      </c>
      <c r="I243" s="147">
        <f>A243+E243</f>
        <v>3.7999999999999999E-2</v>
      </c>
      <c r="J243" s="147">
        <f t="shared" ref="J243:L245" si="109">B243+F243</f>
        <v>149.56799999999998</v>
      </c>
      <c r="K243" s="147">
        <f t="shared" si="109"/>
        <v>116.265</v>
      </c>
      <c r="L243" s="148">
        <f t="shared" si="109"/>
        <v>265.87099999999998</v>
      </c>
      <c r="M243" s="132"/>
      <c r="N243" s="133" t="s">
        <v>83</v>
      </c>
      <c r="O243" s="136"/>
    </row>
    <row r="244" spans="1:15" s="70" customFormat="1" ht="13.5" hidden="1" customHeight="1" x14ac:dyDescent="0.2">
      <c r="A244" s="147">
        <v>5.0000000000000001E-3</v>
      </c>
      <c r="B244" s="147">
        <v>63.075000000000003</v>
      </c>
      <c r="C244" s="147">
        <v>55.524999999999999</v>
      </c>
      <c r="D244" s="131">
        <f>SUM(A244:C244)</f>
        <v>118.605</v>
      </c>
      <c r="E244" s="130">
        <v>0</v>
      </c>
      <c r="F244" s="147">
        <v>69.165000000000006</v>
      </c>
      <c r="G244" s="147">
        <v>48.481000000000002</v>
      </c>
      <c r="H244" s="131">
        <f>SUM(E244:G244)</f>
        <v>117.64600000000002</v>
      </c>
      <c r="I244" s="147">
        <f>A244+E244</f>
        <v>5.0000000000000001E-3</v>
      </c>
      <c r="J244" s="147">
        <f t="shared" si="109"/>
        <v>132.24</v>
      </c>
      <c r="K244" s="147">
        <f t="shared" si="109"/>
        <v>104.006</v>
      </c>
      <c r="L244" s="148">
        <f>D244+H244</f>
        <v>236.25100000000003</v>
      </c>
      <c r="M244" s="132"/>
      <c r="N244" s="133" t="s">
        <v>84</v>
      </c>
      <c r="O244" s="136"/>
    </row>
    <row r="245" spans="1:15" s="70" customFormat="1" ht="13.5" hidden="1" customHeight="1" x14ac:dyDescent="0.2">
      <c r="A245" s="147">
        <v>0.01</v>
      </c>
      <c r="B245" s="147">
        <v>61.344000000000001</v>
      </c>
      <c r="C245" s="147">
        <v>53.636000000000003</v>
      </c>
      <c r="D245" s="131">
        <f>SUM(A245:C245)</f>
        <v>114.99000000000001</v>
      </c>
      <c r="E245" s="130">
        <v>0</v>
      </c>
      <c r="F245" s="147">
        <v>66.394000000000005</v>
      </c>
      <c r="G245" s="147">
        <v>48.811999999999998</v>
      </c>
      <c r="H245" s="131">
        <f>SUM(E245:G245)</f>
        <v>115.206</v>
      </c>
      <c r="I245" s="147">
        <f>A245+E245</f>
        <v>0.01</v>
      </c>
      <c r="J245" s="147">
        <f t="shared" si="109"/>
        <v>127.738</v>
      </c>
      <c r="K245" s="147">
        <f t="shared" si="109"/>
        <v>102.44800000000001</v>
      </c>
      <c r="L245" s="148">
        <f>D245+H245</f>
        <v>230.19600000000003</v>
      </c>
      <c r="M245" s="132"/>
      <c r="N245" s="133" t="s">
        <v>85</v>
      </c>
      <c r="O245" s="136"/>
    </row>
    <row r="246" spans="1:15" s="70" customFormat="1" ht="13.5" customHeight="1" x14ac:dyDescent="0.2">
      <c r="A246" s="147">
        <f t="shared" ref="A246:L246" si="110">SUM(A243:A245)</f>
        <v>5.2999999999999999E-2</v>
      </c>
      <c r="B246" s="147">
        <f t="shared" si="110"/>
        <v>198.07999999999998</v>
      </c>
      <c r="C246" s="147">
        <f t="shared" si="110"/>
        <v>170.87700000000001</v>
      </c>
      <c r="D246" s="131">
        <f t="shared" si="110"/>
        <v>369.01</v>
      </c>
      <c r="E246" s="130">
        <f t="shared" si="110"/>
        <v>0</v>
      </c>
      <c r="F246" s="147">
        <f t="shared" si="110"/>
        <v>211.46600000000001</v>
      </c>
      <c r="G246" s="147">
        <f t="shared" si="110"/>
        <v>151.84199999999998</v>
      </c>
      <c r="H246" s="131">
        <f t="shared" si="110"/>
        <v>363.30799999999999</v>
      </c>
      <c r="I246" s="147">
        <f t="shared" si="110"/>
        <v>5.2999999999999999E-2</v>
      </c>
      <c r="J246" s="147">
        <f t="shared" si="110"/>
        <v>409.54599999999999</v>
      </c>
      <c r="K246" s="147">
        <f t="shared" si="110"/>
        <v>322.71900000000005</v>
      </c>
      <c r="L246" s="148">
        <f t="shared" si="110"/>
        <v>732.31799999999998</v>
      </c>
      <c r="M246" s="132"/>
      <c r="N246" s="133" t="s">
        <v>50</v>
      </c>
      <c r="O246" s="136"/>
    </row>
    <row r="247" spans="1:15" s="70" customFormat="1" ht="13.5" hidden="1" customHeight="1" x14ac:dyDescent="0.2">
      <c r="A247" s="147">
        <v>3.1E-2</v>
      </c>
      <c r="B247" s="147">
        <v>46.289000000000001</v>
      </c>
      <c r="C247" s="147">
        <v>57.716000000000001</v>
      </c>
      <c r="D247" s="131">
        <f>SUM(A247:C247)</f>
        <v>104.036</v>
      </c>
      <c r="E247" s="130">
        <v>4.2999999999999997E-2</v>
      </c>
      <c r="F247" s="147">
        <v>66.853999999999999</v>
      </c>
      <c r="G247" s="147">
        <v>57.908000000000001</v>
      </c>
      <c r="H247" s="131">
        <f>SUM(E247:G247)</f>
        <v>124.80500000000001</v>
      </c>
      <c r="I247" s="147">
        <f>A247+E247</f>
        <v>7.3999999999999996E-2</v>
      </c>
      <c r="J247" s="147">
        <f t="shared" ref="J247:L249" si="111">B247+F247</f>
        <v>113.143</v>
      </c>
      <c r="K247" s="147">
        <f t="shared" si="111"/>
        <v>115.624</v>
      </c>
      <c r="L247" s="148">
        <f t="shared" si="111"/>
        <v>228.84100000000001</v>
      </c>
      <c r="M247" s="132"/>
      <c r="N247" s="133" t="s">
        <v>87</v>
      </c>
      <c r="O247" s="136"/>
    </row>
    <row r="248" spans="1:15" s="70" customFormat="1" ht="13.5" hidden="1" customHeight="1" x14ac:dyDescent="0.2">
      <c r="A248" s="147">
        <v>4.0000000000000001E-3</v>
      </c>
      <c r="B248" s="147">
        <v>60.158000000000001</v>
      </c>
      <c r="C248" s="147">
        <v>61.162999999999997</v>
      </c>
      <c r="D248" s="131">
        <f>SUM(A248:C248)</f>
        <v>121.32499999999999</v>
      </c>
      <c r="E248" s="130">
        <v>0</v>
      </c>
      <c r="F248" s="147">
        <v>58.95</v>
      </c>
      <c r="G248" s="147">
        <v>51.55</v>
      </c>
      <c r="H248" s="131">
        <f>SUM(E248:G248)</f>
        <v>110.5</v>
      </c>
      <c r="I248" s="147">
        <f>A248+E248</f>
        <v>4.0000000000000001E-3</v>
      </c>
      <c r="J248" s="147">
        <f t="shared" si="111"/>
        <v>119.108</v>
      </c>
      <c r="K248" s="147">
        <f t="shared" si="111"/>
        <v>112.71299999999999</v>
      </c>
      <c r="L248" s="148">
        <f t="shared" si="111"/>
        <v>231.82499999999999</v>
      </c>
      <c r="M248" s="132"/>
      <c r="N248" s="133" t="s">
        <v>88</v>
      </c>
      <c r="O248" s="136"/>
    </row>
    <row r="249" spans="1:15" s="70" customFormat="1" ht="13.5" hidden="1" customHeight="1" x14ac:dyDescent="0.2">
      <c r="A249" s="147">
        <v>8.9999999999999993E-3</v>
      </c>
      <c r="B249" s="147">
        <v>48.923999999999999</v>
      </c>
      <c r="C249" s="147">
        <v>58.817999999999998</v>
      </c>
      <c r="D249" s="131">
        <f>SUM(A249:C249)</f>
        <v>107.751</v>
      </c>
      <c r="E249" s="130">
        <v>0</v>
      </c>
      <c r="F249" s="147">
        <v>68.156000000000006</v>
      </c>
      <c r="G249" s="147">
        <v>56.604999999999997</v>
      </c>
      <c r="H249" s="131">
        <f>SUM(E249:G249)</f>
        <v>124.761</v>
      </c>
      <c r="I249" s="147">
        <f>A249+E249</f>
        <v>8.9999999999999993E-3</v>
      </c>
      <c r="J249" s="147">
        <f t="shared" si="111"/>
        <v>117.08000000000001</v>
      </c>
      <c r="K249" s="147">
        <f t="shared" si="111"/>
        <v>115.423</v>
      </c>
      <c r="L249" s="148">
        <f t="shared" si="111"/>
        <v>232.512</v>
      </c>
      <c r="M249" s="132"/>
      <c r="N249" s="133" t="s">
        <v>89</v>
      </c>
      <c r="O249" s="136"/>
    </row>
    <row r="250" spans="1:15" s="70" customFormat="1" ht="13.5" customHeight="1" x14ac:dyDescent="0.2">
      <c r="A250" s="147">
        <f t="shared" ref="A250:L250" si="112">SUM(A247:A249)</f>
        <v>4.4000000000000004E-2</v>
      </c>
      <c r="B250" s="147">
        <f t="shared" si="112"/>
        <v>155.37100000000001</v>
      </c>
      <c r="C250" s="147">
        <f t="shared" si="112"/>
        <v>177.697</v>
      </c>
      <c r="D250" s="131">
        <f t="shared" si="112"/>
        <v>333.11199999999997</v>
      </c>
      <c r="E250" s="130">
        <f t="shared" si="112"/>
        <v>4.2999999999999997E-2</v>
      </c>
      <c r="F250" s="147">
        <f t="shared" si="112"/>
        <v>193.96</v>
      </c>
      <c r="G250" s="147">
        <f t="shared" si="112"/>
        <v>166.06299999999999</v>
      </c>
      <c r="H250" s="131">
        <f t="shared" si="112"/>
        <v>360.06600000000003</v>
      </c>
      <c r="I250" s="147">
        <f t="shared" si="112"/>
        <v>8.6999999999999994E-2</v>
      </c>
      <c r="J250" s="147">
        <f t="shared" si="112"/>
        <v>349.33100000000002</v>
      </c>
      <c r="K250" s="147">
        <f t="shared" si="112"/>
        <v>343.76</v>
      </c>
      <c r="L250" s="148">
        <f t="shared" si="112"/>
        <v>693.178</v>
      </c>
      <c r="M250" s="132"/>
      <c r="N250" s="133" t="s">
        <v>51</v>
      </c>
      <c r="O250" s="136"/>
    </row>
    <row r="251" spans="1:15" s="70" customFormat="1" ht="9" customHeight="1" x14ac:dyDescent="0.2">
      <c r="A251" s="147"/>
      <c r="B251" s="147"/>
      <c r="C251" s="147"/>
      <c r="D251" s="131"/>
      <c r="E251" s="130"/>
      <c r="F251" s="147"/>
      <c r="G251" s="147"/>
      <c r="H251" s="131"/>
      <c r="I251" s="147"/>
      <c r="J251" s="147"/>
      <c r="K251" s="147"/>
      <c r="L251" s="148"/>
      <c r="M251" s="132"/>
      <c r="N251" s="133"/>
      <c r="O251" s="136"/>
    </row>
    <row r="252" spans="1:15" s="70" customFormat="1" ht="13.5" hidden="1" customHeight="1" x14ac:dyDescent="0.25">
      <c r="A252" s="144">
        <v>7.3999999999999996E-2</v>
      </c>
      <c r="B252" s="144">
        <v>52.523000000000003</v>
      </c>
      <c r="C252" s="144">
        <v>65.418000000000006</v>
      </c>
      <c r="D252" s="120">
        <f>SUM(A252:C252)</f>
        <v>118.01500000000001</v>
      </c>
      <c r="E252" s="119">
        <v>0</v>
      </c>
      <c r="F252" s="144">
        <v>65.933999999999997</v>
      </c>
      <c r="G252" s="144">
        <v>58.588999999999999</v>
      </c>
      <c r="H252" s="120">
        <f>SUM(E252:G252)</f>
        <v>124.523</v>
      </c>
      <c r="I252" s="144">
        <f>A252+E252</f>
        <v>7.3999999999999996E-2</v>
      </c>
      <c r="J252" s="144">
        <f t="shared" ref="J252:L254" si="113">B252+F252</f>
        <v>118.45699999999999</v>
      </c>
      <c r="K252" s="144">
        <f t="shared" si="113"/>
        <v>124.00700000000001</v>
      </c>
      <c r="L252" s="145">
        <f t="shared" si="113"/>
        <v>242.53800000000001</v>
      </c>
      <c r="M252" s="121"/>
      <c r="N252" s="122" t="s">
        <v>75</v>
      </c>
      <c r="O252" s="123">
        <v>2020</v>
      </c>
    </row>
    <row r="253" spans="1:15" s="70" customFormat="1" ht="13.5" hidden="1" customHeight="1" x14ac:dyDescent="0.25">
      <c r="A253" s="144">
        <v>3.5999999999999997E-2</v>
      </c>
      <c r="B253" s="144">
        <v>61.026000000000003</v>
      </c>
      <c r="C253" s="144">
        <v>61.725000000000001</v>
      </c>
      <c r="D253" s="120">
        <f t="shared" ref="D253:D258" si="114">SUM(A253:C253)</f>
        <v>122.78700000000001</v>
      </c>
      <c r="E253" s="119">
        <v>3.0000000000000001E-3</v>
      </c>
      <c r="F253" s="144">
        <v>64.768000000000001</v>
      </c>
      <c r="G253" s="144">
        <v>58.822000000000003</v>
      </c>
      <c r="H253" s="120">
        <f t="shared" ref="H253:H258" si="115">SUM(E253:G253)</f>
        <v>123.593</v>
      </c>
      <c r="I253" s="144">
        <f t="shared" ref="I253:I254" si="116">A253+E253</f>
        <v>3.9E-2</v>
      </c>
      <c r="J253" s="144">
        <f t="shared" si="113"/>
        <v>125.79400000000001</v>
      </c>
      <c r="K253" s="144">
        <f>C253+G253</f>
        <v>120.547</v>
      </c>
      <c r="L253" s="145">
        <f>D253+H253</f>
        <v>246.38</v>
      </c>
      <c r="M253" s="121"/>
      <c r="N253" s="122" t="s">
        <v>76</v>
      </c>
      <c r="O253" s="123"/>
    </row>
    <row r="254" spans="1:15" s="70" customFormat="1" ht="13.5" hidden="1" customHeight="1" x14ac:dyDescent="0.25">
      <c r="A254" s="144">
        <v>0</v>
      </c>
      <c r="B254" s="144">
        <v>55.448</v>
      </c>
      <c r="C254" s="144">
        <v>63.98</v>
      </c>
      <c r="D254" s="120">
        <f t="shared" si="114"/>
        <v>119.428</v>
      </c>
      <c r="E254" s="119">
        <v>0</v>
      </c>
      <c r="F254" s="144">
        <v>63.726999999999997</v>
      </c>
      <c r="G254" s="144">
        <v>65.213999999999999</v>
      </c>
      <c r="H254" s="120">
        <f t="shared" si="115"/>
        <v>128.941</v>
      </c>
      <c r="I254" s="144">
        <f t="shared" si="116"/>
        <v>0</v>
      </c>
      <c r="J254" s="144">
        <f t="shared" si="113"/>
        <v>119.175</v>
      </c>
      <c r="K254" s="144">
        <f t="shared" si="113"/>
        <v>129.19399999999999</v>
      </c>
      <c r="L254" s="145">
        <f t="shared" si="113"/>
        <v>248.369</v>
      </c>
      <c r="M254" s="121"/>
      <c r="N254" s="122" t="s">
        <v>77</v>
      </c>
      <c r="O254" s="123"/>
    </row>
    <row r="255" spans="1:15" s="70" customFormat="1" ht="13.5" customHeight="1" x14ac:dyDescent="0.2">
      <c r="A255" s="147">
        <f t="shared" ref="A255:I255" si="117">SUM(A252:A254)</f>
        <v>0.10999999999999999</v>
      </c>
      <c r="B255" s="147">
        <f t="shared" si="117"/>
        <v>168.99700000000001</v>
      </c>
      <c r="C255" s="147">
        <f t="shared" si="117"/>
        <v>191.12299999999999</v>
      </c>
      <c r="D255" s="131">
        <f t="shared" si="117"/>
        <v>360.23</v>
      </c>
      <c r="E255" s="130">
        <f t="shared" si="117"/>
        <v>3.0000000000000001E-3</v>
      </c>
      <c r="F255" s="147">
        <f t="shared" si="117"/>
        <v>194.429</v>
      </c>
      <c r="G255" s="147">
        <f>SUM(G252:G254)</f>
        <v>182.625</v>
      </c>
      <c r="H255" s="131">
        <f t="shared" si="117"/>
        <v>377.05700000000002</v>
      </c>
      <c r="I255" s="147">
        <f t="shared" si="117"/>
        <v>0.11299999999999999</v>
      </c>
      <c r="J255" s="147">
        <f>SUM(J252:J254)</f>
        <v>363.42599999999999</v>
      </c>
      <c r="K255" s="147">
        <f>SUM(K252:K254)</f>
        <v>373.74799999999999</v>
      </c>
      <c r="L255" s="148">
        <f>SUM(L252:L254)</f>
        <v>737.28700000000003</v>
      </c>
      <c r="M255" s="132"/>
      <c r="N255" s="133" t="s">
        <v>48</v>
      </c>
      <c r="O255" s="136">
        <v>2020</v>
      </c>
    </row>
    <row r="256" spans="1:15" s="70" customFormat="1" ht="13.5" hidden="1" customHeight="1" x14ac:dyDescent="0.2">
      <c r="A256" s="147">
        <v>0</v>
      </c>
      <c r="B256" s="147">
        <v>52.378</v>
      </c>
      <c r="C256" s="147">
        <v>69.516999999999996</v>
      </c>
      <c r="D256" s="131">
        <f t="shared" si="114"/>
        <v>121.895</v>
      </c>
      <c r="E256" s="130">
        <v>0</v>
      </c>
      <c r="F256" s="147">
        <v>61.720999999999997</v>
      </c>
      <c r="G256" s="147">
        <v>63.12</v>
      </c>
      <c r="H256" s="131">
        <f t="shared" si="115"/>
        <v>124.84099999999999</v>
      </c>
      <c r="I256" s="147">
        <f t="shared" ref="I256:K258" si="118">A256+E256</f>
        <v>0</v>
      </c>
      <c r="J256" s="147">
        <f t="shared" si="118"/>
        <v>114.09899999999999</v>
      </c>
      <c r="K256" s="147">
        <f t="shared" si="118"/>
        <v>132.637</v>
      </c>
      <c r="L256" s="148">
        <f>D256+H256</f>
        <v>246.73599999999999</v>
      </c>
      <c r="M256" s="132"/>
      <c r="N256" s="133" t="s">
        <v>79</v>
      </c>
      <c r="O256" s="136"/>
    </row>
    <row r="257" spans="1:15" s="70" customFormat="1" ht="13.5" hidden="1" customHeight="1" x14ac:dyDescent="0.2">
      <c r="A257" s="147">
        <v>6.7000000000000004E-2</v>
      </c>
      <c r="B257" s="147">
        <v>63.49</v>
      </c>
      <c r="C257" s="147">
        <v>67.808999999999997</v>
      </c>
      <c r="D257" s="131">
        <f t="shared" si="114"/>
        <v>131.36599999999999</v>
      </c>
      <c r="E257" s="130">
        <v>0</v>
      </c>
      <c r="F257" s="147">
        <v>57.936</v>
      </c>
      <c r="G257" s="147">
        <v>53.183999999999997</v>
      </c>
      <c r="H257" s="131">
        <f t="shared" si="115"/>
        <v>111.12</v>
      </c>
      <c r="I257" s="147">
        <f t="shared" si="118"/>
        <v>6.7000000000000004E-2</v>
      </c>
      <c r="J257" s="147">
        <f t="shared" si="118"/>
        <v>121.426</v>
      </c>
      <c r="K257" s="147">
        <f t="shared" si="118"/>
        <v>120.99299999999999</v>
      </c>
      <c r="L257" s="148">
        <f>D257+H257</f>
        <v>242.48599999999999</v>
      </c>
      <c r="M257" s="132"/>
      <c r="N257" s="133" t="s">
        <v>80</v>
      </c>
      <c r="O257" s="136"/>
    </row>
    <row r="258" spans="1:15" s="70" customFormat="1" ht="13.5" hidden="1" customHeight="1" x14ac:dyDescent="0.2">
      <c r="A258" s="147">
        <v>4.3999999999999997E-2</v>
      </c>
      <c r="B258" s="147">
        <v>70.665000000000006</v>
      </c>
      <c r="C258" s="147">
        <v>57.316000000000003</v>
      </c>
      <c r="D258" s="131">
        <f t="shared" si="114"/>
        <v>128.02500000000001</v>
      </c>
      <c r="E258" s="130">
        <v>0</v>
      </c>
      <c r="F258" s="147">
        <v>65.817999999999998</v>
      </c>
      <c r="G258" s="147">
        <v>54.712000000000003</v>
      </c>
      <c r="H258" s="131">
        <f t="shared" si="115"/>
        <v>120.53</v>
      </c>
      <c r="I258" s="147">
        <f t="shared" si="118"/>
        <v>4.3999999999999997E-2</v>
      </c>
      <c r="J258" s="147">
        <f t="shared" si="118"/>
        <v>136.483</v>
      </c>
      <c r="K258" s="147">
        <f t="shared" si="118"/>
        <v>112.02800000000001</v>
      </c>
      <c r="L258" s="148">
        <f>D258+H258</f>
        <v>248.55500000000001</v>
      </c>
      <c r="M258" s="132"/>
      <c r="N258" s="133" t="s">
        <v>81</v>
      </c>
      <c r="O258" s="136"/>
    </row>
    <row r="259" spans="1:15" s="70" customFormat="1" ht="13.5" customHeight="1" x14ac:dyDescent="0.2">
      <c r="A259" s="147">
        <f t="shared" ref="A259:L259" si="119">SUM(A256:A258)</f>
        <v>0.111</v>
      </c>
      <c r="B259" s="147">
        <f t="shared" si="119"/>
        <v>186.53300000000002</v>
      </c>
      <c r="C259" s="147">
        <f t="shared" si="119"/>
        <v>194.642</v>
      </c>
      <c r="D259" s="131">
        <f t="shared" si="119"/>
        <v>381.28599999999994</v>
      </c>
      <c r="E259" s="130">
        <f t="shared" si="119"/>
        <v>0</v>
      </c>
      <c r="F259" s="147">
        <f t="shared" si="119"/>
        <v>185.47499999999999</v>
      </c>
      <c r="G259" s="147">
        <f t="shared" si="119"/>
        <v>171.01600000000002</v>
      </c>
      <c r="H259" s="131">
        <f t="shared" si="119"/>
        <v>356.49099999999999</v>
      </c>
      <c r="I259" s="147">
        <f t="shared" si="119"/>
        <v>0.111</v>
      </c>
      <c r="J259" s="147">
        <f t="shared" si="119"/>
        <v>372.00799999999998</v>
      </c>
      <c r="K259" s="147">
        <f t="shared" si="119"/>
        <v>365.65800000000002</v>
      </c>
      <c r="L259" s="148">
        <f t="shared" si="119"/>
        <v>737.77700000000004</v>
      </c>
      <c r="M259" s="132"/>
      <c r="N259" s="133" t="s">
        <v>49</v>
      </c>
      <c r="O259" s="136"/>
    </row>
    <row r="260" spans="1:15" s="70" customFormat="1" ht="13.5" hidden="1" customHeight="1" x14ac:dyDescent="0.2">
      <c r="A260" s="147">
        <v>0</v>
      </c>
      <c r="B260" s="147">
        <v>69.95</v>
      </c>
      <c r="C260" s="147">
        <v>62.595999999999997</v>
      </c>
      <c r="D260" s="131">
        <f>SUM(A260:C260)</f>
        <v>132.54599999999999</v>
      </c>
      <c r="E260" s="130">
        <v>3.0000000000000001E-3</v>
      </c>
      <c r="F260" s="147">
        <v>73.370999999999995</v>
      </c>
      <c r="G260" s="147">
        <v>61.960999999999999</v>
      </c>
      <c r="H260" s="131">
        <f>SUM(E260:G260)</f>
        <v>135.33499999999998</v>
      </c>
      <c r="I260" s="147">
        <f>A260+E260</f>
        <v>3.0000000000000001E-3</v>
      </c>
      <c r="J260" s="147">
        <f t="shared" ref="J260:L262" si="120">B260+F260</f>
        <v>143.321</v>
      </c>
      <c r="K260" s="147">
        <f t="shared" si="120"/>
        <v>124.55699999999999</v>
      </c>
      <c r="L260" s="148">
        <f t="shared" si="120"/>
        <v>267.88099999999997</v>
      </c>
      <c r="M260" s="132"/>
      <c r="N260" s="133" t="s">
        <v>83</v>
      </c>
      <c r="O260" s="136"/>
    </row>
    <row r="261" spans="1:15" s="70" customFormat="1" ht="13.5" hidden="1" customHeight="1" x14ac:dyDescent="0.2">
      <c r="A261" s="130">
        <v>4.0000000000000001E-3</v>
      </c>
      <c r="B261" s="147">
        <v>72.710999999999999</v>
      </c>
      <c r="C261" s="147">
        <v>59.926000000000002</v>
      </c>
      <c r="D261" s="131">
        <f>SUM(A261:C261)</f>
        <v>132.64100000000002</v>
      </c>
      <c r="E261" s="130">
        <v>4.0000000000000001E-3</v>
      </c>
      <c r="F261" s="147">
        <v>72.641999999999996</v>
      </c>
      <c r="G261" s="147">
        <v>53.850999999999999</v>
      </c>
      <c r="H261" s="131">
        <f>SUM(E261:G261)</f>
        <v>126.497</v>
      </c>
      <c r="I261" s="147">
        <f>A261+E261</f>
        <v>8.0000000000000002E-3</v>
      </c>
      <c r="J261" s="147">
        <f t="shared" si="120"/>
        <v>145.35300000000001</v>
      </c>
      <c r="K261" s="147">
        <f>C261+G261</f>
        <v>113.777</v>
      </c>
      <c r="L261" s="148">
        <f t="shared" si="120"/>
        <v>259.13800000000003</v>
      </c>
      <c r="M261" s="132"/>
      <c r="N261" s="133" t="s">
        <v>84</v>
      </c>
      <c r="O261" s="136"/>
    </row>
    <row r="262" spans="1:15" s="70" customFormat="1" ht="13.5" hidden="1" customHeight="1" x14ac:dyDescent="0.2">
      <c r="A262" s="130">
        <v>6.7000000000000004E-2</v>
      </c>
      <c r="B262" s="147">
        <v>66.849999999999994</v>
      </c>
      <c r="C262" s="147">
        <v>57.801000000000002</v>
      </c>
      <c r="D262" s="131">
        <f>SUM(A262:C262)</f>
        <v>124.71799999999999</v>
      </c>
      <c r="E262" s="130">
        <v>3.0000000000000001E-3</v>
      </c>
      <c r="F262" s="147">
        <v>69.234999999999999</v>
      </c>
      <c r="G262" s="147">
        <v>55.540999999999997</v>
      </c>
      <c r="H262" s="131">
        <f>SUM(E262:G262)</f>
        <v>124.779</v>
      </c>
      <c r="I262" s="147">
        <f>A262+E262</f>
        <v>7.0000000000000007E-2</v>
      </c>
      <c r="J262" s="147">
        <f t="shared" si="120"/>
        <v>136.08499999999998</v>
      </c>
      <c r="K262" s="147">
        <f>C262+G262</f>
        <v>113.342</v>
      </c>
      <c r="L262" s="148">
        <f t="shared" si="120"/>
        <v>249.49699999999999</v>
      </c>
      <c r="M262" s="132"/>
      <c r="N262" s="133" t="s">
        <v>85</v>
      </c>
      <c r="O262" s="136"/>
    </row>
    <row r="263" spans="1:15" s="70" customFormat="1" ht="13.5" customHeight="1" x14ac:dyDescent="0.2">
      <c r="A263" s="130">
        <f t="shared" ref="A263:K263" si="121">SUM(A260:A262)</f>
        <v>7.1000000000000008E-2</v>
      </c>
      <c r="B263" s="147">
        <f t="shared" si="121"/>
        <v>209.511</v>
      </c>
      <c r="C263" s="147">
        <f t="shared" si="121"/>
        <v>180.32299999999998</v>
      </c>
      <c r="D263" s="131">
        <f t="shared" si="121"/>
        <v>389.90499999999997</v>
      </c>
      <c r="E263" s="130">
        <f>SUM(E260:E262)</f>
        <v>0.01</v>
      </c>
      <c r="F263" s="147">
        <f t="shared" si="121"/>
        <v>215.24799999999999</v>
      </c>
      <c r="G263" s="147">
        <f t="shared" si="121"/>
        <v>171.35300000000001</v>
      </c>
      <c r="H263" s="131">
        <f t="shared" si="121"/>
        <v>386.61099999999999</v>
      </c>
      <c r="I263" s="147">
        <f t="shared" si="121"/>
        <v>8.1000000000000003E-2</v>
      </c>
      <c r="J263" s="147">
        <f t="shared" si="121"/>
        <v>424.75899999999996</v>
      </c>
      <c r="K263" s="147">
        <f t="shared" si="121"/>
        <v>351.67599999999999</v>
      </c>
      <c r="L263" s="148">
        <f>SUM(L260:L262)</f>
        <v>776.51599999999996</v>
      </c>
      <c r="M263" s="132"/>
      <c r="N263" s="133" t="s">
        <v>50</v>
      </c>
      <c r="O263" s="136"/>
    </row>
    <row r="264" spans="1:15" s="70" customFormat="1" ht="13.5" hidden="1" customHeight="1" x14ac:dyDescent="0.2">
      <c r="A264" s="130">
        <v>1.4E-2</v>
      </c>
      <c r="B264" s="147">
        <v>64.631</v>
      </c>
      <c r="C264" s="147">
        <v>70.613</v>
      </c>
      <c r="D264" s="131">
        <f>SUM(A264:C264)</f>
        <v>135.25799999999998</v>
      </c>
      <c r="E264" s="130">
        <v>1E-3</v>
      </c>
      <c r="F264" s="147">
        <v>79.977000000000004</v>
      </c>
      <c r="G264" s="147">
        <v>62.360999999999997</v>
      </c>
      <c r="H264" s="131">
        <f>SUM(E264:G264)</f>
        <v>142.339</v>
      </c>
      <c r="I264" s="147">
        <f>A264+E264</f>
        <v>1.4999999999999999E-2</v>
      </c>
      <c r="J264" s="147">
        <f t="shared" ref="J264:L266" si="122">B264+F264</f>
        <v>144.608</v>
      </c>
      <c r="K264" s="147">
        <f t="shared" si="122"/>
        <v>132.97399999999999</v>
      </c>
      <c r="L264" s="148">
        <f t="shared" si="122"/>
        <v>277.59699999999998</v>
      </c>
      <c r="M264" s="132"/>
      <c r="N264" s="133" t="s">
        <v>87</v>
      </c>
      <c r="O264" s="136"/>
    </row>
    <row r="265" spans="1:15" s="70" customFormat="1" ht="13.5" hidden="1" customHeight="1" x14ac:dyDescent="0.2">
      <c r="A265" s="130">
        <v>0</v>
      </c>
      <c r="B265" s="147">
        <v>68.852999999999994</v>
      </c>
      <c r="C265" s="147">
        <v>65.474999999999994</v>
      </c>
      <c r="D265" s="131">
        <f>SUM(A265:C265)</f>
        <v>134.32799999999997</v>
      </c>
      <c r="E265" s="130">
        <v>0</v>
      </c>
      <c r="F265" s="147">
        <v>69.22</v>
      </c>
      <c r="G265" s="147">
        <v>59.932000000000002</v>
      </c>
      <c r="H265" s="131">
        <f>SUM(E265:G265)</f>
        <v>129.15199999999999</v>
      </c>
      <c r="I265" s="147">
        <f>A265+E265</f>
        <v>0</v>
      </c>
      <c r="J265" s="147">
        <f t="shared" si="122"/>
        <v>138.07299999999998</v>
      </c>
      <c r="K265" s="147">
        <f t="shared" si="122"/>
        <v>125.407</v>
      </c>
      <c r="L265" s="148">
        <f t="shared" si="122"/>
        <v>263.47999999999996</v>
      </c>
      <c r="M265" s="132"/>
      <c r="N265" s="133" t="s">
        <v>88</v>
      </c>
      <c r="O265" s="136"/>
    </row>
    <row r="266" spans="1:15" s="70" customFormat="1" ht="13.5" hidden="1" customHeight="1" x14ac:dyDescent="0.2">
      <c r="A266" s="130">
        <v>5.0999999999999997E-2</v>
      </c>
      <c r="B266" s="147">
        <v>68.629000000000005</v>
      </c>
      <c r="C266" s="147">
        <v>51.948999999999998</v>
      </c>
      <c r="D266" s="131">
        <f>SUM(A266:C266)</f>
        <v>120.629</v>
      </c>
      <c r="E266" s="130">
        <v>6.0000000000000001E-3</v>
      </c>
      <c r="F266" s="147">
        <v>72.995999999999995</v>
      </c>
      <c r="G266" s="147">
        <v>63.021999999999998</v>
      </c>
      <c r="H266" s="131">
        <f>SUM(E266:G266)</f>
        <v>136.024</v>
      </c>
      <c r="I266" s="147">
        <f>A266+E266</f>
        <v>5.6999999999999995E-2</v>
      </c>
      <c r="J266" s="147">
        <f t="shared" si="122"/>
        <v>141.625</v>
      </c>
      <c r="K266" s="147">
        <f t="shared" si="122"/>
        <v>114.971</v>
      </c>
      <c r="L266" s="148">
        <f t="shared" si="122"/>
        <v>256.65300000000002</v>
      </c>
      <c r="M266" s="132"/>
      <c r="N266" s="133" t="s">
        <v>89</v>
      </c>
      <c r="O266" s="136"/>
    </row>
    <row r="267" spans="1:15" s="70" customFormat="1" ht="13.5" customHeight="1" x14ac:dyDescent="0.2">
      <c r="A267" s="130">
        <f t="shared" ref="A267:L267" si="123">SUM(A264:A266)</f>
        <v>6.5000000000000002E-2</v>
      </c>
      <c r="B267" s="147">
        <f t="shared" si="123"/>
        <v>202.113</v>
      </c>
      <c r="C267" s="147">
        <f t="shared" si="123"/>
        <v>188.03699999999998</v>
      </c>
      <c r="D267" s="131">
        <f t="shared" si="123"/>
        <v>390.21499999999997</v>
      </c>
      <c r="E267" s="130">
        <f t="shared" si="123"/>
        <v>7.0000000000000001E-3</v>
      </c>
      <c r="F267" s="147">
        <f t="shared" si="123"/>
        <v>222.19299999999998</v>
      </c>
      <c r="G267" s="147">
        <f t="shared" si="123"/>
        <v>185.315</v>
      </c>
      <c r="H267" s="131">
        <f t="shared" si="123"/>
        <v>407.51499999999999</v>
      </c>
      <c r="I267" s="147">
        <f t="shared" si="123"/>
        <v>7.1999999999999995E-2</v>
      </c>
      <c r="J267" s="147">
        <f t="shared" si="123"/>
        <v>424.30599999999998</v>
      </c>
      <c r="K267" s="147">
        <f t="shared" si="123"/>
        <v>373.35199999999998</v>
      </c>
      <c r="L267" s="148">
        <f t="shared" si="123"/>
        <v>797.73</v>
      </c>
      <c r="M267" s="132"/>
      <c r="N267" s="133" t="s">
        <v>51</v>
      </c>
      <c r="O267" s="136"/>
    </row>
    <row r="268" spans="1:15" s="70" customFormat="1" ht="9.75" customHeight="1" x14ac:dyDescent="0.2">
      <c r="A268" s="130"/>
      <c r="B268" s="147"/>
      <c r="C268" s="147"/>
      <c r="D268" s="131"/>
      <c r="E268" s="130"/>
      <c r="F268" s="147"/>
      <c r="G268" s="147"/>
      <c r="H268" s="131"/>
      <c r="I268" s="147"/>
      <c r="J268" s="147"/>
      <c r="K268" s="147"/>
      <c r="L268" s="148"/>
      <c r="M268" s="132"/>
      <c r="N268" s="133"/>
      <c r="O268" s="136"/>
    </row>
    <row r="269" spans="1:15" s="70" customFormat="1" ht="13.5" hidden="1" customHeight="1" x14ac:dyDescent="0.25">
      <c r="A269" s="119">
        <v>0</v>
      </c>
      <c r="B269" s="144">
        <v>60.795000000000002</v>
      </c>
      <c r="C269" s="144">
        <v>67.363</v>
      </c>
      <c r="D269" s="120">
        <f>SUM(A269:C269)</f>
        <v>128.15800000000002</v>
      </c>
      <c r="E269" s="119">
        <v>0</v>
      </c>
      <c r="F269" s="144">
        <v>72.602000000000004</v>
      </c>
      <c r="G269" s="144">
        <v>59.768999999999998</v>
      </c>
      <c r="H269" s="120">
        <f>SUM(E269:G269)</f>
        <v>132.37100000000001</v>
      </c>
      <c r="I269" s="144">
        <f>A269+E269</f>
        <v>0</v>
      </c>
      <c r="J269" s="144">
        <f t="shared" ref="J269:L271" si="124">B269+F269</f>
        <v>133.39699999999999</v>
      </c>
      <c r="K269" s="144">
        <f t="shared" si="124"/>
        <v>127.13200000000001</v>
      </c>
      <c r="L269" s="145">
        <f t="shared" si="124"/>
        <v>260.529</v>
      </c>
      <c r="M269" s="121"/>
      <c r="N269" s="122" t="s">
        <v>75</v>
      </c>
      <c r="O269" s="123">
        <v>2021</v>
      </c>
    </row>
    <row r="270" spans="1:15" s="70" customFormat="1" ht="13.5" hidden="1" customHeight="1" x14ac:dyDescent="0.25">
      <c r="A270" s="119">
        <v>0.05</v>
      </c>
      <c r="B270" s="144">
        <v>49.610999999999997</v>
      </c>
      <c r="C270" s="144">
        <v>63.902000000000001</v>
      </c>
      <c r="D270" s="120">
        <f>SUM(A270:C270)</f>
        <v>113.56299999999999</v>
      </c>
      <c r="E270" s="119">
        <v>0</v>
      </c>
      <c r="F270" s="144">
        <v>69.712000000000003</v>
      </c>
      <c r="G270" s="144">
        <v>59.026000000000003</v>
      </c>
      <c r="H270" s="120">
        <f>SUM(E270:G270)</f>
        <v>128.738</v>
      </c>
      <c r="I270" s="144">
        <f>A270+E270</f>
        <v>0.05</v>
      </c>
      <c r="J270" s="144">
        <f t="shared" si="124"/>
        <v>119.32300000000001</v>
      </c>
      <c r="K270" s="144">
        <f t="shared" si="124"/>
        <v>122.928</v>
      </c>
      <c r="L270" s="145">
        <f t="shared" si="124"/>
        <v>242.30099999999999</v>
      </c>
      <c r="M270" s="121"/>
      <c r="N270" s="122" t="s">
        <v>76</v>
      </c>
      <c r="O270" s="123"/>
    </row>
    <row r="271" spans="1:15" s="70" customFormat="1" ht="13.5" hidden="1" customHeight="1" x14ac:dyDescent="0.25">
      <c r="A271" s="119">
        <v>0.01</v>
      </c>
      <c r="B271" s="144">
        <v>57.981000000000002</v>
      </c>
      <c r="C271" s="144">
        <v>61.792000000000002</v>
      </c>
      <c r="D271" s="120">
        <f>SUM(A271:C271)</f>
        <v>119.783</v>
      </c>
      <c r="E271" s="119">
        <v>0</v>
      </c>
      <c r="F271" s="144">
        <v>78.849999999999994</v>
      </c>
      <c r="G271" s="144">
        <v>64.481999999999999</v>
      </c>
      <c r="H271" s="120">
        <f>SUM(E271:G271)</f>
        <v>143.33199999999999</v>
      </c>
      <c r="I271" s="144">
        <f>A271+E271</f>
        <v>0.01</v>
      </c>
      <c r="J271" s="144">
        <f t="shared" si="124"/>
        <v>136.83099999999999</v>
      </c>
      <c r="K271" s="144">
        <f t="shared" si="124"/>
        <v>126.274</v>
      </c>
      <c r="L271" s="145">
        <f t="shared" si="124"/>
        <v>263.11500000000001</v>
      </c>
      <c r="M271" s="121"/>
      <c r="N271" s="122" t="s">
        <v>77</v>
      </c>
      <c r="O271" s="123"/>
    </row>
    <row r="272" spans="1:15" s="70" customFormat="1" ht="13.5" customHeight="1" x14ac:dyDescent="0.25">
      <c r="A272" s="119">
        <f t="shared" ref="A272:L272" si="125">SUM(A269:A271)</f>
        <v>6.0000000000000005E-2</v>
      </c>
      <c r="B272" s="144">
        <f t="shared" si="125"/>
        <v>168.387</v>
      </c>
      <c r="C272" s="144">
        <f t="shared" si="125"/>
        <v>193.05699999999999</v>
      </c>
      <c r="D272" s="120">
        <f t="shared" si="125"/>
        <v>361.50400000000002</v>
      </c>
      <c r="E272" s="119">
        <f>SUM(E269:E271)</f>
        <v>0</v>
      </c>
      <c r="F272" s="144">
        <f t="shared" si="125"/>
        <v>221.16400000000002</v>
      </c>
      <c r="G272" s="144">
        <f t="shared" si="125"/>
        <v>183.27699999999999</v>
      </c>
      <c r="H272" s="120">
        <f t="shared" si="125"/>
        <v>404.44100000000003</v>
      </c>
      <c r="I272" s="144">
        <f t="shared" si="125"/>
        <v>6.0000000000000005E-2</v>
      </c>
      <c r="J272" s="144">
        <f t="shared" si="125"/>
        <v>389.55099999999999</v>
      </c>
      <c r="K272" s="144">
        <f t="shared" si="125"/>
        <v>376.334</v>
      </c>
      <c r="L272" s="145">
        <f t="shared" si="125"/>
        <v>765.94499999999994</v>
      </c>
      <c r="M272" s="121"/>
      <c r="N272" s="122" t="s">
        <v>48</v>
      </c>
      <c r="O272" s="123">
        <v>2021</v>
      </c>
    </row>
    <row r="273" spans="1:15" s="70" customFormat="1" ht="13.5" hidden="1" customHeight="1" x14ac:dyDescent="0.25">
      <c r="A273" s="119">
        <v>1.0999999999999999E-2</v>
      </c>
      <c r="B273" s="144">
        <v>59.168999999999997</v>
      </c>
      <c r="C273" s="144">
        <v>52.558</v>
      </c>
      <c r="D273" s="120">
        <f>SUM(A273:C273)</f>
        <v>111.738</v>
      </c>
      <c r="E273" s="119">
        <v>3.0000000000000001E-3</v>
      </c>
      <c r="F273" s="144">
        <v>71.775999999999996</v>
      </c>
      <c r="G273" s="144">
        <v>69.326999999999998</v>
      </c>
      <c r="H273" s="120">
        <f>SUM(E273:G273)</f>
        <v>141.10599999999999</v>
      </c>
      <c r="I273" s="144">
        <f>A273+E273</f>
        <v>1.3999999999999999E-2</v>
      </c>
      <c r="J273" s="144">
        <f t="shared" ref="J273:L275" si="126">B273+F273</f>
        <v>130.94499999999999</v>
      </c>
      <c r="K273" s="144">
        <f t="shared" si="126"/>
        <v>121.88499999999999</v>
      </c>
      <c r="L273" s="145">
        <f t="shared" si="126"/>
        <v>252.84399999999999</v>
      </c>
      <c r="M273" s="121"/>
      <c r="N273" s="122" t="s">
        <v>79</v>
      </c>
      <c r="O273" s="123"/>
    </row>
    <row r="274" spans="1:15" s="70" customFormat="1" ht="13.5" hidden="1" customHeight="1" x14ac:dyDescent="0.25">
      <c r="A274" s="119">
        <v>5.0000000000000001E-3</v>
      </c>
      <c r="B274" s="144">
        <v>68.807000000000002</v>
      </c>
      <c r="C274" s="144">
        <v>72.644999999999996</v>
      </c>
      <c r="D274" s="120">
        <f>SUM(A274:C274)</f>
        <v>141.45699999999999</v>
      </c>
      <c r="E274" s="119">
        <v>0</v>
      </c>
      <c r="F274" s="144">
        <v>71.138999999999996</v>
      </c>
      <c r="G274" s="144">
        <v>61.366</v>
      </c>
      <c r="H274" s="120">
        <f>SUM(E274:G274)</f>
        <v>132.505</v>
      </c>
      <c r="I274" s="144">
        <f>A274+E274</f>
        <v>5.0000000000000001E-3</v>
      </c>
      <c r="J274" s="144">
        <f t="shared" si="126"/>
        <v>139.946</v>
      </c>
      <c r="K274" s="144">
        <f t="shared" si="126"/>
        <v>134.011</v>
      </c>
      <c r="L274" s="145">
        <f t="shared" si="126"/>
        <v>273.96199999999999</v>
      </c>
      <c r="M274" s="121"/>
      <c r="N274" s="122" t="s">
        <v>80</v>
      </c>
      <c r="O274" s="123"/>
    </row>
    <row r="275" spans="1:15" s="70" customFormat="1" ht="13.5" hidden="1" customHeight="1" x14ac:dyDescent="0.25">
      <c r="A275" s="119">
        <v>2E-3</v>
      </c>
      <c r="B275" s="144">
        <v>71.234999999999999</v>
      </c>
      <c r="C275" s="144">
        <v>65.003</v>
      </c>
      <c r="D275" s="120">
        <f>SUM(A275:C275)</f>
        <v>136.24</v>
      </c>
      <c r="E275" s="119">
        <v>0</v>
      </c>
      <c r="F275" s="144">
        <v>74.677999999999997</v>
      </c>
      <c r="G275" s="144">
        <v>65.123999999999995</v>
      </c>
      <c r="H275" s="120">
        <f>SUM(E275:G275)</f>
        <v>139.80199999999999</v>
      </c>
      <c r="I275" s="144">
        <f>A275+E275</f>
        <v>2E-3</v>
      </c>
      <c r="J275" s="144">
        <f t="shared" si="126"/>
        <v>145.91300000000001</v>
      </c>
      <c r="K275" s="144">
        <f t="shared" si="126"/>
        <v>130.12700000000001</v>
      </c>
      <c r="L275" s="145">
        <f t="shared" si="126"/>
        <v>276.04200000000003</v>
      </c>
      <c r="M275" s="121"/>
      <c r="N275" s="122" t="s">
        <v>81</v>
      </c>
      <c r="O275" s="123"/>
    </row>
    <row r="276" spans="1:15" s="70" customFormat="1" ht="13.5" customHeight="1" x14ac:dyDescent="0.25">
      <c r="A276" s="119">
        <f t="shared" ref="A276:L276" si="127">SUM(A273:A275)</f>
        <v>1.8000000000000002E-2</v>
      </c>
      <c r="B276" s="144">
        <f t="shared" si="127"/>
        <v>199.21100000000001</v>
      </c>
      <c r="C276" s="144">
        <f t="shared" si="127"/>
        <v>190.20600000000002</v>
      </c>
      <c r="D276" s="120">
        <f t="shared" si="127"/>
        <v>389.435</v>
      </c>
      <c r="E276" s="119">
        <f t="shared" si="127"/>
        <v>3.0000000000000001E-3</v>
      </c>
      <c r="F276" s="144">
        <f t="shared" si="127"/>
        <v>217.59299999999999</v>
      </c>
      <c r="G276" s="144">
        <f t="shared" si="127"/>
        <v>195.81699999999998</v>
      </c>
      <c r="H276" s="120">
        <f t="shared" si="127"/>
        <v>413.41300000000001</v>
      </c>
      <c r="I276" s="144">
        <f t="shared" si="127"/>
        <v>2.0999999999999998E-2</v>
      </c>
      <c r="J276" s="144">
        <f t="shared" si="127"/>
        <v>416.80399999999997</v>
      </c>
      <c r="K276" s="144">
        <f t="shared" si="127"/>
        <v>386.02300000000002</v>
      </c>
      <c r="L276" s="145">
        <f t="shared" si="127"/>
        <v>802.84800000000007</v>
      </c>
      <c r="M276" s="121"/>
      <c r="N276" s="122" t="s">
        <v>49</v>
      </c>
      <c r="O276" s="123"/>
    </row>
    <row r="277" spans="1:15" s="70" customFormat="1" ht="13.5" hidden="1" customHeight="1" x14ac:dyDescent="0.25">
      <c r="A277" s="119">
        <v>1.6E-2</v>
      </c>
      <c r="B277" s="144">
        <v>74.724000000000004</v>
      </c>
      <c r="C277" s="144">
        <v>56.972000000000001</v>
      </c>
      <c r="D277" s="120">
        <f>SUM(A277:C277)</f>
        <v>131.71200000000002</v>
      </c>
      <c r="E277" s="119">
        <v>0</v>
      </c>
      <c r="F277" s="144">
        <v>75.787999999999997</v>
      </c>
      <c r="G277" s="144">
        <v>61.640999999999998</v>
      </c>
      <c r="H277" s="120">
        <f>SUM(E277:G277)</f>
        <v>137.429</v>
      </c>
      <c r="I277" s="144">
        <f>A277+E277</f>
        <v>1.6E-2</v>
      </c>
      <c r="J277" s="144">
        <f t="shared" ref="J277:L279" si="128">B277+F277</f>
        <v>150.512</v>
      </c>
      <c r="K277" s="144">
        <f t="shared" si="128"/>
        <v>118.613</v>
      </c>
      <c r="L277" s="145">
        <f t="shared" si="128"/>
        <v>269.14100000000002</v>
      </c>
      <c r="M277" s="121"/>
      <c r="N277" s="122" t="s">
        <v>83</v>
      </c>
      <c r="O277" s="123"/>
    </row>
    <row r="278" spans="1:15" s="70" customFormat="1" ht="13.5" hidden="1" customHeight="1" x14ac:dyDescent="0.25">
      <c r="A278" s="119">
        <v>2.5999999999999999E-2</v>
      </c>
      <c r="B278" s="144">
        <v>77.846000000000004</v>
      </c>
      <c r="C278" s="144">
        <v>66.897000000000006</v>
      </c>
      <c r="D278" s="120">
        <f>SUM(A278:C278)</f>
        <v>144.76900000000001</v>
      </c>
      <c r="E278" s="119">
        <v>0</v>
      </c>
      <c r="F278" s="144">
        <v>74.84</v>
      </c>
      <c r="G278" s="144">
        <v>58.603000000000002</v>
      </c>
      <c r="H278" s="120">
        <f>SUM(E278:G278)</f>
        <v>133.44300000000001</v>
      </c>
      <c r="I278" s="144">
        <f>A278+E278</f>
        <v>2.5999999999999999E-2</v>
      </c>
      <c r="J278" s="144">
        <f t="shared" si="128"/>
        <v>152.68600000000001</v>
      </c>
      <c r="K278" s="144">
        <f t="shared" si="128"/>
        <v>125.5</v>
      </c>
      <c r="L278" s="145">
        <f t="shared" si="128"/>
        <v>278.21199999999999</v>
      </c>
      <c r="M278" s="121"/>
      <c r="N278" s="122" t="s">
        <v>84</v>
      </c>
      <c r="O278" s="123"/>
    </row>
    <row r="279" spans="1:15" s="70" customFormat="1" ht="13.5" hidden="1" customHeight="1" x14ac:dyDescent="0.25">
      <c r="A279" s="119">
        <v>0</v>
      </c>
      <c r="B279" s="144">
        <v>42.155999999999999</v>
      </c>
      <c r="C279" s="144">
        <v>52.55</v>
      </c>
      <c r="D279" s="120">
        <f>SUM(A279:C279)</f>
        <v>94.705999999999989</v>
      </c>
      <c r="E279" s="119">
        <v>1E-3</v>
      </c>
      <c r="F279" s="144">
        <v>63.203000000000003</v>
      </c>
      <c r="G279" s="144">
        <v>52.701000000000001</v>
      </c>
      <c r="H279" s="120">
        <f>SUM(E279:G279)</f>
        <v>115.905</v>
      </c>
      <c r="I279" s="144">
        <f>A279+E279</f>
        <v>1E-3</v>
      </c>
      <c r="J279" s="144">
        <f t="shared" si="128"/>
        <v>105.35900000000001</v>
      </c>
      <c r="K279" s="144">
        <f t="shared" si="128"/>
        <v>105.251</v>
      </c>
      <c r="L279" s="145">
        <f t="shared" si="128"/>
        <v>210.61099999999999</v>
      </c>
      <c r="M279" s="121"/>
      <c r="N279" s="122" t="s">
        <v>85</v>
      </c>
      <c r="O279" s="123"/>
    </row>
    <row r="280" spans="1:15" s="70" customFormat="1" ht="13.5" customHeight="1" x14ac:dyDescent="0.25">
      <c r="A280" s="119">
        <f t="shared" ref="A280:J280" si="129">SUM(A277:A279)</f>
        <v>4.1999999999999996E-2</v>
      </c>
      <c r="B280" s="144">
        <f t="shared" si="129"/>
        <v>194.726</v>
      </c>
      <c r="C280" s="144">
        <f t="shared" si="129"/>
        <v>176.41899999999998</v>
      </c>
      <c r="D280" s="120">
        <f t="shared" si="129"/>
        <v>371.18700000000001</v>
      </c>
      <c r="E280" s="119">
        <f t="shared" si="129"/>
        <v>1E-3</v>
      </c>
      <c r="F280" s="144">
        <f t="shared" si="129"/>
        <v>213.83099999999999</v>
      </c>
      <c r="G280" s="144">
        <f t="shared" si="129"/>
        <v>172.94499999999999</v>
      </c>
      <c r="H280" s="120">
        <f t="shared" si="129"/>
        <v>386.77700000000004</v>
      </c>
      <c r="I280" s="144">
        <f t="shared" si="129"/>
        <v>4.2999999999999997E-2</v>
      </c>
      <c r="J280" s="144">
        <f t="shared" si="129"/>
        <v>408.55700000000002</v>
      </c>
      <c r="K280" s="144">
        <f>SUM(K277:K279)</f>
        <v>349.36400000000003</v>
      </c>
      <c r="L280" s="145">
        <f>SUM(L277:L279)</f>
        <v>757.96400000000006</v>
      </c>
      <c r="M280" s="121"/>
      <c r="N280" s="122" t="s">
        <v>50</v>
      </c>
      <c r="O280" s="123"/>
    </row>
    <row r="281" spans="1:15" s="70" customFormat="1" ht="13.5" hidden="1" customHeight="1" x14ac:dyDescent="0.25">
      <c r="A281" s="119">
        <v>0.04</v>
      </c>
      <c r="B281" s="144">
        <v>67.478999999999999</v>
      </c>
      <c r="C281" s="144">
        <v>60.847000000000001</v>
      </c>
      <c r="D281" s="120">
        <f>SUM(A281:C281)</f>
        <v>128.36600000000001</v>
      </c>
      <c r="E281" s="119">
        <v>5.0000000000000001E-3</v>
      </c>
      <c r="F281" s="144">
        <v>69.144999999999996</v>
      </c>
      <c r="G281" s="144">
        <v>60.24</v>
      </c>
      <c r="H281" s="120">
        <f>SUM(E281:G281)</f>
        <v>129.38999999999999</v>
      </c>
      <c r="I281" s="144">
        <f>A281+E281</f>
        <v>4.4999999999999998E-2</v>
      </c>
      <c r="J281" s="144">
        <f t="shared" ref="J281:L282" si="130">B281+F281</f>
        <v>136.624</v>
      </c>
      <c r="K281" s="144">
        <f t="shared" si="130"/>
        <v>121.087</v>
      </c>
      <c r="L281" s="145">
        <f t="shared" si="130"/>
        <v>257.75599999999997</v>
      </c>
      <c r="M281" s="121"/>
      <c r="N281" s="122" t="s">
        <v>87</v>
      </c>
      <c r="O281" s="123"/>
    </row>
    <row r="282" spans="1:15" s="70" customFormat="1" ht="13.5" hidden="1" customHeight="1" x14ac:dyDescent="0.25">
      <c r="A282" s="119">
        <v>6.4000000000000001E-2</v>
      </c>
      <c r="B282" s="144">
        <v>70.409000000000006</v>
      </c>
      <c r="C282" s="144">
        <v>59.945</v>
      </c>
      <c r="D282" s="120">
        <f>SUM(A282:C282)</f>
        <v>130.41800000000001</v>
      </c>
      <c r="E282" s="119">
        <v>9.7000000000000003E-2</v>
      </c>
      <c r="F282" s="144">
        <v>68.998999999999995</v>
      </c>
      <c r="G282" s="144">
        <v>53.052</v>
      </c>
      <c r="H282" s="120">
        <f>SUM(E282:G282)</f>
        <v>122.148</v>
      </c>
      <c r="I282" s="144">
        <f>A282+E282</f>
        <v>0.161</v>
      </c>
      <c r="J282" s="144">
        <f t="shared" si="130"/>
        <v>139.40800000000002</v>
      </c>
      <c r="K282" s="144">
        <f t="shared" si="130"/>
        <v>112.997</v>
      </c>
      <c r="L282" s="145">
        <f t="shared" si="130"/>
        <v>252.566</v>
      </c>
      <c r="M282" s="121"/>
      <c r="N282" s="122" t="s">
        <v>88</v>
      </c>
      <c r="O282" s="123"/>
    </row>
    <row r="283" spans="1:15" s="70" customFormat="1" ht="13.5" hidden="1" customHeight="1" x14ac:dyDescent="0.25">
      <c r="A283" s="119">
        <v>0.09</v>
      </c>
      <c r="B283" s="144">
        <v>51.069000000000003</v>
      </c>
      <c r="C283" s="144">
        <v>56.161999999999999</v>
      </c>
      <c r="D283" s="120">
        <f>SUM(A283:C283)</f>
        <v>107.321</v>
      </c>
      <c r="E283" s="119"/>
      <c r="F283" s="144">
        <v>70.376999999999995</v>
      </c>
      <c r="G283" s="144">
        <v>61.252000000000002</v>
      </c>
      <c r="H283" s="120">
        <f>SUM(E283:G283)</f>
        <v>131.62899999999999</v>
      </c>
      <c r="I283" s="144">
        <f>A283+E283</f>
        <v>0.09</v>
      </c>
      <c r="J283" s="144">
        <f>B283+F283</f>
        <v>121.446</v>
      </c>
      <c r="K283" s="144">
        <f>C283+G283</f>
        <v>117.414</v>
      </c>
      <c r="L283" s="145">
        <f>D283+H283</f>
        <v>238.95</v>
      </c>
      <c r="M283" s="121"/>
      <c r="N283" s="122" t="s">
        <v>89</v>
      </c>
      <c r="O283" s="123"/>
    </row>
    <row r="284" spans="1:15" s="70" customFormat="1" ht="13.5" customHeight="1" x14ac:dyDescent="0.25">
      <c r="A284" s="119">
        <f t="shared" ref="A284:I284" si="131">SUM(A281:A283)</f>
        <v>0.19400000000000001</v>
      </c>
      <c r="B284" s="144">
        <f t="shared" si="131"/>
        <v>188.95699999999999</v>
      </c>
      <c r="C284" s="144">
        <f t="shared" si="131"/>
        <v>176.95400000000001</v>
      </c>
      <c r="D284" s="120">
        <f t="shared" si="131"/>
        <v>366.10500000000002</v>
      </c>
      <c r="E284" s="119">
        <f t="shared" si="131"/>
        <v>0.10200000000000001</v>
      </c>
      <c r="F284" s="144">
        <f t="shared" si="131"/>
        <v>208.52100000000002</v>
      </c>
      <c r="G284" s="144">
        <f t="shared" si="131"/>
        <v>174.54400000000001</v>
      </c>
      <c r="H284" s="120">
        <f t="shared" si="131"/>
        <v>383.16699999999997</v>
      </c>
      <c r="I284" s="144">
        <f t="shared" si="131"/>
        <v>0.29600000000000004</v>
      </c>
      <c r="J284" s="144">
        <f>SUM(J281:J283)</f>
        <v>397.47800000000007</v>
      </c>
      <c r="K284" s="144">
        <f>SUM(K281:K283)</f>
        <v>351.49799999999999</v>
      </c>
      <c r="L284" s="145">
        <f>SUM(L281:L283)</f>
        <v>749.27199999999993</v>
      </c>
      <c r="M284" s="121"/>
      <c r="N284" s="122" t="s">
        <v>51</v>
      </c>
      <c r="O284" s="123"/>
    </row>
    <row r="285" spans="1:15" s="70" customFormat="1" ht="14.25" customHeight="1" x14ac:dyDescent="0.25">
      <c r="A285" s="137"/>
      <c r="B285" s="138"/>
      <c r="C285" s="138"/>
      <c r="D285" s="139"/>
      <c r="E285" s="138"/>
      <c r="F285" s="138"/>
      <c r="G285" s="138"/>
      <c r="H285" s="139"/>
      <c r="I285" s="140"/>
      <c r="J285" s="138"/>
      <c r="K285" s="140"/>
      <c r="L285" s="141"/>
      <c r="M285" s="142"/>
      <c r="N285" s="134"/>
      <c r="O285" s="135"/>
    </row>
    <row r="286" spans="1:15" s="70" customFormat="1" ht="12.75" x14ac:dyDescent="0.2">
      <c r="A286" s="152"/>
      <c r="B286" s="119"/>
      <c r="C286" s="119"/>
      <c r="D286" s="115"/>
      <c r="E286" s="151"/>
      <c r="F286" s="119"/>
      <c r="G286" s="119"/>
      <c r="H286" s="115"/>
      <c r="I286" s="115"/>
      <c r="J286" s="115"/>
      <c r="K286" s="115"/>
      <c r="L286" s="115"/>
      <c r="M286" s="115"/>
      <c r="O286" s="77" t="s">
        <v>39</v>
      </c>
    </row>
    <row r="287" spans="1:15" x14ac:dyDescent="0.2">
      <c r="A287" s="124"/>
      <c r="B287" s="124"/>
      <c r="C287" s="124"/>
      <c r="D287" s="124"/>
      <c r="E287" s="124"/>
      <c r="F287" s="124"/>
      <c r="G287" s="124"/>
      <c r="H287" s="124"/>
      <c r="I287" s="151"/>
      <c r="J287" s="151"/>
      <c r="K287" s="151"/>
      <c r="L287" s="119"/>
    </row>
    <row r="288" spans="1:15" x14ac:dyDescent="0.2">
      <c r="B288" s="117"/>
      <c r="D288" s="117"/>
      <c r="O288" s="77"/>
    </row>
    <row r="289" spans="2:10" x14ac:dyDescent="0.2">
      <c r="J289" s="117"/>
    </row>
    <row r="290" spans="2:10" x14ac:dyDescent="0.2">
      <c r="B290" s="116"/>
      <c r="D290" s="116"/>
      <c r="G290" s="116"/>
      <c r="J290" s="117"/>
    </row>
    <row r="291" spans="2:10" x14ac:dyDescent="0.2">
      <c r="J291" s="117"/>
    </row>
    <row r="292" spans="2:10" x14ac:dyDescent="0.2">
      <c r="J292" s="117"/>
    </row>
  </sheetData>
  <printOptions horizontalCentered="1" gridLinesSet="0"/>
  <pageMargins left="0.15748031496062992" right="0.47244094488188981" top="0.15748031496062992" bottom="0.15748031496062992" header="0.15748031496062992" footer="0.15748031496062992"/>
  <pageSetup paperSize="9" scale="83" fitToWidth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B419-B893-4F16-BB71-B07625803046}">
  <dimension ref="A1"/>
  <sheetViews>
    <sheetView rightToLeft="1" workbookViewId="0">
      <selection activeCell="J25" sqref="J2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3"/>
  <dimension ref="A4:K95"/>
  <sheetViews>
    <sheetView rightToLeft="1" zoomScale="115" zoomScaleNormal="115" workbookViewId="0">
      <pane ySplit="56" topLeftCell="A76" activePane="bottomLeft" state="frozen"/>
      <selection pane="bottomLeft" activeCell="G100" sqref="G100"/>
    </sheetView>
  </sheetViews>
  <sheetFormatPr defaultRowHeight="12.75" x14ac:dyDescent="0.2"/>
  <cols>
    <col min="1" max="1" width="10.5703125" bestFit="1" customWidth="1"/>
    <col min="4" max="5" width="11.5703125" customWidth="1"/>
    <col min="7" max="7" width="10.28515625" customWidth="1"/>
  </cols>
  <sheetData>
    <row r="4" spans="1:9" ht="24" x14ac:dyDescent="0.2">
      <c r="B4" s="127" t="s">
        <v>167</v>
      </c>
      <c r="C4" s="127" t="s">
        <v>169</v>
      </c>
      <c r="D4" s="128" t="s">
        <v>168</v>
      </c>
      <c r="E4" s="128" t="s">
        <v>170</v>
      </c>
      <c r="F4" s="127" t="s">
        <v>172</v>
      </c>
      <c r="G4" s="128" t="s">
        <v>112</v>
      </c>
    </row>
    <row r="5" spans="1:9" hidden="1" x14ac:dyDescent="0.2">
      <c r="A5" s="112" t="s">
        <v>59</v>
      </c>
      <c r="B5" s="109">
        <v>259.48399999999998</v>
      </c>
      <c r="C5" s="109"/>
      <c r="D5" s="110">
        <v>132.434</v>
      </c>
      <c r="E5" s="110"/>
      <c r="F5" s="109">
        <v>7.0970000000000004</v>
      </c>
      <c r="G5" s="109">
        <v>399.01499999999999</v>
      </c>
      <c r="H5" s="113"/>
      <c r="I5" s="113"/>
    </row>
    <row r="6" spans="1:9" hidden="1" x14ac:dyDescent="0.2">
      <c r="A6" s="112" t="s">
        <v>60</v>
      </c>
      <c r="B6" s="109">
        <v>285.339</v>
      </c>
      <c r="C6" s="109"/>
      <c r="D6" s="110">
        <v>142.827</v>
      </c>
      <c r="E6" s="110"/>
      <c r="F6" s="109">
        <v>6.4809999999999999</v>
      </c>
      <c r="G6" s="109">
        <v>434.64699999999999</v>
      </c>
    </row>
    <row r="7" spans="1:9" hidden="1" x14ac:dyDescent="0.2">
      <c r="A7" s="112" t="s">
        <v>61</v>
      </c>
      <c r="B7" s="109">
        <v>210.02099999999999</v>
      </c>
      <c r="C7" s="109"/>
      <c r="D7" s="110">
        <v>113.30200000000001</v>
      </c>
      <c r="E7" s="110"/>
      <c r="F7" s="109">
        <v>10.035</v>
      </c>
      <c r="G7" s="109">
        <v>333.358</v>
      </c>
    </row>
    <row r="8" spans="1:9" hidden="1" x14ac:dyDescent="0.2">
      <c r="A8" s="112" t="s">
        <v>62</v>
      </c>
      <c r="B8" s="109">
        <v>276.476</v>
      </c>
      <c r="C8" s="109"/>
      <c r="D8" s="110">
        <v>156.43700000000001</v>
      </c>
      <c r="E8" s="110"/>
      <c r="F8" s="109">
        <v>6.2380000000000004</v>
      </c>
      <c r="G8" s="109">
        <v>439.15100000000001</v>
      </c>
    </row>
    <row r="9" spans="1:9" hidden="1" x14ac:dyDescent="0.2">
      <c r="A9" s="112" t="s">
        <v>63</v>
      </c>
      <c r="B9" s="109">
        <v>252.25800000000001</v>
      </c>
      <c r="C9" s="109"/>
      <c r="D9" s="110">
        <v>154.59399999999999</v>
      </c>
      <c r="E9" s="110"/>
      <c r="F9" s="109">
        <v>4.0339999999999998</v>
      </c>
      <c r="G9" s="109">
        <v>410.88599999999997</v>
      </c>
      <c r="I9" s="113"/>
    </row>
    <row r="10" spans="1:9" hidden="1" x14ac:dyDescent="0.2">
      <c r="A10" s="112" t="s">
        <v>64</v>
      </c>
      <c r="B10" s="109">
        <v>292.24799999999999</v>
      </c>
      <c r="C10" s="109"/>
      <c r="D10" s="110">
        <v>154.524</v>
      </c>
      <c r="E10" s="110"/>
      <c r="F10" s="109">
        <v>5.2859999999999996</v>
      </c>
      <c r="G10" s="109">
        <v>452.05799999999999</v>
      </c>
    </row>
    <row r="11" spans="1:9" hidden="1" x14ac:dyDescent="0.2">
      <c r="A11" s="112" t="s">
        <v>65</v>
      </c>
      <c r="B11" s="109">
        <v>285.63200000000001</v>
      </c>
      <c r="C11" s="109"/>
      <c r="D11" s="110">
        <v>139.864</v>
      </c>
      <c r="E11" s="110"/>
      <c r="F11" s="109">
        <v>5.9420000000000002</v>
      </c>
      <c r="G11" s="109">
        <v>431.43799999999999</v>
      </c>
    </row>
    <row r="12" spans="1:9" hidden="1" x14ac:dyDescent="0.2">
      <c r="A12" s="112" t="s">
        <v>66</v>
      </c>
      <c r="B12" s="109">
        <v>277</v>
      </c>
      <c r="C12" s="109"/>
      <c r="D12" s="110">
        <v>137.25400000000002</v>
      </c>
      <c r="E12" s="110"/>
      <c r="F12" s="109">
        <v>5.3109999999999999</v>
      </c>
      <c r="G12" s="109">
        <v>419.565</v>
      </c>
      <c r="I12" s="113"/>
    </row>
    <row r="13" spans="1:9" hidden="1" x14ac:dyDescent="0.2">
      <c r="A13" s="112" t="s">
        <v>67</v>
      </c>
      <c r="B13" s="109">
        <v>298</v>
      </c>
      <c r="C13" s="109"/>
      <c r="D13" s="110">
        <v>160</v>
      </c>
      <c r="E13" s="110"/>
      <c r="F13" s="109">
        <v>5</v>
      </c>
      <c r="G13" s="109">
        <v>463</v>
      </c>
    </row>
    <row r="14" spans="1:9" hidden="1" x14ac:dyDescent="0.2">
      <c r="A14" s="112" t="s">
        <v>68</v>
      </c>
      <c r="B14" s="109">
        <v>293</v>
      </c>
      <c r="C14" s="109"/>
      <c r="D14" s="110">
        <v>168</v>
      </c>
      <c r="E14" s="110"/>
      <c r="F14" s="109">
        <v>7</v>
      </c>
      <c r="G14" s="109">
        <f t="shared" ref="G14:G19" si="0">SUM(B14:F14)</f>
        <v>468</v>
      </c>
    </row>
    <row r="15" spans="1:9" hidden="1" x14ac:dyDescent="0.2">
      <c r="A15" s="112" t="s">
        <v>69</v>
      </c>
      <c r="B15" s="109">
        <v>203</v>
      </c>
      <c r="C15" s="109"/>
      <c r="D15" s="109">
        <v>197</v>
      </c>
      <c r="E15" s="109"/>
      <c r="F15" s="109">
        <v>4</v>
      </c>
      <c r="G15" s="109">
        <f t="shared" si="0"/>
        <v>404</v>
      </c>
    </row>
    <row r="16" spans="1:9" hidden="1" x14ac:dyDescent="0.2">
      <c r="A16" s="112" t="s">
        <v>70</v>
      </c>
      <c r="B16" s="109">
        <v>259</v>
      </c>
      <c r="C16" s="109"/>
      <c r="D16" s="110">
        <v>169</v>
      </c>
      <c r="E16" s="110"/>
      <c r="F16" s="109">
        <v>6</v>
      </c>
      <c r="G16" s="109">
        <f t="shared" si="0"/>
        <v>434</v>
      </c>
    </row>
    <row r="17" spans="1:11" hidden="1" x14ac:dyDescent="0.2">
      <c r="A17" s="112" t="s">
        <v>71</v>
      </c>
      <c r="B17" s="109">
        <v>284.06299999999999</v>
      </c>
      <c r="C17" s="109"/>
      <c r="D17" s="110">
        <v>184.92500000000001</v>
      </c>
      <c r="E17" s="110"/>
      <c r="F17" s="109">
        <v>2.13</v>
      </c>
      <c r="G17" s="109">
        <f>SUM(B17:F17)</f>
        <v>471.11799999999999</v>
      </c>
    </row>
    <row r="18" spans="1:11" hidden="1" x14ac:dyDescent="0.2">
      <c r="A18" s="112" t="s">
        <v>72</v>
      </c>
      <c r="B18" s="109">
        <v>287.21900000000005</v>
      </c>
      <c r="C18" s="109"/>
      <c r="D18" s="110">
        <v>214.489</v>
      </c>
      <c r="E18" s="110"/>
      <c r="F18" s="109">
        <v>3.3940000000000001</v>
      </c>
      <c r="G18" s="109">
        <f t="shared" si="0"/>
        <v>505.10200000000009</v>
      </c>
    </row>
    <row r="19" spans="1:11" hidden="1" x14ac:dyDescent="0.2">
      <c r="A19" s="112" t="s">
        <v>73</v>
      </c>
      <c r="B19" s="109">
        <v>284.166</v>
      </c>
      <c r="C19" s="109"/>
      <c r="D19" s="109">
        <v>206.19399999999999</v>
      </c>
      <c r="E19" s="109"/>
      <c r="F19" s="110">
        <v>0.96699999999999997</v>
      </c>
      <c r="G19" s="109">
        <f t="shared" si="0"/>
        <v>491.327</v>
      </c>
    </row>
    <row r="20" spans="1:11" hidden="1" x14ac:dyDescent="0.2">
      <c r="A20" s="112" t="s">
        <v>74</v>
      </c>
      <c r="B20" s="109">
        <v>293.18</v>
      </c>
      <c r="C20" s="109"/>
      <c r="D20" s="109">
        <v>202.95500000000001</v>
      </c>
      <c r="E20" s="109"/>
      <c r="F20" s="109">
        <v>8.0000000000000002E-3</v>
      </c>
      <c r="G20" s="109">
        <f t="shared" ref="G20:G26" si="1">SUM(B20:F20)</f>
        <v>496.14299999999997</v>
      </c>
    </row>
    <row r="21" spans="1:11" hidden="1" x14ac:dyDescent="0.2">
      <c r="A21" s="112" t="s">
        <v>78</v>
      </c>
      <c r="B21" s="109">
        <v>341.53199999999998</v>
      </c>
      <c r="C21" s="109"/>
      <c r="D21" s="109">
        <v>202.95500000000001</v>
      </c>
      <c r="E21" s="109"/>
      <c r="F21" s="109">
        <v>8.0000000000000002E-3</v>
      </c>
      <c r="G21" s="109">
        <f t="shared" si="1"/>
        <v>544.495</v>
      </c>
    </row>
    <row r="22" spans="1:11" hidden="1" x14ac:dyDescent="0.2">
      <c r="A22" s="112" t="s">
        <v>82</v>
      </c>
      <c r="B22" s="109">
        <v>351.01299999999998</v>
      </c>
      <c r="C22" s="109"/>
      <c r="D22" s="110">
        <v>197.06700000000001</v>
      </c>
      <c r="E22" s="110"/>
      <c r="F22" s="110">
        <v>0</v>
      </c>
      <c r="G22" s="109">
        <f t="shared" si="1"/>
        <v>548.07999999999993</v>
      </c>
      <c r="H22" s="85"/>
      <c r="I22" s="84"/>
      <c r="J22" s="84"/>
      <c r="K22" s="114"/>
    </row>
    <row r="23" spans="1:11" hidden="1" x14ac:dyDescent="0.2">
      <c r="A23" s="112" t="s">
        <v>86</v>
      </c>
      <c r="B23" s="109">
        <v>280.32299999999998</v>
      </c>
      <c r="C23" s="109"/>
      <c r="D23" s="110">
        <v>194.381</v>
      </c>
      <c r="E23" s="110"/>
      <c r="F23" s="110">
        <v>3.0000000000000001E-3</v>
      </c>
      <c r="G23" s="109">
        <f t="shared" si="1"/>
        <v>474.70699999999994</v>
      </c>
    </row>
    <row r="24" spans="1:11" hidden="1" x14ac:dyDescent="0.2">
      <c r="A24" s="112" t="s">
        <v>90</v>
      </c>
      <c r="B24" s="109">
        <v>278.25</v>
      </c>
      <c r="C24" s="109"/>
      <c r="D24" s="110">
        <v>233.905</v>
      </c>
      <c r="E24" s="110"/>
      <c r="F24" s="110">
        <v>2.0089999999999999</v>
      </c>
      <c r="G24" s="109">
        <f t="shared" si="1"/>
        <v>514.16399999999999</v>
      </c>
    </row>
    <row r="25" spans="1:11" hidden="1" x14ac:dyDescent="0.2">
      <c r="A25" s="112" t="s">
        <v>91</v>
      </c>
      <c r="B25" s="109">
        <v>261.88</v>
      </c>
      <c r="C25" s="109"/>
      <c r="D25" s="109">
        <v>209.965</v>
      </c>
      <c r="E25" s="109"/>
      <c r="F25" s="109">
        <v>3.8090000000000002</v>
      </c>
      <c r="G25" s="109">
        <f t="shared" si="1"/>
        <v>475.65400000000005</v>
      </c>
    </row>
    <row r="26" spans="1:11" hidden="1" x14ac:dyDescent="0.2">
      <c r="A26" s="112" t="s">
        <v>92</v>
      </c>
      <c r="B26" s="109">
        <v>299.95100000000002</v>
      </c>
      <c r="C26" s="109"/>
      <c r="D26" s="109">
        <v>212.59800000000001</v>
      </c>
      <c r="E26" s="109"/>
      <c r="F26" s="110">
        <v>1</v>
      </c>
      <c r="G26" s="109">
        <f t="shared" si="1"/>
        <v>513.54899999999998</v>
      </c>
    </row>
    <row r="27" spans="1:11" hidden="1" x14ac:dyDescent="0.2">
      <c r="A27" s="112" t="s">
        <v>93</v>
      </c>
      <c r="B27" s="109">
        <v>281</v>
      </c>
      <c r="C27" s="109"/>
      <c r="D27" s="109">
        <v>229</v>
      </c>
      <c r="E27" s="109"/>
      <c r="F27" s="110">
        <v>0</v>
      </c>
      <c r="G27" s="109">
        <f t="shared" ref="G27:G32" si="2">SUM(B27:F27)</f>
        <v>510</v>
      </c>
    </row>
    <row r="28" spans="1:11" hidden="1" x14ac:dyDescent="0.2">
      <c r="A28" s="112" t="s">
        <v>94</v>
      </c>
      <c r="B28" s="109">
        <v>290.97500000000002</v>
      </c>
      <c r="C28" s="109"/>
      <c r="D28" s="109">
        <v>241.208</v>
      </c>
      <c r="E28" s="109"/>
      <c r="F28" s="110">
        <v>0</v>
      </c>
      <c r="G28" s="109">
        <f t="shared" si="2"/>
        <v>532.18299999999999</v>
      </c>
    </row>
    <row r="29" spans="1:11" hidden="1" x14ac:dyDescent="0.2">
      <c r="A29" s="112" t="s">
        <v>95</v>
      </c>
      <c r="B29" s="109">
        <v>297</v>
      </c>
      <c r="C29" s="109"/>
      <c r="D29" s="109">
        <v>260</v>
      </c>
      <c r="E29" s="109"/>
      <c r="F29" s="109">
        <v>0</v>
      </c>
      <c r="G29" s="109">
        <f t="shared" si="2"/>
        <v>557</v>
      </c>
    </row>
    <row r="30" spans="1:11" hidden="1" x14ac:dyDescent="0.2">
      <c r="A30" s="112" t="s">
        <v>96</v>
      </c>
      <c r="B30" s="109">
        <v>333.87</v>
      </c>
      <c r="C30" s="109"/>
      <c r="D30" s="109">
        <v>266.26099999999997</v>
      </c>
      <c r="E30" s="109"/>
      <c r="F30" s="109">
        <v>0</v>
      </c>
      <c r="G30" s="109">
        <f t="shared" si="2"/>
        <v>600.13099999999997</v>
      </c>
    </row>
    <row r="31" spans="1:11" hidden="1" x14ac:dyDescent="0.2">
      <c r="A31" s="112" t="s">
        <v>97</v>
      </c>
      <c r="B31" s="109">
        <v>334.911</v>
      </c>
      <c r="C31" s="109"/>
      <c r="D31" s="109">
        <v>232.57400000000001</v>
      </c>
      <c r="E31" s="109"/>
      <c r="F31" s="109">
        <v>0</v>
      </c>
      <c r="G31" s="109">
        <f t="shared" si="2"/>
        <v>567.48500000000001</v>
      </c>
    </row>
    <row r="32" spans="1:11" hidden="1" x14ac:dyDescent="0.2">
      <c r="A32" s="112" t="s">
        <v>98</v>
      </c>
      <c r="B32" s="109">
        <v>300.35699999999997</v>
      </c>
      <c r="C32" s="109"/>
      <c r="D32" s="109">
        <v>258.58699999999999</v>
      </c>
      <c r="E32" s="109"/>
      <c r="F32" s="109">
        <v>0</v>
      </c>
      <c r="G32" s="109">
        <f t="shared" si="2"/>
        <v>558.94399999999996</v>
      </c>
    </row>
    <row r="33" spans="1:7" hidden="1" x14ac:dyDescent="0.2">
      <c r="A33" s="112" t="s">
        <v>99</v>
      </c>
      <c r="B33" s="109">
        <v>301.98900000000003</v>
      </c>
      <c r="C33" s="109"/>
      <c r="D33" s="109">
        <v>297.28699999999998</v>
      </c>
      <c r="E33" s="109"/>
      <c r="F33" s="109">
        <v>0</v>
      </c>
      <c r="G33" s="109">
        <f t="shared" ref="G33:G38" si="3">SUM(B33:F33)</f>
        <v>599.27600000000007</v>
      </c>
    </row>
    <row r="34" spans="1:7" hidden="1" x14ac:dyDescent="0.2">
      <c r="A34" s="112" t="s">
        <v>100</v>
      </c>
      <c r="B34" s="109">
        <v>338.32400000000001</v>
      </c>
      <c r="C34" s="109"/>
      <c r="D34" s="109">
        <v>302.40699999999998</v>
      </c>
      <c r="E34" s="109"/>
      <c r="F34" s="109">
        <v>0</v>
      </c>
      <c r="G34" s="109">
        <f t="shared" si="3"/>
        <v>640.73099999999999</v>
      </c>
    </row>
    <row r="35" spans="1:7" hidden="1" x14ac:dyDescent="0.2">
      <c r="A35" s="112" t="s">
        <v>101</v>
      </c>
      <c r="B35" s="109">
        <v>305.00800000000004</v>
      </c>
      <c r="C35" s="109"/>
      <c r="D35" s="109">
        <v>287.11900000000003</v>
      </c>
      <c r="E35" s="109"/>
      <c r="F35" s="109">
        <v>0</v>
      </c>
      <c r="G35" s="109">
        <f t="shared" si="3"/>
        <v>592.12700000000007</v>
      </c>
    </row>
    <row r="36" spans="1:7" hidden="1" x14ac:dyDescent="0.2">
      <c r="A36" s="112" t="s">
        <v>102</v>
      </c>
      <c r="B36" s="109">
        <v>290.27099999999996</v>
      </c>
      <c r="C36" s="109"/>
      <c r="D36" s="109">
        <v>273.29000000000002</v>
      </c>
      <c r="E36" s="109"/>
      <c r="F36" s="109">
        <v>0</v>
      </c>
      <c r="G36" s="109">
        <f t="shared" si="3"/>
        <v>563.56099999999992</v>
      </c>
    </row>
    <row r="37" spans="1:7" hidden="1" x14ac:dyDescent="0.2">
      <c r="A37" s="112" t="s">
        <v>103</v>
      </c>
      <c r="B37" s="109">
        <v>357.52700000000004</v>
      </c>
      <c r="C37" s="109"/>
      <c r="D37" s="109">
        <v>287.995</v>
      </c>
      <c r="E37" s="109"/>
      <c r="F37" s="109">
        <v>0</v>
      </c>
      <c r="G37" s="109">
        <f t="shared" si="3"/>
        <v>645.52200000000005</v>
      </c>
    </row>
    <row r="38" spans="1:7" hidden="1" x14ac:dyDescent="0.2">
      <c r="A38" s="112" t="s">
        <v>104</v>
      </c>
      <c r="B38" s="109">
        <v>362</v>
      </c>
      <c r="C38" s="109"/>
      <c r="D38" s="109">
        <v>318</v>
      </c>
      <c r="E38" s="109"/>
      <c r="F38" s="109">
        <v>0</v>
      </c>
      <c r="G38" s="109">
        <f t="shared" si="3"/>
        <v>680</v>
      </c>
    </row>
    <row r="39" spans="1:7" hidden="1" x14ac:dyDescent="0.2">
      <c r="A39" s="112" t="s">
        <v>105</v>
      </c>
      <c r="B39" s="109">
        <v>322.28100000000001</v>
      </c>
      <c r="C39" s="109"/>
      <c r="D39" s="109">
        <v>291.18299999999999</v>
      </c>
      <c r="E39" s="109"/>
      <c r="F39" s="109">
        <v>0</v>
      </c>
      <c r="G39" s="109">
        <f t="shared" ref="G39:G44" si="4">SUM(B39:F39)</f>
        <v>613.46399999999994</v>
      </c>
    </row>
    <row r="40" spans="1:7" hidden="1" x14ac:dyDescent="0.2">
      <c r="A40" s="112" t="s">
        <v>106</v>
      </c>
      <c r="B40" s="109">
        <v>328.62299999999999</v>
      </c>
      <c r="C40" s="109"/>
      <c r="D40" s="109">
        <v>273.25</v>
      </c>
      <c r="E40" s="109"/>
      <c r="F40" s="109">
        <v>0</v>
      </c>
      <c r="G40" s="109">
        <f t="shared" si="4"/>
        <v>601.87300000000005</v>
      </c>
    </row>
    <row r="41" spans="1:7" hidden="1" x14ac:dyDescent="0.2">
      <c r="A41" s="112" t="s">
        <v>107</v>
      </c>
      <c r="B41" s="109">
        <v>380.495</v>
      </c>
      <c r="C41" s="109"/>
      <c r="D41" s="109">
        <v>278.33600000000001</v>
      </c>
      <c r="E41" s="109"/>
      <c r="F41" s="109">
        <v>0.121</v>
      </c>
      <c r="G41" s="109">
        <f t="shared" si="4"/>
        <v>658.952</v>
      </c>
    </row>
    <row r="42" spans="1:7" hidden="1" x14ac:dyDescent="0.2">
      <c r="A42" s="112" t="s">
        <v>108</v>
      </c>
      <c r="B42" s="109">
        <v>385.899</v>
      </c>
      <c r="C42" s="109"/>
      <c r="D42" s="109">
        <f>'תנועת מכולות באלפי TEU- טבלה'!C97</f>
        <v>317.685</v>
      </c>
      <c r="E42" s="109"/>
      <c r="F42" s="109">
        <v>3.3000000000000002E-2</v>
      </c>
      <c r="G42" s="109">
        <f>SUM(B42:F42)</f>
        <v>703.61700000000008</v>
      </c>
    </row>
    <row r="43" spans="1:7" hidden="1" x14ac:dyDescent="0.2">
      <c r="A43" s="112" t="s">
        <v>109</v>
      </c>
      <c r="B43" s="109">
        <v>321.32100000000003</v>
      </c>
      <c r="C43" s="109"/>
      <c r="D43" s="109">
        <v>300.96600000000001</v>
      </c>
      <c r="E43" s="109"/>
      <c r="F43" s="109">
        <v>4.3999999999999997E-2</v>
      </c>
      <c r="G43" s="109">
        <f>SUM(B43:F43)</f>
        <v>622.33100000000002</v>
      </c>
    </row>
    <row r="44" spans="1:7" hidden="1" x14ac:dyDescent="0.2">
      <c r="A44" s="112" t="s">
        <v>113</v>
      </c>
      <c r="B44" s="109">
        <v>269.274</v>
      </c>
      <c r="C44" s="109"/>
      <c r="D44" s="109">
        <v>284.66300000000001</v>
      </c>
      <c r="E44" s="109"/>
      <c r="F44" s="109">
        <v>0.03</v>
      </c>
      <c r="G44" s="109">
        <f t="shared" si="4"/>
        <v>553.96699999999998</v>
      </c>
    </row>
    <row r="45" spans="1:7" hidden="1" x14ac:dyDescent="0.2">
      <c r="A45" s="112" t="s">
        <v>114</v>
      </c>
      <c r="B45" s="109">
        <v>283.52699999999999</v>
      </c>
      <c r="C45" s="109"/>
      <c r="D45" s="109">
        <v>318.08199999999999</v>
      </c>
      <c r="E45" s="109"/>
      <c r="F45" s="109">
        <v>7.6999999999999999E-2</v>
      </c>
      <c r="G45" s="109">
        <f t="shared" ref="G45:G50" si="5">SUM(B45:F45)</f>
        <v>601.68599999999992</v>
      </c>
    </row>
    <row r="46" spans="1:7" hidden="1" x14ac:dyDescent="0.2">
      <c r="A46" s="112" t="s">
        <v>115</v>
      </c>
      <c r="B46" s="109">
        <v>309.07299999999998</v>
      </c>
      <c r="C46" s="109"/>
      <c r="D46" s="109">
        <v>319.13299999999998</v>
      </c>
      <c r="E46" s="109"/>
      <c r="F46" s="109">
        <v>0.01</v>
      </c>
      <c r="G46" s="109">
        <f t="shared" si="5"/>
        <v>628.21599999999989</v>
      </c>
    </row>
    <row r="47" spans="1:7" hidden="1" x14ac:dyDescent="0.2">
      <c r="A47" s="112" t="s">
        <v>117</v>
      </c>
      <c r="B47" s="109">
        <v>314.43700000000001</v>
      </c>
      <c r="C47" s="109"/>
      <c r="D47" s="109">
        <v>302.38099999999997</v>
      </c>
      <c r="E47" s="109"/>
      <c r="F47" s="109">
        <v>5.7999999999999996E-2</v>
      </c>
      <c r="G47" s="109">
        <f t="shared" si="5"/>
        <v>616.87599999999998</v>
      </c>
    </row>
    <row r="48" spans="1:7" hidden="1" x14ac:dyDescent="0.2">
      <c r="A48" s="112" t="s">
        <v>118</v>
      </c>
      <c r="B48" s="109">
        <v>289.20699999999999</v>
      </c>
      <c r="C48" s="109"/>
      <c r="D48" s="109">
        <v>310.11</v>
      </c>
      <c r="E48" s="109"/>
      <c r="F48" s="109">
        <v>3.5000000000000003E-2</v>
      </c>
      <c r="G48" s="109">
        <f t="shared" si="5"/>
        <v>599.35199999999998</v>
      </c>
    </row>
    <row r="49" spans="1:7" hidden="1" x14ac:dyDescent="0.2">
      <c r="A49" s="112" t="s">
        <v>120</v>
      </c>
      <c r="B49" s="109">
        <v>323.04600000000005</v>
      </c>
      <c r="C49" s="109"/>
      <c r="D49" s="109">
        <v>306.16200000000003</v>
      </c>
      <c r="E49" s="109"/>
      <c r="F49" s="109">
        <v>7.6999999999999999E-2</v>
      </c>
      <c r="G49" s="109">
        <f t="shared" si="5"/>
        <v>629.28500000000008</v>
      </c>
    </row>
    <row r="50" spans="1:7" hidden="1" x14ac:dyDescent="0.2">
      <c r="A50" s="112" t="s">
        <v>121</v>
      </c>
      <c r="B50" s="109">
        <v>308.12</v>
      </c>
      <c r="C50" s="109"/>
      <c r="D50" s="109">
        <v>340.464</v>
      </c>
      <c r="E50" s="109"/>
      <c r="F50" s="109">
        <v>3.5000000000000003E-2</v>
      </c>
      <c r="G50" s="109">
        <f t="shared" si="5"/>
        <v>648.61900000000003</v>
      </c>
    </row>
    <row r="51" spans="1:7" hidden="1" x14ac:dyDescent="0.2">
      <c r="A51" s="112" t="s">
        <v>122</v>
      </c>
      <c r="B51" s="109">
        <v>282.41000000000003</v>
      </c>
      <c r="C51" s="109"/>
      <c r="D51" s="109">
        <v>328.21</v>
      </c>
      <c r="E51" s="109"/>
      <c r="F51" s="109">
        <v>7.0000000000000001E-3</v>
      </c>
      <c r="G51" s="109">
        <f t="shared" ref="G51:G56" si="6">SUM(B51:F51)</f>
        <v>610.62699999999995</v>
      </c>
    </row>
    <row r="52" spans="1:7" hidden="1" x14ac:dyDescent="0.2">
      <c r="A52" s="112" t="s">
        <v>123</v>
      </c>
      <c r="B52" s="109">
        <v>300.99900000000002</v>
      </c>
      <c r="C52" s="109"/>
      <c r="D52" s="109">
        <v>331.93</v>
      </c>
      <c r="E52" s="109"/>
      <c r="F52" s="109">
        <v>0.26400000000000001</v>
      </c>
      <c r="G52" s="109">
        <f t="shared" si="6"/>
        <v>633.1930000000001</v>
      </c>
    </row>
    <row r="53" spans="1:7" hidden="1" x14ac:dyDescent="0.2">
      <c r="A53" s="112" t="s">
        <v>124</v>
      </c>
      <c r="B53" s="109">
        <v>337.65499999999997</v>
      </c>
      <c r="C53" s="109"/>
      <c r="D53" s="109">
        <v>353.27699999999999</v>
      </c>
      <c r="E53" s="109"/>
      <c r="F53" s="109">
        <v>2.4E-2</v>
      </c>
      <c r="G53" s="109">
        <f t="shared" si="6"/>
        <v>690.95600000000002</v>
      </c>
    </row>
    <row r="54" spans="1:7" hidden="1" x14ac:dyDescent="0.2">
      <c r="A54" s="112" t="s">
        <v>125</v>
      </c>
      <c r="B54" s="109">
        <v>318.68599999999998</v>
      </c>
      <c r="C54" s="109"/>
      <c r="D54" s="109">
        <v>372.70600000000002</v>
      </c>
      <c r="E54" s="109"/>
      <c r="F54" s="109">
        <v>0.10099999999999999</v>
      </c>
      <c r="G54" s="109">
        <f t="shared" si="6"/>
        <v>691.49300000000005</v>
      </c>
    </row>
    <row r="55" spans="1:7" hidden="1" x14ac:dyDescent="0.2">
      <c r="A55" s="112" t="s">
        <v>126</v>
      </c>
      <c r="B55" s="109">
        <v>313.60699999999997</v>
      </c>
      <c r="C55" s="109"/>
      <c r="D55" s="109">
        <v>387.55200000000002</v>
      </c>
      <c r="E55" s="109"/>
      <c r="F55" s="109">
        <v>3.3000000000000002E-2</v>
      </c>
      <c r="G55" s="109">
        <f t="shared" si="6"/>
        <v>701.19200000000001</v>
      </c>
    </row>
    <row r="56" spans="1:7" hidden="1" x14ac:dyDescent="0.2">
      <c r="A56" s="112" t="s">
        <v>127</v>
      </c>
      <c r="B56" s="109">
        <v>297.99</v>
      </c>
      <c r="C56" s="109"/>
      <c r="D56" s="109">
        <v>329.649</v>
      </c>
      <c r="E56" s="109"/>
      <c r="F56" s="109">
        <v>0.13600000000000001</v>
      </c>
      <c r="G56" s="109">
        <f t="shared" si="6"/>
        <v>627.77499999999998</v>
      </c>
    </row>
    <row r="57" spans="1:7" hidden="1" x14ac:dyDescent="0.2">
      <c r="A57" s="112" t="s">
        <v>128</v>
      </c>
      <c r="B57" s="109">
        <v>350.18600000000004</v>
      </c>
      <c r="C57" s="109"/>
      <c r="D57" s="109">
        <v>371.41300000000001</v>
      </c>
      <c r="E57" s="109"/>
      <c r="F57" s="109">
        <v>6.0999999999999999E-2</v>
      </c>
      <c r="G57" s="109">
        <f t="shared" ref="G57:G62" si="7">SUM(B57:F57)</f>
        <v>721.66000000000008</v>
      </c>
    </row>
    <row r="58" spans="1:7" hidden="1" x14ac:dyDescent="0.2">
      <c r="A58" s="112" t="s">
        <v>129</v>
      </c>
      <c r="B58" s="109">
        <v>363.73899999999998</v>
      </c>
      <c r="C58" s="109"/>
      <c r="D58" s="109">
        <v>402.06299999999999</v>
      </c>
      <c r="E58" s="109"/>
      <c r="F58" s="109">
        <v>1.2E-2</v>
      </c>
      <c r="G58" s="109">
        <f t="shared" si="7"/>
        <v>765.81399999999985</v>
      </c>
    </row>
    <row r="59" spans="1:7" hidden="1" x14ac:dyDescent="0.2">
      <c r="A59" s="112" t="s">
        <v>130</v>
      </c>
      <c r="B59" s="109">
        <v>318.41700000000003</v>
      </c>
      <c r="C59" s="109"/>
      <c r="D59" s="109">
        <v>379.20599999999996</v>
      </c>
      <c r="E59" s="109"/>
      <c r="F59" s="109">
        <v>1.2E-2</v>
      </c>
      <c r="G59" s="109">
        <f t="shared" si="7"/>
        <v>697.63499999999999</v>
      </c>
    </row>
    <row r="60" spans="1:7" hidden="1" x14ac:dyDescent="0.2">
      <c r="A60" s="112" t="s">
        <v>131</v>
      </c>
      <c r="B60" s="109">
        <v>310.96299999999997</v>
      </c>
      <c r="C60" s="109"/>
      <c r="D60" s="109">
        <v>372.78999999999996</v>
      </c>
      <c r="E60" s="109"/>
      <c r="F60" s="109">
        <v>0.124</v>
      </c>
      <c r="G60" s="109">
        <f t="shared" si="7"/>
        <v>683.87699999999995</v>
      </c>
    </row>
    <row r="61" spans="1:7" x14ac:dyDescent="0.2">
      <c r="A61" s="112" t="s">
        <v>132</v>
      </c>
      <c r="B61" s="109">
        <v>351.84000000000003</v>
      </c>
      <c r="C61" s="109"/>
      <c r="D61" s="109">
        <v>353.32900000000001</v>
      </c>
      <c r="E61" s="109"/>
      <c r="F61" s="109">
        <v>1.4999999999999999E-2</v>
      </c>
      <c r="G61" s="109">
        <f t="shared" si="7"/>
        <v>705.18400000000008</v>
      </c>
    </row>
    <row r="62" spans="1:7" x14ac:dyDescent="0.2">
      <c r="A62" s="112" t="s">
        <v>133</v>
      </c>
      <c r="B62" s="109">
        <v>390.11599999999999</v>
      </c>
      <c r="C62" s="109"/>
      <c r="D62" s="109">
        <v>358.79999999999995</v>
      </c>
      <c r="E62" s="109"/>
      <c r="F62" s="109">
        <v>2E-3</v>
      </c>
      <c r="G62" s="109">
        <f t="shared" si="7"/>
        <v>748.91799999999989</v>
      </c>
    </row>
    <row r="63" spans="1:7" x14ac:dyDescent="0.2">
      <c r="A63" s="112" t="s">
        <v>134</v>
      </c>
      <c r="B63" s="109">
        <v>374.66700000000003</v>
      </c>
      <c r="C63" s="109"/>
      <c r="D63" s="109">
        <v>374.91500000000008</v>
      </c>
      <c r="E63" s="109"/>
      <c r="F63" s="109">
        <v>0.14600000000000002</v>
      </c>
      <c r="G63" s="109">
        <f>SUM(B63:F63)</f>
        <v>749.72800000000007</v>
      </c>
    </row>
    <row r="64" spans="1:7" x14ac:dyDescent="0.2">
      <c r="A64" s="112" t="s">
        <v>135</v>
      </c>
      <c r="B64" s="109">
        <v>352.52300000000002</v>
      </c>
      <c r="C64" s="109"/>
      <c r="D64" s="109">
        <v>390.161</v>
      </c>
      <c r="E64" s="109"/>
      <c r="F64" s="109">
        <v>5.7000000000000002E-2</v>
      </c>
      <c r="G64" s="109">
        <f>SUM(B64:F64)</f>
        <v>742.74099999999999</v>
      </c>
    </row>
    <row r="65" spans="1:7" x14ac:dyDescent="0.2">
      <c r="A65" s="112" t="s">
        <v>136</v>
      </c>
      <c r="B65" s="109">
        <v>355.08300000000003</v>
      </c>
      <c r="C65" s="109"/>
      <c r="D65" s="109">
        <v>375.74599999999998</v>
      </c>
      <c r="E65" s="109"/>
      <c r="F65" s="109">
        <v>2.6000000000000002E-2</v>
      </c>
      <c r="G65" s="109">
        <f t="shared" ref="G65" si="8">SUM(B65:F65)</f>
        <v>730.8549999999999</v>
      </c>
    </row>
    <row r="66" spans="1:7" x14ac:dyDescent="0.2">
      <c r="A66" s="112" t="s">
        <v>137</v>
      </c>
      <c r="B66" s="109">
        <v>357.47399999999999</v>
      </c>
      <c r="C66" s="109"/>
      <c r="D66" s="109">
        <v>402.97300000000007</v>
      </c>
      <c r="E66" s="109"/>
      <c r="F66" s="109">
        <v>5.0000000000000001E-3</v>
      </c>
      <c r="G66" s="109">
        <f t="shared" ref="G66:G71" si="9">SUM(B66:F66)</f>
        <v>760.45200000000011</v>
      </c>
    </row>
    <row r="67" spans="1:7" x14ac:dyDescent="0.2">
      <c r="A67" s="112" t="s">
        <v>138</v>
      </c>
      <c r="B67" s="109">
        <v>322.71900000000005</v>
      </c>
      <c r="C67" s="109"/>
      <c r="D67" s="109">
        <v>409.54499999999996</v>
      </c>
      <c r="E67" s="109"/>
      <c r="F67" s="109">
        <v>5.2999999999999999E-2</v>
      </c>
      <c r="G67" s="109">
        <f t="shared" si="9"/>
        <v>732.31700000000001</v>
      </c>
    </row>
    <row r="68" spans="1:7" x14ac:dyDescent="0.2">
      <c r="A68" s="112" t="s">
        <v>139</v>
      </c>
      <c r="B68" s="109">
        <v>343.76</v>
      </c>
      <c r="C68" s="109"/>
      <c r="D68" s="109">
        <v>349.02700000000004</v>
      </c>
      <c r="E68" s="109"/>
      <c r="F68" s="191">
        <v>8.6999999999999994E-2</v>
      </c>
      <c r="G68" s="109">
        <f>SUM(B68:F68)</f>
        <v>692.87400000000002</v>
      </c>
    </row>
    <row r="69" spans="1:7" x14ac:dyDescent="0.2">
      <c r="A69" s="112" t="s">
        <v>140</v>
      </c>
      <c r="B69" s="109">
        <v>373.74799999999999</v>
      </c>
      <c r="C69" s="109"/>
      <c r="D69" s="109">
        <v>363.42599999999999</v>
      </c>
      <c r="E69" s="109"/>
      <c r="F69" s="191">
        <v>0.11299999999999999</v>
      </c>
      <c r="G69" s="109">
        <f t="shared" si="9"/>
        <v>737.28700000000003</v>
      </c>
    </row>
    <row r="70" spans="1:7" x14ac:dyDescent="0.2">
      <c r="A70" s="112" t="s">
        <v>141</v>
      </c>
      <c r="B70" s="109">
        <v>365.65800000000002</v>
      </c>
      <c r="C70" s="109"/>
      <c r="D70" s="109">
        <v>372.00799999999998</v>
      </c>
      <c r="E70" s="109"/>
      <c r="F70" s="191">
        <v>0.111</v>
      </c>
      <c r="G70" s="109">
        <f t="shared" si="9"/>
        <v>737.77699999999993</v>
      </c>
    </row>
    <row r="71" spans="1:7" x14ac:dyDescent="0.2">
      <c r="A71" s="112" t="s">
        <v>142</v>
      </c>
      <c r="B71" s="109">
        <v>351.67599999999999</v>
      </c>
      <c r="C71" s="109"/>
      <c r="D71" s="109">
        <v>424.75899999999996</v>
      </c>
      <c r="E71" s="109"/>
      <c r="F71" s="191">
        <v>8.1000000000000003E-2</v>
      </c>
      <c r="G71" s="109">
        <f t="shared" si="9"/>
        <v>776.51599999999996</v>
      </c>
    </row>
    <row r="72" spans="1:7" x14ac:dyDescent="0.2">
      <c r="A72" s="112" t="s">
        <v>143</v>
      </c>
      <c r="B72" s="109">
        <v>373.35199999999998</v>
      </c>
      <c r="C72" s="109"/>
      <c r="D72" s="109">
        <v>424.30599999999998</v>
      </c>
      <c r="E72" s="109"/>
      <c r="F72" s="191">
        <v>0</v>
      </c>
      <c r="G72" s="109">
        <f t="shared" ref="G72:G73" si="10">SUM(B72:F72)</f>
        <v>797.6579999999999</v>
      </c>
    </row>
    <row r="73" spans="1:7" x14ac:dyDescent="0.2">
      <c r="A73" s="112" t="s">
        <v>144</v>
      </c>
      <c r="B73" s="109">
        <v>376.334</v>
      </c>
      <c r="C73" s="109"/>
      <c r="D73" s="109">
        <v>389.53</v>
      </c>
      <c r="E73" s="109"/>
      <c r="F73" s="191">
        <v>6.0000000000000005E-2</v>
      </c>
      <c r="G73" s="109">
        <f t="shared" si="10"/>
        <v>765.92399999999998</v>
      </c>
    </row>
    <row r="74" spans="1:7" x14ac:dyDescent="0.2">
      <c r="A74" s="112" t="s">
        <v>145</v>
      </c>
      <c r="B74" s="109">
        <v>386.02300000000002</v>
      </c>
      <c r="C74" s="109"/>
      <c r="D74" s="109">
        <v>416.80399999999997</v>
      </c>
      <c r="E74" s="109"/>
      <c r="F74" s="191">
        <v>2.0999999999999998E-2</v>
      </c>
      <c r="G74" s="109">
        <f t="shared" ref="G74" si="11">SUM(B74:F74)</f>
        <v>802.84799999999996</v>
      </c>
    </row>
    <row r="75" spans="1:7" x14ac:dyDescent="0.2">
      <c r="A75" s="112" t="s">
        <v>146</v>
      </c>
      <c r="B75" s="109">
        <v>349.36400000000003</v>
      </c>
      <c r="C75" s="109">
        <v>7.1280000000000001</v>
      </c>
      <c r="D75" s="109">
        <v>408.55700000000002</v>
      </c>
      <c r="E75" s="109">
        <v>8.6950000000000003</v>
      </c>
      <c r="F75" s="191">
        <v>4.2999999999999997E-2</v>
      </c>
      <c r="G75" s="109">
        <f>SUM(B75:F75)</f>
        <v>773.78700000000003</v>
      </c>
    </row>
    <row r="76" spans="1:7" x14ac:dyDescent="0.2">
      <c r="A76" s="112" t="s">
        <v>166</v>
      </c>
      <c r="B76" s="109">
        <v>351.49799999999999</v>
      </c>
      <c r="C76" s="109">
        <v>25.858999999999998</v>
      </c>
      <c r="D76" s="109">
        <v>397.47800000000007</v>
      </c>
      <c r="E76" s="109">
        <v>15.629999999999999</v>
      </c>
      <c r="F76" s="191">
        <v>0.29600000000000004</v>
      </c>
      <c r="G76" s="109">
        <f t="shared" ref="G76" si="12">SUM(B76:F76)</f>
        <v>790.76100000000008</v>
      </c>
    </row>
    <row r="77" spans="1:7" x14ac:dyDescent="0.2">
      <c r="A77" s="112" t="s">
        <v>173</v>
      </c>
      <c r="B77" s="109">
        <v>354.495</v>
      </c>
      <c r="C77" s="109">
        <v>49.524999999999999</v>
      </c>
      <c r="D77" s="109">
        <v>360.49900000000002</v>
      </c>
      <c r="E77" s="109">
        <v>20.752000000000002</v>
      </c>
      <c r="F77" s="191">
        <v>4.5999999999999999E-2</v>
      </c>
      <c r="G77" s="109">
        <f>SUM(B77:F77)</f>
        <v>785.31700000000001</v>
      </c>
    </row>
    <row r="78" spans="1:7" x14ac:dyDescent="0.2">
      <c r="A78" s="163"/>
      <c r="B78" s="84"/>
      <c r="C78" s="84"/>
      <c r="D78" s="84"/>
      <c r="E78" s="84"/>
      <c r="F78" s="144"/>
      <c r="G78" s="84"/>
    </row>
    <row r="80" spans="1:7" ht="24" x14ac:dyDescent="0.2">
      <c r="A80" s="127" t="s">
        <v>119</v>
      </c>
      <c r="B80" s="127" t="s">
        <v>167</v>
      </c>
      <c r="C80" s="127" t="s">
        <v>169</v>
      </c>
      <c r="D80" s="128" t="s">
        <v>171</v>
      </c>
      <c r="E80" s="128" t="s">
        <v>170</v>
      </c>
      <c r="F80" s="127" t="s">
        <v>172</v>
      </c>
      <c r="G80" s="128" t="s">
        <v>112</v>
      </c>
    </row>
    <row r="81" spans="1:7" hidden="1" x14ac:dyDescent="0.2">
      <c r="A81" s="149">
        <v>2008</v>
      </c>
      <c r="B81" s="150">
        <f>B21+B22+B23+B24</f>
        <v>1251.1179999999999</v>
      </c>
      <c r="C81" s="150"/>
      <c r="D81" s="150">
        <f>D21+D22+D23+D24</f>
        <v>828.30799999999999</v>
      </c>
      <c r="E81" s="150"/>
      <c r="F81" s="150">
        <f>F21+F22+F23+F24</f>
        <v>2.02</v>
      </c>
      <c r="G81" s="150">
        <f>SUM(B81:F81)</f>
        <v>2081.4459999999999</v>
      </c>
    </row>
    <row r="82" spans="1:7" hidden="1" x14ac:dyDescent="0.2">
      <c r="A82" s="149">
        <v>2009</v>
      </c>
      <c r="B82" s="150">
        <f>B25+B26+B27+B28</f>
        <v>1133.806</v>
      </c>
      <c r="C82" s="150"/>
      <c r="D82" s="150">
        <f>D25+D26+D27+D28</f>
        <v>892.77099999999996</v>
      </c>
      <c r="E82" s="150"/>
      <c r="F82" s="150">
        <f>F25+F26+F27+F28</f>
        <v>4.8090000000000002</v>
      </c>
      <c r="G82" s="150">
        <f>SUM(B82:F82)</f>
        <v>2031.386</v>
      </c>
    </row>
    <row r="83" spans="1:7" x14ac:dyDescent="0.2">
      <c r="A83" s="149">
        <v>2010</v>
      </c>
      <c r="B83" s="150">
        <f>B29+B30+B31+B32</f>
        <v>1266.1379999999999</v>
      </c>
      <c r="C83" s="150"/>
      <c r="D83" s="150">
        <f>D29+D30+D31+D32</f>
        <v>1017.422</v>
      </c>
      <c r="E83" s="150"/>
      <c r="F83" s="150">
        <f>F29+F30+F31+F32</f>
        <v>0</v>
      </c>
      <c r="G83" s="150">
        <f>SUM(B83:F83)</f>
        <v>2283.56</v>
      </c>
    </row>
    <row r="84" spans="1:7" x14ac:dyDescent="0.2">
      <c r="A84" s="149">
        <v>2011</v>
      </c>
      <c r="B84" s="150">
        <f>B33+B34+B35+B36</f>
        <v>1235.5920000000001</v>
      </c>
      <c r="C84" s="150"/>
      <c r="D84" s="150">
        <f>D33+D34+D35+D36</f>
        <v>1160.1030000000001</v>
      </c>
      <c r="E84" s="150"/>
      <c r="F84" s="150">
        <f>F33+F34+F35+F36</f>
        <v>0</v>
      </c>
      <c r="G84" s="150">
        <f>SUM(B84:F84)</f>
        <v>2395.6950000000002</v>
      </c>
    </row>
    <row r="85" spans="1:7" x14ac:dyDescent="0.2">
      <c r="A85" s="149">
        <v>2012</v>
      </c>
      <c r="B85" s="150">
        <f>B37+B38+B39+B40</f>
        <v>1370.431</v>
      </c>
      <c r="C85" s="150"/>
      <c r="D85" s="150">
        <f>D37+D38+D39+D40</f>
        <v>1170.4279999999999</v>
      </c>
      <c r="E85" s="150"/>
      <c r="F85" s="150">
        <f>F37+F38+F39+F40</f>
        <v>0</v>
      </c>
      <c r="G85" s="150">
        <f>SUM(B85:F85)</f>
        <v>2540.8589999999999</v>
      </c>
    </row>
    <row r="86" spans="1:7" x14ac:dyDescent="0.2">
      <c r="A86" s="149">
        <v>2013</v>
      </c>
      <c r="B86" s="150">
        <f>B41+B42+B43+B44</f>
        <v>1356.989</v>
      </c>
      <c r="C86" s="150"/>
      <c r="D86" s="150">
        <f>D41+D42+D43+D44</f>
        <v>1181.6500000000001</v>
      </c>
      <c r="E86" s="150"/>
      <c r="F86" s="150">
        <f>F41+F42+F43+F44</f>
        <v>0.22800000000000001</v>
      </c>
      <c r="G86" s="150">
        <f t="shared" ref="G86:G90" si="13">SUM(B86:F86)</f>
        <v>2538.8670000000002</v>
      </c>
    </row>
    <row r="87" spans="1:7" x14ac:dyDescent="0.2">
      <c r="A87" s="149">
        <v>2014</v>
      </c>
      <c r="B87" s="150">
        <f>B45+B46+B47+B48</f>
        <v>1196.2439999999999</v>
      </c>
      <c r="C87" s="150"/>
      <c r="D87" s="150">
        <f>D45+D46+D47+D48</f>
        <v>1249.7059999999999</v>
      </c>
      <c r="E87" s="150"/>
      <c r="F87" s="150">
        <f>F45+F46+F47+F48</f>
        <v>0.18</v>
      </c>
      <c r="G87" s="150">
        <f t="shared" si="13"/>
        <v>2446.1299999999997</v>
      </c>
    </row>
    <row r="88" spans="1:7" x14ac:dyDescent="0.2">
      <c r="A88" s="149">
        <v>2015</v>
      </c>
      <c r="B88" s="150">
        <f>B49+B50+B51+B52</f>
        <v>1214.575</v>
      </c>
      <c r="C88" s="150"/>
      <c r="D88" s="150">
        <f>D49+D50+D51+D52</f>
        <v>1306.7660000000001</v>
      </c>
      <c r="E88" s="150"/>
      <c r="F88" s="150">
        <f>F49+F50+F51+F52</f>
        <v>0.38300000000000001</v>
      </c>
      <c r="G88" s="150">
        <f t="shared" si="13"/>
        <v>2521.7240000000002</v>
      </c>
    </row>
    <row r="89" spans="1:7" x14ac:dyDescent="0.2">
      <c r="A89" s="149">
        <v>2016</v>
      </c>
      <c r="B89" s="150">
        <f>B53+B54+B55+B56</f>
        <v>1267.9379999999999</v>
      </c>
      <c r="C89" s="150"/>
      <c r="D89" s="150">
        <f>D53+D54+D55+D56</f>
        <v>1443.1839999999997</v>
      </c>
      <c r="E89" s="150"/>
      <c r="F89" s="150">
        <f>F53+F54+F55+F56</f>
        <v>0.29400000000000004</v>
      </c>
      <c r="G89" s="150">
        <f t="shared" si="13"/>
        <v>2711.4159999999993</v>
      </c>
    </row>
    <row r="90" spans="1:7" x14ac:dyDescent="0.2">
      <c r="A90" s="149">
        <v>2017</v>
      </c>
      <c r="B90" s="150">
        <f>B57+B58+B59+B60</f>
        <v>1343.3050000000001</v>
      </c>
      <c r="C90" s="150"/>
      <c r="D90" s="150">
        <f>D57+D58+D59+D60</f>
        <v>1525.472</v>
      </c>
      <c r="E90" s="150"/>
      <c r="F90" s="150">
        <f>F57+F58+F59+F60</f>
        <v>0.20899999999999999</v>
      </c>
      <c r="G90" s="150">
        <f t="shared" si="13"/>
        <v>2868.9859999999999</v>
      </c>
    </row>
    <row r="91" spans="1:7" x14ac:dyDescent="0.2">
      <c r="A91" s="149">
        <v>2018</v>
      </c>
      <c r="B91" s="150">
        <f>B61+B62+B63+B64</f>
        <v>1469.1460000000002</v>
      </c>
      <c r="C91" s="150"/>
      <c r="D91" s="150">
        <f t="shared" ref="D91:F91" si="14">D61+D62+D63+D64</f>
        <v>1477.2049999999999</v>
      </c>
      <c r="E91" s="150"/>
      <c r="F91" s="150">
        <f t="shared" si="14"/>
        <v>0.22000000000000003</v>
      </c>
      <c r="G91" s="150">
        <f>G61+G62+G63+G64</f>
        <v>2946.5709999999999</v>
      </c>
    </row>
    <row r="92" spans="1:7" x14ac:dyDescent="0.2">
      <c r="A92" s="149">
        <v>2019</v>
      </c>
      <c r="B92" s="150">
        <f>B65+B66+B67+B68</f>
        <v>1379.0360000000001</v>
      </c>
      <c r="C92" s="150"/>
      <c r="D92" s="150">
        <f>D65+D66+D67+D68</f>
        <v>1537.2910000000002</v>
      </c>
      <c r="E92" s="150"/>
      <c r="F92" s="150">
        <f>F65+F66+F67+F68</f>
        <v>0.17099999999999999</v>
      </c>
      <c r="G92" s="150">
        <f>G65+G66+G67+G68</f>
        <v>2916.4979999999996</v>
      </c>
    </row>
    <row r="93" spans="1:7" x14ac:dyDescent="0.2">
      <c r="A93" s="149">
        <v>2020</v>
      </c>
      <c r="B93" s="150">
        <f>B69+B70+B71+B72</f>
        <v>1464.4339999999997</v>
      </c>
      <c r="C93" s="150"/>
      <c r="D93" s="150">
        <f>D69+D70+D71+D72</f>
        <v>1584.499</v>
      </c>
      <c r="E93" s="150"/>
      <c r="F93" s="150">
        <f>F69+F70+F71+F72</f>
        <v>0.30499999999999999</v>
      </c>
      <c r="G93" s="150">
        <f>G69+G70+G71+G72</f>
        <v>3049.2379999999998</v>
      </c>
    </row>
    <row r="94" spans="1:7" x14ac:dyDescent="0.2">
      <c r="A94" s="149">
        <v>2021</v>
      </c>
      <c r="B94" s="150">
        <f>B73+B74+B75+B76</f>
        <v>1463.2190000000001</v>
      </c>
      <c r="C94" s="150">
        <f t="shared" ref="C94:F94" si="15">C73+C74+C75+C76</f>
        <v>32.986999999999995</v>
      </c>
      <c r="D94" s="150">
        <f t="shared" si="15"/>
        <v>1612.3690000000001</v>
      </c>
      <c r="E94" s="150">
        <f t="shared" si="15"/>
        <v>24.324999999999999</v>
      </c>
      <c r="F94" s="150">
        <f t="shared" si="15"/>
        <v>0.42000000000000004</v>
      </c>
      <c r="G94" s="150">
        <f>G73+G74+G75+G76</f>
        <v>3133.32</v>
      </c>
    </row>
    <row r="95" spans="1:7" x14ac:dyDescent="0.2">
      <c r="A95" s="149" t="s">
        <v>174</v>
      </c>
      <c r="B95" s="150">
        <f>B77</f>
        <v>354.495</v>
      </c>
      <c r="C95" s="150">
        <f>C77</f>
        <v>49.524999999999999</v>
      </c>
      <c r="D95" s="150">
        <f t="shared" ref="D95:G95" si="16">D77</f>
        <v>360.49900000000002</v>
      </c>
      <c r="E95" s="150">
        <f t="shared" si="16"/>
        <v>20.752000000000002</v>
      </c>
      <c r="F95" s="150">
        <f t="shared" si="16"/>
        <v>4.5999999999999999E-2</v>
      </c>
      <c r="G95" s="150">
        <f t="shared" si="16"/>
        <v>785.31700000000001</v>
      </c>
    </row>
  </sheetData>
  <phoneticPr fontId="33" type="noConversion"/>
  <pageMargins left="0.75" right="0.75" top="1" bottom="1" header="0.5" footer="0.5"/>
  <headerFooter alignWithMargins="0"/>
  <ignoredErrors>
    <ignoredError sqref="G14:G17 G21 G18:G20 G22:G41 D42 G44:G46 G42:G43 G47:G64 G65:G68 G69:G74 G75 G76:G77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גיליון1</vt:lpstr>
      <vt:lpstr>גיליון2</vt:lpstr>
      <vt:lpstr>תנועת מכולות באלפי TEU- טבלה</vt:lpstr>
      <vt:lpstr>פריקת מכולות באלפי TEU- טבלה </vt:lpstr>
      <vt:lpstr>טעינת מכולות באלפי TEU- טבלה </vt:lpstr>
      <vt:lpstr>מכולות באלפי TEU- טבלה (2)</vt:lpstr>
      <vt:lpstr>התפלגות תנועת מכולות </vt:lpstr>
      <vt:lpstr>גיליון3  </vt:lpstr>
      <vt:lpstr>תנועת מכולות TEU רבעוני</vt:lpstr>
      <vt:lpstr>תרשים2</vt:lpstr>
      <vt:lpstr>תנועת מכולות TEU מצטבר </vt:lpstr>
      <vt:lpstr>'טעינת מכולות באלפי TEU- טבלה '!Print_Area</vt:lpstr>
      <vt:lpstr>'לא להפצה'!Print_Area</vt:lpstr>
      <vt:lpstr>'מכולות באלפי TEU- טבלה (2)'!Print_Area</vt:lpstr>
      <vt:lpstr>'פריקת מכולות באלפי TEU- טבלה '!Print_Area</vt:lpstr>
      <vt:lpstr>'תנועת מכולות באלפי TEU- טבלה'!Print_Area</vt:lpstr>
      <vt:lpstr>'טעינת מכולות באלפי TEU- טבלה '!Print_Area_MI</vt:lpstr>
      <vt:lpstr>'מכולות באלפי TEU- טבלה (2)'!Print_Area_MI</vt:lpstr>
      <vt:lpstr>'פריקת מכולות באלפי TEU- טבלה '!Print_Area_MI</vt:lpstr>
      <vt:lpstr>'תנועת מכולות באלפי TEU- טבלה'!Print_Area_MI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משה כהן</dc:creator>
  <cp:lastModifiedBy>דיאנה עסילה</cp:lastModifiedBy>
  <cp:lastPrinted>2022-06-01T14:15:20Z</cp:lastPrinted>
  <dcterms:created xsi:type="dcterms:W3CDTF">1996-10-14T23:33:28Z</dcterms:created>
  <dcterms:modified xsi:type="dcterms:W3CDTF">2022-06-22T04:27:19Z</dcterms:modified>
</cp:coreProperties>
</file>